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45846</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45846</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45846</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45846</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45846</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45846</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45846</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45846</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45846</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27257-2025</t>
        </is>
      </c>
      <c r="B11" s="1" t="n">
        <v>45812</v>
      </c>
      <c r="C11" s="1" t="n">
        <v>45846</v>
      </c>
      <c r="D11" t="inlineStr">
        <is>
          <t>UPPSALA LÄN</t>
        </is>
      </c>
      <c r="E11" t="inlineStr">
        <is>
          <t>UPPSALA</t>
        </is>
      </c>
      <c r="G11" t="n">
        <v>4.2</v>
      </c>
      <c r="H11" t="n">
        <v>5</v>
      </c>
      <c r="I11" t="n">
        <v>13</v>
      </c>
      <c r="J11" t="n">
        <v>7</v>
      </c>
      <c r="K11" t="n">
        <v>1</v>
      </c>
      <c r="L11" t="n">
        <v>2</v>
      </c>
      <c r="M11" t="n">
        <v>0</v>
      </c>
      <c r="N11" t="n">
        <v>0</v>
      </c>
      <c r="O11" t="n">
        <v>10</v>
      </c>
      <c r="P11" t="n">
        <v>3</v>
      </c>
      <c r="Q11" t="n">
        <v>25</v>
      </c>
      <c r="R11" s="2" t="inlineStr">
        <is>
          <t>Ask
Ädellav
Ostticka
Garnlav
Gransotdyna
Lunglav
Spillkråka
Talltita
Ullticka
Vedtrappmossa
Dunmossa
Granbarkgnagare
Granbräken
Grön sköldmossa
Havstulpanlav
Kattfotslav
Korallblylav
Lönnlav
Rostfläck
Spädstarr
Stubbspretmossa
Tibast
Vedticka
Åkergroda
Vanlig snok</t>
        </is>
      </c>
      <c r="S11">
        <f>HYPERLINK("https://klasma.github.io/Logging_030380/artfynd/A 27257-2025 artfynd.xlsx", "A 27257-2025")</f>
        <v/>
      </c>
      <c r="T11">
        <f>HYPERLINK("https://klasma.github.io/Logging_030380/kartor/A 27257-2025 karta.png", "A 27257-2025")</f>
        <v/>
      </c>
      <c r="V11">
        <f>HYPERLINK("https://klasma.github.io/Logging_030380/klagomål/A 27257-2025 FSC-klagomål.docx", "A 27257-2025")</f>
        <v/>
      </c>
      <c r="W11">
        <f>HYPERLINK("https://klasma.github.io/Logging_030380/klagomålsmail/A 27257-2025 FSC-klagomål mail.docx", "A 27257-2025")</f>
        <v/>
      </c>
      <c r="X11">
        <f>HYPERLINK("https://klasma.github.io/Logging_030380/tillsyn/A 27257-2025 tillsynsbegäran.docx", "A 27257-2025")</f>
        <v/>
      </c>
      <c r="Y11">
        <f>HYPERLINK("https://klasma.github.io/Logging_030380/tillsynsmail/A 27257-2025 tillsynsbegäran mail.docx", "A 27257-2025")</f>
        <v/>
      </c>
      <c r="Z11">
        <f>HYPERLINK("https://klasma.github.io/Logging_030380/fåglar/A 27257-2025 prioriterade fågelarter.docx", "A 27257-2025")</f>
        <v/>
      </c>
    </row>
    <row r="12" ht="15" customHeight="1">
      <c r="A12" t="inlineStr">
        <is>
          <t>A 7208-2023</t>
        </is>
      </c>
      <c r="B12" s="1" t="n">
        <v>44970</v>
      </c>
      <c r="C12" s="1" t="n">
        <v>45846</v>
      </c>
      <c r="D12" t="inlineStr">
        <is>
          <t>UPPSALA LÄN</t>
        </is>
      </c>
      <c r="E12" t="inlineStr">
        <is>
          <t>TIERP</t>
        </is>
      </c>
      <c r="F12" t="inlineStr">
        <is>
          <t>Bergvik skog öst AB</t>
        </is>
      </c>
      <c r="G12" t="n">
        <v>26.4</v>
      </c>
      <c r="H12" t="n">
        <v>10</v>
      </c>
      <c r="I12" t="n">
        <v>10</v>
      </c>
      <c r="J12" t="n">
        <v>6</v>
      </c>
      <c r="K12" t="n">
        <v>4</v>
      </c>
      <c r="L12" t="n">
        <v>0</v>
      </c>
      <c r="M12" t="n">
        <v>0</v>
      </c>
      <c r="N12" t="n">
        <v>0</v>
      </c>
      <c r="O12" t="n">
        <v>10</v>
      </c>
      <c r="P12" t="n">
        <v>4</v>
      </c>
      <c r="Q12" t="n">
        <v>24</v>
      </c>
      <c r="R12"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2">
        <f>HYPERLINK("https://klasma.github.io/Logging_0360/artfynd/A 7208-2023 artfynd.xlsx", "A 7208-2023")</f>
        <v/>
      </c>
      <c r="T12">
        <f>HYPERLINK("https://klasma.github.io/Logging_0360/kartor/A 7208-2023 karta.png", "A 7208-2023")</f>
        <v/>
      </c>
      <c r="U12">
        <f>HYPERLINK("https://klasma.github.io/Logging_0360/knärot/A 7208-2023 karta knärot.png", "A 7208-2023")</f>
        <v/>
      </c>
      <c r="V12">
        <f>HYPERLINK("https://klasma.github.io/Logging_0360/klagomål/A 7208-2023 FSC-klagomål.docx", "A 7208-2023")</f>
        <v/>
      </c>
      <c r="W12">
        <f>HYPERLINK("https://klasma.github.io/Logging_0360/klagomålsmail/A 7208-2023 FSC-klagomål mail.docx", "A 7208-2023")</f>
        <v/>
      </c>
      <c r="X12">
        <f>HYPERLINK("https://klasma.github.io/Logging_0360/tillsyn/A 7208-2023 tillsynsbegäran.docx", "A 7208-2023")</f>
        <v/>
      </c>
      <c r="Y12">
        <f>HYPERLINK("https://klasma.github.io/Logging_0360/tillsynsmail/A 7208-2023 tillsynsbegäran mail.docx", "A 7208-2023")</f>
        <v/>
      </c>
      <c r="Z12">
        <f>HYPERLINK("https://klasma.github.io/Logging_0360/fåglar/A 7208-2023 prioriterade fågelarter.docx", "A 7208-2023")</f>
        <v/>
      </c>
    </row>
    <row r="13" ht="15" customHeight="1">
      <c r="A13" t="inlineStr">
        <is>
          <t>A 29556-2023</t>
        </is>
      </c>
      <c r="B13" s="1" t="n">
        <v>45106</v>
      </c>
      <c r="C13" s="1" t="n">
        <v>45846</v>
      </c>
      <c r="D13" t="inlineStr">
        <is>
          <t>UPPSALA LÄN</t>
        </is>
      </c>
      <c r="E13" t="inlineStr">
        <is>
          <t>ÖSTHAMMAR</t>
        </is>
      </c>
      <c r="F13" t="inlineStr">
        <is>
          <t>Naturvårdsverket</t>
        </is>
      </c>
      <c r="G13" t="n">
        <v>13.3</v>
      </c>
      <c r="H13" t="n">
        <v>11</v>
      </c>
      <c r="I13" t="n">
        <v>10</v>
      </c>
      <c r="J13" t="n">
        <v>8</v>
      </c>
      <c r="K13" t="n">
        <v>2</v>
      </c>
      <c r="L13" t="n">
        <v>0</v>
      </c>
      <c r="M13" t="n">
        <v>0</v>
      </c>
      <c r="N13" t="n">
        <v>0</v>
      </c>
      <c r="O13" t="n">
        <v>10</v>
      </c>
      <c r="P13" t="n">
        <v>2</v>
      </c>
      <c r="Q13" t="n">
        <v>24</v>
      </c>
      <c r="R1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48241-2024</t>
        </is>
      </c>
      <c r="B14" s="1" t="n">
        <v>45590</v>
      </c>
      <c r="C14" s="1" t="n">
        <v>45846</v>
      </c>
      <c r="D14" t="inlineStr">
        <is>
          <t>UPPSALA LÄN</t>
        </is>
      </c>
      <c r="E14" t="inlineStr">
        <is>
          <t>ÖSTHAMMAR</t>
        </is>
      </c>
      <c r="G14" t="n">
        <v>10.2</v>
      </c>
      <c r="H14" t="n">
        <v>23</v>
      </c>
      <c r="I14" t="n">
        <v>1</v>
      </c>
      <c r="J14" t="n">
        <v>10</v>
      </c>
      <c r="K14" t="n">
        <v>2</v>
      </c>
      <c r="L14" t="n">
        <v>1</v>
      </c>
      <c r="M14" t="n">
        <v>1</v>
      </c>
      <c r="N14" t="n">
        <v>0</v>
      </c>
      <c r="O14" t="n">
        <v>14</v>
      </c>
      <c r="P14" t="n">
        <v>4</v>
      </c>
      <c r="Q14" t="n">
        <v>24</v>
      </c>
      <c r="R1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4">
        <f>HYPERLINK("https://klasma.github.io/Logging_0382/artfynd/A 48241-2024 artfynd.xlsx", "A 48241-2024")</f>
        <v/>
      </c>
      <c r="T14">
        <f>HYPERLINK("https://klasma.github.io/Logging_0382/kartor/A 48241-2024 karta.png", "A 48241-2024")</f>
        <v/>
      </c>
      <c r="V14">
        <f>HYPERLINK("https://klasma.github.io/Logging_0382/klagomål/A 48241-2024 FSC-klagomål.docx", "A 48241-2024")</f>
        <v/>
      </c>
      <c r="W14">
        <f>HYPERLINK("https://klasma.github.io/Logging_0382/klagomålsmail/A 48241-2024 FSC-klagomål mail.docx", "A 48241-2024")</f>
        <v/>
      </c>
      <c r="X14">
        <f>HYPERLINK("https://klasma.github.io/Logging_0382/tillsyn/A 48241-2024 tillsynsbegäran.docx", "A 48241-2024")</f>
        <v/>
      </c>
      <c r="Y14">
        <f>HYPERLINK("https://klasma.github.io/Logging_0382/tillsynsmail/A 48241-2024 tillsynsbegäran mail.docx", "A 48241-2024")</f>
        <v/>
      </c>
      <c r="Z14">
        <f>HYPERLINK("https://klasma.github.io/Logging_0382/fåglar/A 48241-2024 prioriterade fågelarter.docx", "A 48241-2024")</f>
        <v/>
      </c>
    </row>
    <row r="15" ht="15" customHeight="1">
      <c r="A15" t="inlineStr">
        <is>
          <t>A 56218-2019</t>
        </is>
      </c>
      <c r="B15" s="1" t="n">
        <v>43762</v>
      </c>
      <c r="C15" s="1" t="n">
        <v>45846</v>
      </c>
      <c r="D15" t="inlineStr">
        <is>
          <t>UPPSALA LÄN</t>
        </is>
      </c>
      <c r="E15" t="inlineStr">
        <is>
          <t>UPPSALA</t>
        </is>
      </c>
      <c r="G15" t="n">
        <v>7.7</v>
      </c>
      <c r="H15" t="n">
        <v>2</v>
      </c>
      <c r="I15" t="n">
        <v>13</v>
      </c>
      <c r="J15" t="n">
        <v>5</v>
      </c>
      <c r="K15" t="n">
        <v>4</v>
      </c>
      <c r="L15" t="n">
        <v>0</v>
      </c>
      <c r="M15" t="n">
        <v>0</v>
      </c>
      <c r="N15" t="n">
        <v>0</v>
      </c>
      <c r="O15" t="n">
        <v>9</v>
      </c>
      <c r="P15" t="n">
        <v>4</v>
      </c>
      <c r="Q15" t="n">
        <v>23</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22387-2020</t>
        </is>
      </c>
      <c r="B16" s="1" t="n">
        <v>43962</v>
      </c>
      <c r="C16" s="1" t="n">
        <v>45846</v>
      </c>
      <c r="D16" t="inlineStr">
        <is>
          <t>UPPSALA LÄN</t>
        </is>
      </c>
      <c r="E16" t="inlineStr">
        <is>
          <t>KNIVSTA</t>
        </is>
      </c>
      <c r="G16" t="n">
        <v>12.1</v>
      </c>
      <c r="H16" t="n">
        <v>5</v>
      </c>
      <c r="I16" t="n">
        <v>12</v>
      </c>
      <c r="J16" t="n">
        <v>6</v>
      </c>
      <c r="K16" t="n">
        <v>1</v>
      </c>
      <c r="L16" t="n">
        <v>0</v>
      </c>
      <c r="M16" t="n">
        <v>1</v>
      </c>
      <c r="N16" t="n">
        <v>0</v>
      </c>
      <c r="O16" t="n">
        <v>8</v>
      </c>
      <c r="P16" t="n">
        <v>2</v>
      </c>
      <c r="Q16" t="n">
        <v>23</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21557-2020</t>
        </is>
      </c>
      <c r="B17" s="1" t="n">
        <v>43956</v>
      </c>
      <c r="C17" s="1" t="n">
        <v>45846</v>
      </c>
      <c r="D17" t="inlineStr">
        <is>
          <t>UPPSALA LÄN</t>
        </is>
      </c>
      <c r="E17" t="inlineStr">
        <is>
          <t>KNIVSTA</t>
        </is>
      </c>
      <c r="G17" t="n">
        <v>9.5</v>
      </c>
      <c r="H17" t="n">
        <v>4</v>
      </c>
      <c r="I17" t="n">
        <v>10</v>
      </c>
      <c r="J17" t="n">
        <v>5</v>
      </c>
      <c r="K17" t="n">
        <v>3</v>
      </c>
      <c r="L17" t="n">
        <v>1</v>
      </c>
      <c r="M17" t="n">
        <v>1</v>
      </c>
      <c r="N17" t="n">
        <v>0</v>
      </c>
      <c r="O17" t="n">
        <v>10</v>
      </c>
      <c r="P17" t="n">
        <v>5</v>
      </c>
      <c r="Q17" t="n">
        <v>22</v>
      </c>
      <c r="R17"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7">
        <f>HYPERLINK("https://klasma.github.io/Logging_0330/artfynd/A 21557-2020 artfynd.xlsx", "A 21557-2020")</f>
        <v/>
      </c>
      <c r="T17">
        <f>HYPERLINK("https://klasma.github.io/Logging_0330/kartor/A 21557-2020 karta.png", "A 21557-2020")</f>
        <v/>
      </c>
      <c r="V17">
        <f>HYPERLINK("https://klasma.github.io/Logging_0330/klagomål/A 21557-2020 FSC-klagomål.docx", "A 21557-2020")</f>
        <v/>
      </c>
      <c r="W17">
        <f>HYPERLINK("https://klasma.github.io/Logging_0330/klagomålsmail/A 21557-2020 FSC-klagomål mail.docx", "A 21557-2020")</f>
        <v/>
      </c>
      <c r="X17">
        <f>HYPERLINK("https://klasma.github.io/Logging_0330/tillsyn/A 21557-2020 tillsynsbegäran.docx", "A 21557-2020")</f>
        <v/>
      </c>
      <c r="Y17">
        <f>HYPERLINK("https://klasma.github.io/Logging_0330/tillsynsmail/A 21557-2020 tillsynsbegäran mail.docx", "A 21557-2020")</f>
        <v/>
      </c>
      <c r="Z17">
        <f>HYPERLINK("https://klasma.github.io/Logging_0330/fåglar/A 21557-2020 prioriterade fågelarter.docx", "A 21557-2020")</f>
        <v/>
      </c>
    </row>
    <row r="18" ht="15" customHeight="1">
      <c r="A18" t="inlineStr">
        <is>
          <t>A 42855-2023</t>
        </is>
      </c>
      <c r="B18" s="1" t="n">
        <v>45182</v>
      </c>
      <c r="C18" s="1" t="n">
        <v>45846</v>
      </c>
      <c r="D18" t="inlineStr">
        <is>
          <t>UPPSALA LÄN</t>
        </is>
      </c>
      <c r="E18" t="inlineStr">
        <is>
          <t>ÖSTHAMMAR</t>
        </is>
      </c>
      <c r="F18" t="inlineStr">
        <is>
          <t>Bergvik skog väst AB</t>
        </is>
      </c>
      <c r="G18" t="n">
        <v>7.6</v>
      </c>
      <c r="H18" t="n">
        <v>7</v>
      </c>
      <c r="I18" t="n">
        <v>10</v>
      </c>
      <c r="J18" t="n">
        <v>6</v>
      </c>
      <c r="K18" t="n">
        <v>4</v>
      </c>
      <c r="L18" t="n">
        <v>0</v>
      </c>
      <c r="M18" t="n">
        <v>0</v>
      </c>
      <c r="N18" t="n">
        <v>0</v>
      </c>
      <c r="O18" t="n">
        <v>10</v>
      </c>
      <c r="P18" t="n">
        <v>4</v>
      </c>
      <c r="Q18" t="n">
        <v>22</v>
      </c>
      <c r="R1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8">
        <f>HYPERLINK("https://klasma.github.io/Logging_0382/artfynd/A 42855-2023 artfynd.xlsx", "A 42855-2023")</f>
        <v/>
      </c>
      <c r="T18">
        <f>HYPERLINK("https://klasma.github.io/Logging_0382/kartor/A 42855-2023 karta.png", "A 42855-2023")</f>
        <v/>
      </c>
      <c r="U18">
        <f>HYPERLINK("https://klasma.github.io/Logging_0382/knärot/A 42855-2023 karta knärot.png", "A 42855-2023")</f>
        <v/>
      </c>
      <c r="V18">
        <f>HYPERLINK("https://klasma.github.io/Logging_0382/klagomål/A 42855-2023 FSC-klagomål.docx", "A 42855-2023")</f>
        <v/>
      </c>
      <c r="W18">
        <f>HYPERLINK("https://klasma.github.io/Logging_0382/klagomålsmail/A 42855-2023 FSC-klagomål mail.docx", "A 42855-2023")</f>
        <v/>
      </c>
      <c r="X18">
        <f>HYPERLINK("https://klasma.github.io/Logging_0382/tillsyn/A 42855-2023 tillsynsbegäran.docx", "A 42855-2023")</f>
        <v/>
      </c>
      <c r="Y18">
        <f>HYPERLINK("https://klasma.github.io/Logging_0382/tillsynsmail/A 42855-2023 tillsynsbegäran mail.docx", "A 42855-2023")</f>
        <v/>
      </c>
      <c r="Z18">
        <f>HYPERLINK("https://klasma.github.io/Logging_0382/fåglar/A 42855-2023 prioriterade fågelarter.docx", "A 42855-2023")</f>
        <v/>
      </c>
    </row>
    <row r="19" ht="15" customHeight="1">
      <c r="A19" t="inlineStr">
        <is>
          <t>A 56546-2019</t>
        </is>
      </c>
      <c r="B19" s="1" t="n">
        <v>43763</v>
      </c>
      <c r="C19" s="1" t="n">
        <v>45846</v>
      </c>
      <c r="D19" t="inlineStr">
        <is>
          <t>UPPSALA LÄN</t>
        </is>
      </c>
      <c r="E19" t="inlineStr">
        <is>
          <t>KNIVSTA</t>
        </is>
      </c>
      <c r="F19" t="inlineStr">
        <is>
          <t>Övriga statliga verk och myndigheter</t>
        </is>
      </c>
      <c r="G19" t="n">
        <v>23.3</v>
      </c>
      <c r="H19" t="n">
        <v>4</v>
      </c>
      <c r="I19" t="n">
        <v>13</v>
      </c>
      <c r="J19" t="n">
        <v>4</v>
      </c>
      <c r="K19" t="n">
        <v>0</v>
      </c>
      <c r="L19" t="n">
        <v>1</v>
      </c>
      <c r="M19" t="n">
        <v>1</v>
      </c>
      <c r="N19" t="n">
        <v>0</v>
      </c>
      <c r="O19" t="n">
        <v>6</v>
      </c>
      <c r="P19" t="n">
        <v>2</v>
      </c>
      <c r="Q19" t="n">
        <v>21</v>
      </c>
      <c r="R19"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9">
        <f>HYPERLINK("https://klasma.github.io/Logging_0330/artfynd/A 56546-2019 artfynd.xlsx", "A 56546-2019")</f>
        <v/>
      </c>
      <c r="T19">
        <f>HYPERLINK("https://klasma.github.io/Logging_0330/kartor/A 56546-2019 karta.png", "A 56546-2019")</f>
        <v/>
      </c>
      <c r="V19">
        <f>HYPERLINK("https://klasma.github.io/Logging_0330/klagomål/A 56546-2019 FSC-klagomål.docx", "A 56546-2019")</f>
        <v/>
      </c>
      <c r="W19">
        <f>HYPERLINK("https://klasma.github.io/Logging_0330/klagomålsmail/A 56546-2019 FSC-klagomål mail.docx", "A 56546-2019")</f>
        <v/>
      </c>
      <c r="X19">
        <f>HYPERLINK("https://klasma.github.io/Logging_0330/tillsyn/A 56546-2019 tillsynsbegäran.docx", "A 56546-2019")</f>
        <v/>
      </c>
      <c r="Y19">
        <f>HYPERLINK("https://klasma.github.io/Logging_0330/tillsynsmail/A 56546-2019 tillsynsbegäran mail.docx", "A 56546-2019")</f>
        <v/>
      </c>
      <c r="Z19">
        <f>HYPERLINK("https://klasma.github.io/Logging_0330/fåglar/A 56546-2019 prioriterade fågelarter.docx", "A 56546-2019")</f>
        <v/>
      </c>
    </row>
    <row r="20" ht="15" customHeight="1">
      <c r="A20" t="inlineStr">
        <is>
          <t>A 33279-2021</t>
        </is>
      </c>
      <c r="B20" s="1" t="n">
        <v>44377</v>
      </c>
      <c r="C20" s="1" t="n">
        <v>45846</v>
      </c>
      <c r="D20" t="inlineStr">
        <is>
          <t>UPPSALA LÄN</t>
        </is>
      </c>
      <c r="E20" t="inlineStr">
        <is>
          <t>UPPSALA</t>
        </is>
      </c>
      <c r="F20" t="inlineStr">
        <is>
          <t>Holmen skog AB</t>
        </is>
      </c>
      <c r="G20" t="n">
        <v>18.8</v>
      </c>
      <c r="H20" t="n">
        <v>4</v>
      </c>
      <c r="I20" t="n">
        <v>14</v>
      </c>
      <c r="J20" t="n">
        <v>3</v>
      </c>
      <c r="K20" t="n">
        <v>2</v>
      </c>
      <c r="L20" t="n">
        <v>0</v>
      </c>
      <c r="M20" t="n">
        <v>0</v>
      </c>
      <c r="N20" t="n">
        <v>0</v>
      </c>
      <c r="O20" t="n">
        <v>5</v>
      </c>
      <c r="P20" t="n">
        <v>2</v>
      </c>
      <c r="Q20" t="n">
        <v>21</v>
      </c>
      <c r="R20"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20">
        <f>HYPERLINK("https://klasma.github.io/Logging_0380/artfynd/A 33279-2021 artfynd.xlsx", "A 33279-2021")</f>
        <v/>
      </c>
      <c r="T20">
        <f>HYPERLINK("https://klasma.github.io/Logging_0380/kartor/A 33279-2021 karta.png", "A 33279-2021")</f>
        <v/>
      </c>
      <c r="V20">
        <f>HYPERLINK("https://klasma.github.io/Logging_0380/klagomål/A 33279-2021 FSC-klagomål.docx", "A 33279-2021")</f>
        <v/>
      </c>
      <c r="W20">
        <f>HYPERLINK("https://klasma.github.io/Logging_0380/klagomålsmail/A 33279-2021 FSC-klagomål mail.docx", "A 33279-2021")</f>
        <v/>
      </c>
      <c r="X20">
        <f>HYPERLINK("https://klasma.github.io/Logging_0380/tillsyn/A 33279-2021 tillsynsbegäran.docx", "A 33279-2021")</f>
        <v/>
      </c>
      <c r="Y20">
        <f>HYPERLINK("https://klasma.github.io/Logging_0380/tillsynsmail/A 33279-2021 tillsynsbegäran mail.docx", "A 33279-2021")</f>
        <v/>
      </c>
    </row>
    <row r="21" ht="15" customHeight="1">
      <c r="A21" t="inlineStr">
        <is>
          <t>A 19961-2022</t>
        </is>
      </c>
      <c r="B21" s="1" t="n">
        <v>44697</v>
      </c>
      <c r="C21" s="1" t="n">
        <v>45846</v>
      </c>
      <c r="D21" t="inlineStr">
        <is>
          <t>UPPSALA LÄN</t>
        </is>
      </c>
      <c r="E21" t="inlineStr">
        <is>
          <t>ENKÖPING</t>
        </is>
      </c>
      <c r="G21" t="n">
        <v>1.2</v>
      </c>
      <c r="H21" t="n">
        <v>3</v>
      </c>
      <c r="I21" t="n">
        <v>9</v>
      </c>
      <c r="J21" t="n">
        <v>5</v>
      </c>
      <c r="K21" t="n">
        <v>5</v>
      </c>
      <c r="L21" t="n">
        <v>0</v>
      </c>
      <c r="M21" t="n">
        <v>0</v>
      </c>
      <c r="N21" t="n">
        <v>0</v>
      </c>
      <c r="O21" t="n">
        <v>10</v>
      </c>
      <c r="P21" t="n">
        <v>5</v>
      </c>
      <c r="Q21" t="n">
        <v>21</v>
      </c>
      <c r="R21"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1">
        <f>HYPERLINK("https://klasma.github.io/Logging_0381/artfynd/A 19961-2022 artfynd.xlsx", "A 19961-2022")</f>
        <v/>
      </c>
      <c r="T21">
        <f>HYPERLINK("https://klasma.github.io/Logging_0381/kartor/A 19961-2022 karta.png", "A 19961-2022")</f>
        <v/>
      </c>
      <c r="V21">
        <f>HYPERLINK("https://klasma.github.io/Logging_0381/klagomål/A 19961-2022 FSC-klagomål.docx", "A 19961-2022")</f>
        <v/>
      </c>
      <c r="W21">
        <f>HYPERLINK("https://klasma.github.io/Logging_0381/klagomålsmail/A 19961-2022 FSC-klagomål mail.docx", "A 19961-2022")</f>
        <v/>
      </c>
      <c r="X21">
        <f>HYPERLINK("https://klasma.github.io/Logging_0381/tillsyn/A 19961-2022 tillsynsbegäran.docx", "A 19961-2022")</f>
        <v/>
      </c>
      <c r="Y21">
        <f>HYPERLINK("https://klasma.github.io/Logging_0381/tillsynsmail/A 19961-2022 tillsynsbegäran mail.docx", "A 19961-2022")</f>
        <v/>
      </c>
    </row>
    <row r="22" ht="15" customHeight="1">
      <c r="A22" t="inlineStr">
        <is>
          <t>A 2523-2024</t>
        </is>
      </c>
      <c r="B22" s="1" t="n">
        <v>45313</v>
      </c>
      <c r="C22" s="1" t="n">
        <v>45846</v>
      </c>
      <c r="D22" t="inlineStr">
        <is>
          <t>UPPSALA LÄN</t>
        </is>
      </c>
      <c r="E22" t="inlineStr">
        <is>
          <t>UPPSALA</t>
        </is>
      </c>
      <c r="G22" t="n">
        <v>18.8</v>
      </c>
      <c r="H22" t="n">
        <v>7</v>
      </c>
      <c r="I22" t="n">
        <v>6</v>
      </c>
      <c r="J22" t="n">
        <v>10</v>
      </c>
      <c r="K22" t="n">
        <v>1</v>
      </c>
      <c r="L22" t="n">
        <v>0</v>
      </c>
      <c r="M22" t="n">
        <v>0</v>
      </c>
      <c r="N22" t="n">
        <v>0</v>
      </c>
      <c r="O22" t="n">
        <v>11</v>
      </c>
      <c r="P22" t="n">
        <v>1</v>
      </c>
      <c r="Q22" t="n">
        <v>20</v>
      </c>
      <c r="R22" s="2" t="inlineStr">
        <is>
          <t>Knärot
Granticka
Lunglav
Rutskinn
Rödbrun blekspik
Spillkråka
Tallticka
Talltita
Tretåig hackspett
Ullticka
Vedskivlav
Brandticka
Bronshjon
Grönpyrola
Rostfläck
Stubbspretmossa
Trådticka
Tjäder
Blåsippa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21006-2024</t>
        </is>
      </c>
      <c r="B23" s="1" t="n">
        <v>45439</v>
      </c>
      <c r="C23" s="1" t="n">
        <v>45846</v>
      </c>
      <c r="D23" t="inlineStr">
        <is>
          <t>UPPSALA LÄN</t>
        </is>
      </c>
      <c r="E23" t="inlineStr">
        <is>
          <t>ÖSTHAMMAR</t>
        </is>
      </c>
      <c r="F23" t="inlineStr">
        <is>
          <t>Bergvik skog öst AB</t>
        </is>
      </c>
      <c r="G23" t="n">
        <v>3.8</v>
      </c>
      <c r="H23" t="n">
        <v>1</v>
      </c>
      <c r="I23" t="n">
        <v>10</v>
      </c>
      <c r="J23" t="n">
        <v>3</v>
      </c>
      <c r="K23" t="n">
        <v>6</v>
      </c>
      <c r="L23" t="n">
        <v>0</v>
      </c>
      <c r="M23" t="n">
        <v>0</v>
      </c>
      <c r="N23" t="n">
        <v>0</v>
      </c>
      <c r="O23" t="n">
        <v>9</v>
      </c>
      <c r="P23" t="n">
        <v>6</v>
      </c>
      <c r="Q23" t="n">
        <v>20</v>
      </c>
      <c r="R23"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3">
        <f>HYPERLINK("https://klasma.github.io/Logging_0382/artfynd/A 21006-2024 artfynd.xlsx", "A 21006-2024")</f>
        <v/>
      </c>
      <c r="T23">
        <f>HYPERLINK("https://klasma.github.io/Logging_0382/kartor/A 21006-2024 karta.png", "A 21006-2024")</f>
        <v/>
      </c>
      <c r="V23">
        <f>HYPERLINK("https://klasma.github.io/Logging_0382/klagomål/A 21006-2024 FSC-klagomål.docx", "A 21006-2024")</f>
        <v/>
      </c>
      <c r="W23">
        <f>HYPERLINK("https://klasma.github.io/Logging_0382/klagomålsmail/A 21006-2024 FSC-klagomål mail.docx", "A 21006-2024")</f>
        <v/>
      </c>
      <c r="X23">
        <f>HYPERLINK("https://klasma.github.io/Logging_0382/tillsyn/A 21006-2024 tillsynsbegäran.docx", "A 21006-2024")</f>
        <v/>
      </c>
      <c r="Y23">
        <f>HYPERLINK("https://klasma.github.io/Logging_0382/tillsynsmail/A 21006-2024 tillsynsbegäran mail.docx", "A 21006-2024")</f>
        <v/>
      </c>
    </row>
    <row r="24" ht="15" customHeight="1">
      <c r="A24" t="inlineStr">
        <is>
          <t>A 45170-2024</t>
        </is>
      </c>
      <c r="B24" s="1" t="n">
        <v>45575</v>
      </c>
      <c r="C24" s="1" t="n">
        <v>45846</v>
      </c>
      <c r="D24" t="inlineStr">
        <is>
          <t>UPPSALA LÄN</t>
        </is>
      </c>
      <c r="E24" t="inlineStr">
        <is>
          <t>ÖSTHAMMAR</t>
        </is>
      </c>
      <c r="F24" t="inlineStr">
        <is>
          <t>Bergvik skog väst AB</t>
        </is>
      </c>
      <c r="G24" t="n">
        <v>19.7</v>
      </c>
      <c r="H24" t="n">
        <v>5</v>
      </c>
      <c r="I24" t="n">
        <v>11</v>
      </c>
      <c r="J24" t="n">
        <v>7</v>
      </c>
      <c r="K24" t="n">
        <v>1</v>
      </c>
      <c r="L24" t="n">
        <v>0</v>
      </c>
      <c r="M24" t="n">
        <v>0</v>
      </c>
      <c r="N24" t="n">
        <v>0</v>
      </c>
      <c r="O24" t="n">
        <v>8</v>
      </c>
      <c r="P24" t="n">
        <v>1</v>
      </c>
      <c r="Q24" t="n">
        <v>20</v>
      </c>
      <c r="R24"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4">
        <f>HYPERLINK("https://klasma.github.io/Logging_0382/artfynd/A 45170-2024 artfynd.xlsx", "A 45170-2024")</f>
        <v/>
      </c>
      <c r="T24">
        <f>HYPERLINK("https://klasma.github.io/Logging_0382/kartor/A 45170-2024 karta.png", "A 45170-2024")</f>
        <v/>
      </c>
      <c r="V24">
        <f>HYPERLINK("https://klasma.github.io/Logging_0382/klagomål/A 45170-2024 FSC-klagomål.docx", "A 45170-2024")</f>
        <v/>
      </c>
      <c r="W24">
        <f>HYPERLINK("https://klasma.github.io/Logging_0382/klagomålsmail/A 45170-2024 FSC-klagomål mail.docx", "A 45170-2024")</f>
        <v/>
      </c>
      <c r="X24">
        <f>HYPERLINK("https://klasma.github.io/Logging_0382/tillsyn/A 45170-2024 tillsynsbegäran.docx", "A 45170-2024")</f>
        <v/>
      </c>
      <c r="Y24">
        <f>HYPERLINK("https://klasma.github.io/Logging_0382/tillsynsmail/A 45170-2024 tillsynsbegäran mail.docx", "A 45170-2024")</f>
        <v/>
      </c>
      <c r="Z24">
        <f>HYPERLINK("https://klasma.github.io/Logging_0382/fåglar/A 45170-2024 prioriterade fågelarter.docx", "A 45170-2024")</f>
        <v/>
      </c>
    </row>
    <row r="25" ht="15" customHeight="1">
      <c r="A25" t="inlineStr">
        <is>
          <t>A 33126-2021</t>
        </is>
      </c>
      <c r="B25" s="1" t="n">
        <v>44376</v>
      </c>
      <c r="C25" s="1" t="n">
        <v>45846</v>
      </c>
      <c r="D25" t="inlineStr">
        <is>
          <t>UPPSALA LÄN</t>
        </is>
      </c>
      <c r="E25" t="inlineStr">
        <is>
          <t>TIERP</t>
        </is>
      </c>
      <c r="F25" t="inlineStr">
        <is>
          <t>Bergvik skog väst AB</t>
        </is>
      </c>
      <c r="G25" t="n">
        <v>26.6</v>
      </c>
      <c r="H25" t="n">
        <v>8</v>
      </c>
      <c r="I25" t="n">
        <v>12</v>
      </c>
      <c r="J25" t="n">
        <v>2</v>
      </c>
      <c r="K25" t="n">
        <v>1</v>
      </c>
      <c r="L25" t="n">
        <v>1</v>
      </c>
      <c r="M25" t="n">
        <v>0</v>
      </c>
      <c r="N25" t="n">
        <v>0</v>
      </c>
      <c r="O25" t="n">
        <v>4</v>
      </c>
      <c r="P25" t="n">
        <v>2</v>
      </c>
      <c r="Q25" t="n">
        <v>19</v>
      </c>
      <c r="R25" s="2" t="inlineStr">
        <is>
          <t>Ask
Violgubbe
Gultoppig fingersvamp
Spillkråka
Anisspindling
Fjällig taggsvamp s.str.
Guckusko
Kattfotslav
Nästrot
Olivspindling
Rödgul trumpetsvamp
Skogsknipprot
Strimspindling
Sårläka
Tibast
Tvåblad
Fläcknycklar
Blåsippa
Revlummer</t>
        </is>
      </c>
      <c r="S25">
        <f>HYPERLINK("https://klasma.github.io/Logging_0360/artfynd/A 33126-2021 artfynd.xlsx", "A 33126-2021")</f>
        <v/>
      </c>
      <c r="T25">
        <f>HYPERLINK("https://klasma.github.io/Logging_0360/kartor/A 33126-2021 karta.png", "A 33126-2021")</f>
        <v/>
      </c>
      <c r="V25">
        <f>HYPERLINK("https://klasma.github.io/Logging_0360/klagomål/A 33126-2021 FSC-klagomål.docx", "A 33126-2021")</f>
        <v/>
      </c>
      <c r="W25">
        <f>HYPERLINK("https://klasma.github.io/Logging_0360/klagomålsmail/A 33126-2021 FSC-klagomål mail.docx", "A 33126-2021")</f>
        <v/>
      </c>
      <c r="X25">
        <f>HYPERLINK("https://klasma.github.io/Logging_0360/tillsyn/A 33126-2021 tillsynsbegäran.docx", "A 33126-2021")</f>
        <v/>
      </c>
      <c r="Y25">
        <f>HYPERLINK("https://klasma.github.io/Logging_0360/tillsynsmail/A 33126-2021 tillsynsbegäran mail.docx", "A 33126-2021")</f>
        <v/>
      </c>
      <c r="Z25">
        <f>HYPERLINK("https://klasma.github.io/Logging_0360/fåglar/A 33126-2021 prioriterade fågelarter.docx", "A 33126-2021")</f>
        <v/>
      </c>
    </row>
    <row r="26" ht="15" customHeight="1">
      <c r="A26" t="inlineStr">
        <is>
          <t>A 7309-2024</t>
        </is>
      </c>
      <c r="B26" s="1" t="n">
        <v>45345</v>
      </c>
      <c r="C26" s="1" t="n">
        <v>45846</v>
      </c>
      <c r="D26" t="inlineStr">
        <is>
          <t>UPPSALA LÄN</t>
        </is>
      </c>
      <c r="E26" t="inlineStr">
        <is>
          <t>TIERP</t>
        </is>
      </c>
      <c r="F26" t="inlineStr">
        <is>
          <t>Bergvik skog öst AB</t>
        </is>
      </c>
      <c r="G26" t="n">
        <v>26.7</v>
      </c>
      <c r="H26" t="n">
        <v>7</v>
      </c>
      <c r="I26" t="n">
        <v>6</v>
      </c>
      <c r="J26" t="n">
        <v>6</v>
      </c>
      <c r="K26" t="n">
        <v>3</v>
      </c>
      <c r="L26" t="n">
        <v>0</v>
      </c>
      <c r="M26" t="n">
        <v>0</v>
      </c>
      <c r="N26" t="n">
        <v>0</v>
      </c>
      <c r="O26" t="n">
        <v>9</v>
      </c>
      <c r="P26" t="n">
        <v>3</v>
      </c>
      <c r="Q26" t="n">
        <v>19</v>
      </c>
      <c r="R26" s="2" t="inlineStr">
        <is>
          <t>Knärot
Ringlav
Vågticka
Kolflarnlav
Kortskaftad ärgspik
Spillkråka
Talltita
Ullticka
Vedskivlav
Brandticka
Bronshjon
Kattfotslav
Thomsons trägnagare
Vedticka
Vågbandad barkbock
Kungsfågel
Tjäder
Blåsippa
Revlummer</t>
        </is>
      </c>
      <c r="S26">
        <f>HYPERLINK("https://klasma.github.io/Logging_0360/artfynd/A 7309-2024 artfynd.xlsx", "A 7309-2024")</f>
        <v/>
      </c>
      <c r="T26">
        <f>HYPERLINK("https://klasma.github.io/Logging_0360/kartor/A 7309-2024 karta.png", "A 7309-2024")</f>
        <v/>
      </c>
      <c r="U26">
        <f>HYPERLINK("https://klasma.github.io/Logging_0360/knärot/A 7309-2024 karta knärot.png", "A 7309-2024")</f>
        <v/>
      </c>
      <c r="V26">
        <f>HYPERLINK("https://klasma.github.io/Logging_0360/klagomål/A 7309-2024 FSC-klagomål.docx", "A 7309-2024")</f>
        <v/>
      </c>
      <c r="W26">
        <f>HYPERLINK("https://klasma.github.io/Logging_0360/klagomålsmail/A 7309-2024 FSC-klagomål mail.docx", "A 7309-2024")</f>
        <v/>
      </c>
      <c r="X26">
        <f>HYPERLINK("https://klasma.github.io/Logging_0360/tillsyn/A 7309-2024 tillsynsbegäran.docx", "A 7309-2024")</f>
        <v/>
      </c>
      <c r="Y26">
        <f>HYPERLINK("https://klasma.github.io/Logging_0360/tillsynsmail/A 7309-2024 tillsynsbegäran mail.docx", "A 7309-2024")</f>
        <v/>
      </c>
      <c r="Z26">
        <f>HYPERLINK("https://klasma.github.io/Logging_0360/fåglar/A 7309-2024 prioriterade fågelarter.docx", "A 7309-2024")</f>
        <v/>
      </c>
    </row>
    <row r="27" ht="15" customHeight="1">
      <c r="A27" t="inlineStr">
        <is>
          <t>A 162-2025</t>
        </is>
      </c>
      <c r="B27" s="1" t="n">
        <v>45659</v>
      </c>
      <c r="C27" s="1" t="n">
        <v>45846</v>
      </c>
      <c r="D27" t="inlineStr">
        <is>
          <t>UPPSALA LÄN</t>
        </is>
      </c>
      <c r="E27" t="inlineStr">
        <is>
          <t>TIERP</t>
        </is>
      </c>
      <c r="F27" t="inlineStr">
        <is>
          <t>Bergvik skog öst AB</t>
        </is>
      </c>
      <c r="G27" t="n">
        <v>22.4</v>
      </c>
      <c r="H27" t="n">
        <v>6</v>
      </c>
      <c r="I27" t="n">
        <v>9</v>
      </c>
      <c r="J27" t="n">
        <v>5</v>
      </c>
      <c r="K27" t="n">
        <v>2</v>
      </c>
      <c r="L27" t="n">
        <v>0</v>
      </c>
      <c r="M27" t="n">
        <v>0</v>
      </c>
      <c r="N27" t="n">
        <v>0</v>
      </c>
      <c r="O27" t="n">
        <v>7</v>
      </c>
      <c r="P27" t="n">
        <v>2</v>
      </c>
      <c r="Q27" t="n">
        <v>18</v>
      </c>
      <c r="R27" s="2" t="inlineStr">
        <is>
          <t>Knärot
Rynkskinn
Kortskaftad ärgspik
Rosenticka
Spillkråka
Talltita
Ullticka
Blodticka
Bronshjon
Grön sköldmossa
Grönpyrola
Kattfotslav
Stubbspretmossa
Thomsons trägnagare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44006-2024</t>
        </is>
      </c>
      <c r="B28" s="1" t="n">
        <v>45572</v>
      </c>
      <c r="C28" s="1" t="n">
        <v>45846</v>
      </c>
      <c r="D28" t="inlineStr">
        <is>
          <t>UPPSALA LÄN</t>
        </is>
      </c>
      <c r="E28" t="inlineStr">
        <is>
          <t>ÖSTHAMMAR</t>
        </is>
      </c>
      <c r="G28" t="n">
        <v>12.8</v>
      </c>
      <c r="H28" t="n">
        <v>5</v>
      </c>
      <c r="I28" t="n">
        <v>8</v>
      </c>
      <c r="J28" t="n">
        <v>4</v>
      </c>
      <c r="K28" t="n">
        <v>3</v>
      </c>
      <c r="L28" t="n">
        <v>0</v>
      </c>
      <c r="M28" t="n">
        <v>0</v>
      </c>
      <c r="N28" t="n">
        <v>0</v>
      </c>
      <c r="O28" t="n">
        <v>7</v>
      </c>
      <c r="P28" t="n">
        <v>3</v>
      </c>
      <c r="Q28" t="n">
        <v>17</v>
      </c>
      <c r="R28" s="2" t="inlineStr">
        <is>
          <t>Knärot
Kopparspindling
Läderdoftande fingersvamp
Spillkråka
Såpfingersvamp
Talltita
Ullticka
Brandticka
Fjällig taggsvamp s.str.
Grönpyrola
Olivspindling
Rödgul trumpetsvamp
Svavelriska
Trådticka
Vågbandad barkbock
Kungsfågel
Blåsippa</t>
        </is>
      </c>
      <c r="S28">
        <f>HYPERLINK("https://klasma.github.io/Logging_0382/artfynd/A 44006-2024 artfynd.xlsx", "A 44006-2024")</f>
        <v/>
      </c>
      <c r="T28">
        <f>HYPERLINK("https://klasma.github.io/Logging_0382/kartor/A 44006-2024 karta.png", "A 44006-2024")</f>
        <v/>
      </c>
      <c r="U28">
        <f>HYPERLINK("https://klasma.github.io/Logging_0382/knärot/A 44006-2024 karta knärot.png", "A 44006-2024")</f>
        <v/>
      </c>
      <c r="V28">
        <f>HYPERLINK("https://klasma.github.io/Logging_0382/klagomål/A 44006-2024 FSC-klagomål.docx", "A 44006-2024")</f>
        <v/>
      </c>
      <c r="W28">
        <f>HYPERLINK("https://klasma.github.io/Logging_0382/klagomålsmail/A 44006-2024 FSC-klagomål mail.docx", "A 44006-2024")</f>
        <v/>
      </c>
      <c r="X28">
        <f>HYPERLINK("https://klasma.github.io/Logging_0382/tillsyn/A 44006-2024 tillsynsbegäran.docx", "A 44006-2024")</f>
        <v/>
      </c>
      <c r="Y28">
        <f>HYPERLINK("https://klasma.github.io/Logging_0382/tillsynsmail/A 44006-2024 tillsynsbegäran mail.docx", "A 44006-2024")</f>
        <v/>
      </c>
      <c r="Z28">
        <f>HYPERLINK("https://klasma.github.io/Logging_0382/fåglar/A 44006-2024 prioriterade fågelarter.docx", "A 44006-2024")</f>
        <v/>
      </c>
    </row>
    <row r="29" ht="15" customHeight="1">
      <c r="A29" t="inlineStr">
        <is>
          <t>A 42562-2020</t>
        </is>
      </c>
      <c r="B29" s="1" t="n">
        <v>44077</v>
      </c>
      <c r="C29" s="1" t="n">
        <v>45846</v>
      </c>
      <c r="D29" t="inlineStr">
        <is>
          <t>UPPSALA LÄN</t>
        </is>
      </c>
      <c r="E29" t="inlineStr">
        <is>
          <t>ÖSTHAMMAR</t>
        </is>
      </c>
      <c r="G29" t="n">
        <v>6.6</v>
      </c>
      <c r="H29" t="n">
        <v>3</v>
      </c>
      <c r="I29" t="n">
        <v>9</v>
      </c>
      <c r="J29" t="n">
        <v>4</v>
      </c>
      <c r="K29" t="n">
        <v>2</v>
      </c>
      <c r="L29" t="n">
        <v>1</v>
      </c>
      <c r="M29" t="n">
        <v>0</v>
      </c>
      <c r="N29" t="n">
        <v>0</v>
      </c>
      <c r="O29" t="n">
        <v>7</v>
      </c>
      <c r="P29" t="n">
        <v>3</v>
      </c>
      <c r="Q29" t="n">
        <v>16</v>
      </c>
      <c r="R29" s="2" t="inlineStr">
        <is>
          <t>Raggtaggsvamp
Knärot
Koppartaggsvamp
Garnlav
Gransotdyna
Granticka
Vedtrappmossa
Dropptaggsvamp
Granbarkgnagare
Grön sköldmossa
Grönpyrola
Kattfotslav
Nästrot
Stubbspretmossa
Sårläka
Vedticka</t>
        </is>
      </c>
      <c r="S29">
        <f>HYPERLINK("https://klasma.github.io/Logging_0382/artfynd/A 42562-2020 artfynd.xlsx", "A 42562-2020")</f>
        <v/>
      </c>
      <c r="T29">
        <f>HYPERLINK("https://klasma.github.io/Logging_0382/kartor/A 42562-2020 karta.png", "A 42562-2020")</f>
        <v/>
      </c>
      <c r="U29">
        <f>HYPERLINK("https://klasma.github.io/Logging_0382/knärot/A 42562-2020 karta knärot.png", "A 42562-2020")</f>
        <v/>
      </c>
      <c r="V29">
        <f>HYPERLINK("https://klasma.github.io/Logging_0382/klagomål/A 42562-2020 FSC-klagomål.docx", "A 42562-2020")</f>
        <v/>
      </c>
      <c r="W29">
        <f>HYPERLINK("https://klasma.github.io/Logging_0382/klagomålsmail/A 42562-2020 FSC-klagomål mail.docx", "A 42562-2020")</f>
        <v/>
      </c>
      <c r="X29">
        <f>HYPERLINK("https://klasma.github.io/Logging_0382/tillsyn/A 42562-2020 tillsynsbegäran.docx", "A 42562-2020")</f>
        <v/>
      </c>
      <c r="Y29">
        <f>HYPERLINK("https://klasma.github.io/Logging_0382/tillsynsmail/A 42562-2020 tillsynsbegäran mail.docx", "A 42562-2020")</f>
        <v/>
      </c>
    </row>
    <row r="30" ht="15" customHeight="1">
      <c r="A30" t="inlineStr">
        <is>
          <t>A 24492-2023</t>
        </is>
      </c>
      <c r="B30" s="1" t="n">
        <v>45082</v>
      </c>
      <c r="C30" s="1" t="n">
        <v>45846</v>
      </c>
      <c r="D30" t="inlineStr">
        <is>
          <t>UPPSALA LÄN</t>
        </is>
      </c>
      <c r="E30" t="inlineStr">
        <is>
          <t>UPPSALA</t>
        </is>
      </c>
      <c r="F30" t="inlineStr">
        <is>
          <t>Holmen skog AB</t>
        </is>
      </c>
      <c r="G30" t="n">
        <v>8.6</v>
      </c>
      <c r="H30" t="n">
        <v>1</v>
      </c>
      <c r="I30" t="n">
        <v>6</v>
      </c>
      <c r="J30" t="n">
        <v>8</v>
      </c>
      <c r="K30" t="n">
        <v>1</v>
      </c>
      <c r="L30" t="n">
        <v>1</v>
      </c>
      <c r="M30" t="n">
        <v>0</v>
      </c>
      <c r="N30" t="n">
        <v>0</v>
      </c>
      <c r="O30" t="n">
        <v>10</v>
      </c>
      <c r="P30" t="n">
        <v>2</v>
      </c>
      <c r="Q30" t="n">
        <v>16</v>
      </c>
      <c r="R30" s="2" t="inlineStr">
        <is>
          <t>Ask
Vågticka
Blekticka
Ekticka
Jättekamskivling
Kandelabersvamp
Mindre hackspett
Reliktbock
Rödbrun blekspik
Tallticka
Dvärgtufs
Fällmossa
Grovticka
Gulpudrad spiklav
Scharlakansskål
Svart trolldruva</t>
        </is>
      </c>
      <c r="S30">
        <f>HYPERLINK("https://klasma.github.io/Logging_0380/artfynd/A 24492-2023 artfynd.xlsx", "A 24492-2023")</f>
        <v/>
      </c>
      <c r="T30">
        <f>HYPERLINK("https://klasma.github.io/Logging_0380/kartor/A 24492-2023 karta.png", "A 24492-2023")</f>
        <v/>
      </c>
      <c r="V30">
        <f>HYPERLINK("https://klasma.github.io/Logging_0380/klagomål/A 24492-2023 FSC-klagomål.docx", "A 24492-2023")</f>
        <v/>
      </c>
      <c r="W30">
        <f>HYPERLINK("https://klasma.github.io/Logging_0380/klagomålsmail/A 24492-2023 FSC-klagomål mail.docx", "A 24492-2023")</f>
        <v/>
      </c>
      <c r="X30">
        <f>HYPERLINK("https://klasma.github.io/Logging_0380/tillsyn/A 24492-2023 tillsynsbegäran.docx", "A 24492-2023")</f>
        <v/>
      </c>
      <c r="Y30">
        <f>HYPERLINK("https://klasma.github.io/Logging_0380/tillsynsmail/A 24492-2023 tillsynsbegäran mail.docx", "A 24492-2023")</f>
        <v/>
      </c>
      <c r="Z30">
        <f>HYPERLINK("https://klasma.github.io/Logging_0380/fåglar/A 24492-2023 prioriterade fågelarter.docx", "A 24492-2023")</f>
        <v/>
      </c>
    </row>
    <row r="31" ht="15" customHeight="1">
      <c r="A31" t="inlineStr">
        <is>
          <t>A 29232-2023</t>
        </is>
      </c>
      <c r="B31" s="1" t="n">
        <v>45105</v>
      </c>
      <c r="C31" s="1" t="n">
        <v>45846</v>
      </c>
      <c r="D31" t="inlineStr">
        <is>
          <t>UPPSALA LÄN</t>
        </is>
      </c>
      <c r="E31" t="inlineStr">
        <is>
          <t>TIERP</t>
        </is>
      </c>
      <c r="F31" t="inlineStr">
        <is>
          <t>Bergvik skog öst AB</t>
        </is>
      </c>
      <c r="G31" t="n">
        <v>6.8</v>
      </c>
      <c r="H31" t="n">
        <v>4</v>
      </c>
      <c r="I31" t="n">
        <v>7</v>
      </c>
      <c r="J31" t="n">
        <v>5</v>
      </c>
      <c r="K31" t="n">
        <v>2</v>
      </c>
      <c r="L31" t="n">
        <v>0</v>
      </c>
      <c r="M31" t="n">
        <v>0</v>
      </c>
      <c r="N31" t="n">
        <v>0</v>
      </c>
      <c r="O31" t="n">
        <v>7</v>
      </c>
      <c r="P31" t="n">
        <v>2</v>
      </c>
      <c r="Q31" t="n">
        <v>16</v>
      </c>
      <c r="R31" s="2" t="inlineStr">
        <is>
          <t>Rynkskinn
Vågticka
Dofttaggsvamp
Spillkråka
Svartvit taggsvamp
Talltita
Ullticka
Bronshjon
Fjällig taggsvamp s.str.
Grönpyrola
Rödgul trumpetsvamp
Skarp dropptaggsvamp
Vedticka
Vårärt
Vanlig padda
Blåsippa</t>
        </is>
      </c>
      <c r="S31">
        <f>HYPERLINK("https://klasma.github.io/Logging_0360/artfynd/A 29232-2023 artfynd.xlsx", "A 29232-2023")</f>
        <v/>
      </c>
      <c r="T31">
        <f>HYPERLINK("https://klasma.github.io/Logging_0360/kartor/A 29232-2023 karta.png", "A 29232-2023")</f>
        <v/>
      </c>
      <c r="V31">
        <f>HYPERLINK("https://klasma.github.io/Logging_0360/klagomål/A 29232-2023 FSC-klagomål.docx", "A 29232-2023")</f>
        <v/>
      </c>
      <c r="W31">
        <f>HYPERLINK("https://klasma.github.io/Logging_0360/klagomålsmail/A 29232-2023 FSC-klagomål mail.docx", "A 29232-2023")</f>
        <v/>
      </c>
      <c r="X31">
        <f>HYPERLINK("https://klasma.github.io/Logging_0360/tillsyn/A 29232-2023 tillsynsbegäran.docx", "A 29232-2023")</f>
        <v/>
      </c>
      <c r="Y31">
        <f>HYPERLINK("https://klasma.github.io/Logging_0360/tillsynsmail/A 29232-2023 tillsynsbegäran mail.docx", "A 29232-2023")</f>
        <v/>
      </c>
      <c r="Z31">
        <f>HYPERLINK("https://klasma.github.io/Logging_0360/fåglar/A 29232-2023 prioriterade fågelarter.docx", "A 29232-2023")</f>
        <v/>
      </c>
    </row>
    <row r="32" ht="15" customHeight="1">
      <c r="A32" t="inlineStr">
        <is>
          <t>A 49503-2023</t>
        </is>
      </c>
      <c r="B32" s="1" t="n">
        <v>45211</v>
      </c>
      <c r="C32" s="1" t="n">
        <v>45846</v>
      </c>
      <c r="D32" t="inlineStr">
        <is>
          <t>UPPSALA LÄN</t>
        </is>
      </c>
      <c r="E32" t="inlineStr">
        <is>
          <t>HEBY</t>
        </is>
      </c>
      <c r="G32" t="n">
        <v>3.9</v>
      </c>
      <c r="H32" t="n">
        <v>4</v>
      </c>
      <c r="I32" t="n">
        <v>4</v>
      </c>
      <c r="J32" t="n">
        <v>8</v>
      </c>
      <c r="K32" t="n">
        <v>2</v>
      </c>
      <c r="L32" t="n">
        <v>0</v>
      </c>
      <c r="M32" t="n">
        <v>0</v>
      </c>
      <c r="N32" t="n">
        <v>0</v>
      </c>
      <c r="O32" t="n">
        <v>10</v>
      </c>
      <c r="P32" t="n">
        <v>2</v>
      </c>
      <c r="Q32" t="n">
        <v>16</v>
      </c>
      <c r="R32" s="2" t="inlineStr">
        <is>
          <t>Grangråticka
Knärot
Garnlav
Gul taggsvamp
Gultoppig fingersvamp
Kortskaftad ärgspik
Tallticka
Talltita
Ullticka
Vedtrappmossa
Dvärgtufs
Rödgul trumpetsvamp
Skarp dropptaggsvamp
Vedticka
Fläcknycklar
Blåsippa</t>
        </is>
      </c>
      <c r="S32">
        <f>HYPERLINK("https://klasma.github.io/Logging_0331/artfynd/A 49503-2023 artfynd.xlsx", "A 49503-2023")</f>
        <v/>
      </c>
      <c r="T32">
        <f>HYPERLINK("https://klasma.github.io/Logging_0331/kartor/A 49503-2023 karta.png", "A 49503-2023")</f>
        <v/>
      </c>
      <c r="U32">
        <f>HYPERLINK("https://klasma.github.io/Logging_0331/knärot/A 49503-2023 karta knärot.png", "A 49503-2023")</f>
        <v/>
      </c>
      <c r="V32">
        <f>HYPERLINK("https://klasma.github.io/Logging_0331/klagomål/A 49503-2023 FSC-klagomål.docx", "A 49503-2023")</f>
        <v/>
      </c>
      <c r="W32">
        <f>HYPERLINK("https://klasma.github.io/Logging_0331/klagomålsmail/A 49503-2023 FSC-klagomål mail.docx", "A 49503-2023")</f>
        <v/>
      </c>
      <c r="X32">
        <f>HYPERLINK("https://klasma.github.io/Logging_0331/tillsyn/A 49503-2023 tillsynsbegäran.docx", "A 49503-2023")</f>
        <v/>
      </c>
      <c r="Y32">
        <f>HYPERLINK("https://klasma.github.io/Logging_0331/tillsynsmail/A 49503-2023 tillsynsbegäran mail.docx", "A 49503-2023")</f>
        <v/>
      </c>
      <c r="Z32">
        <f>HYPERLINK("https://klasma.github.io/Logging_0331/fåglar/A 49503-2023 prioriterade fågelarter.docx", "A 49503-2023")</f>
        <v/>
      </c>
    </row>
    <row r="33" ht="15" customHeight="1">
      <c r="A33" t="inlineStr">
        <is>
          <t>A 9409-2025</t>
        </is>
      </c>
      <c r="B33" s="1" t="n">
        <v>45715</v>
      </c>
      <c r="C33" s="1" t="n">
        <v>45846</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HYPERLINK("https://klasma.github.io/Logging_030380/artfynd/A 9409-2025 artfynd.xlsx", "A 9409-2025")</f>
        <v/>
      </c>
      <c r="T33">
        <f>HYPERLINK("https://klasma.github.io/Logging_030380/kartor/A 9409-2025 karta.png", "A 9409-2025")</f>
        <v/>
      </c>
      <c r="U33">
        <f>HYPERLINK("https://klasma.github.io/Logging_030380/knärot/A 9409-2025 karta knärot.png", "A 9409-2025")</f>
        <v/>
      </c>
      <c r="V33">
        <f>HYPERLINK("https://klasma.github.io/Logging_030380/klagomål/A 9409-2025 FSC-klagomål.docx", "A 9409-2025")</f>
        <v/>
      </c>
      <c r="W33">
        <f>HYPERLINK("https://klasma.github.io/Logging_030380/klagomålsmail/A 9409-2025 FSC-klagomål mail.docx", "A 9409-2025")</f>
        <v/>
      </c>
      <c r="X33">
        <f>HYPERLINK("https://klasma.github.io/Logging_030380/tillsyn/A 9409-2025 tillsynsbegäran.docx", "A 9409-2025")</f>
        <v/>
      </c>
      <c r="Y33">
        <f>HYPERLINK("https://klasma.github.io/Logging_030380/tillsynsmail/A 9409-2025 tillsynsbegäran mail.docx", "A 9409-2025")</f>
        <v/>
      </c>
      <c r="Z33">
        <f>HYPERLINK("https://klasma.github.io/Logging_030380/fåglar/A 9409-2025 prioriterade fågelarter.docx", "A 9409-2025")</f>
        <v/>
      </c>
    </row>
    <row r="34" ht="15" customHeight="1">
      <c r="A34" t="inlineStr">
        <is>
          <t>A 11833-2025</t>
        </is>
      </c>
      <c r="B34" s="1" t="n">
        <v>45728</v>
      </c>
      <c r="C34" s="1" t="n">
        <v>45846</v>
      </c>
      <c r="D34" t="inlineStr">
        <is>
          <t>UPPSALA LÄN</t>
        </is>
      </c>
      <c r="E34" t="inlineStr">
        <is>
          <t>UPPSALA</t>
        </is>
      </c>
      <c r="F34" t="inlineStr">
        <is>
          <t>Kyrkan</t>
        </is>
      </c>
      <c r="G34" t="n">
        <v>13</v>
      </c>
      <c r="H34" t="n">
        <v>6</v>
      </c>
      <c r="I34" t="n">
        <v>4</v>
      </c>
      <c r="J34" t="n">
        <v>9</v>
      </c>
      <c r="K34" t="n">
        <v>1</v>
      </c>
      <c r="L34" t="n">
        <v>0</v>
      </c>
      <c r="M34" t="n">
        <v>0</v>
      </c>
      <c r="N34" t="n">
        <v>0</v>
      </c>
      <c r="O34" t="n">
        <v>10</v>
      </c>
      <c r="P34" t="n">
        <v>1</v>
      </c>
      <c r="Q34" t="n">
        <v>16</v>
      </c>
      <c r="R34" s="2" t="inlineStr">
        <is>
          <t>Knärot
Dvärgbägarlav
Garnlav
Järpe
Kolflarnlav
Spillkråka
Talltita
Ullticka
Vedskivlav
Vedtrappmossa
Flagellkvastmossa
Grönpyrola
Kattfotslav
Rostfläck
Kungsfågel
Tjäder</t>
        </is>
      </c>
      <c r="S34">
        <f>HYPERLINK("https://klasma.github.io/Logging_030380/artfynd/A 11833-2025 artfynd.xlsx", "A 11833-2025")</f>
        <v/>
      </c>
      <c r="T34">
        <f>HYPERLINK("https://klasma.github.io/Logging_030380/kartor/A 11833-2025 karta.png", "A 11833-2025")</f>
        <v/>
      </c>
      <c r="U34">
        <f>HYPERLINK("https://klasma.github.io/Logging_030380/knärot/A 11833-2025 karta knärot.png", "A 11833-2025")</f>
        <v/>
      </c>
      <c r="V34">
        <f>HYPERLINK("https://klasma.github.io/Logging_030380/klagomål/A 11833-2025 FSC-klagomål.docx", "A 11833-2025")</f>
        <v/>
      </c>
      <c r="W34">
        <f>HYPERLINK("https://klasma.github.io/Logging_030380/klagomålsmail/A 11833-2025 FSC-klagomål mail.docx", "A 11833-2025")</f>
        <v/>
      </c>
      <c r="X34">
        <f>HYPERLINK("https://klasma.github.io/Logging_030380/tillsyn/A 11833-2025 tillsynsbegäran.docx", "A 11833-2025")</f>
        <v/>
      </c>
      <c r="Y34">
        <f>HYPERLINK("https://klasma.github.io/Logging_030380/tillsynsmail/A 11833-2025 tillsynsbegäran mail.docx", "A 11833-2025")</f>
        <v/>
      </c>
      <c r="Z34">
        <f>HYPERLINK("https://klasma.github.io/Logging_030380/fåglar/A 11833-2025 prioriterade fågelarter.docx", "A 11833-2025")</f>
        <v/>
      </c>
    </row>
    <row r="35" ht="15" customHeight="1">
      <c r="A35" t="inlineStr">
        <is>
          <t>A 26934-2021</t>
        </is>
      </c>
      <c r="B35" s="1" t="n">
        <v>44349</v>
      </c>
      <c r="C35" s="1" t="n">
        <v>45846</v>
      </c>
      <c r="D35" t="inlineStr">
        <is>
          <t>UPPSALA LÄN</t>
        </is>
      </c>
      <c r="E35" t="inlineStr">
        <is>
          <t>UPPSALA</t>
        </is>
      </c>
      <c r="G35" t="n">
        <v>4.4</v>
      </c>
      <c r="H35" t="n">
        <v>2</v>
      </c>
      <c r="I35" t="n">
        <v>13</v>
      </c>
      <c r="J35" t="n">
        <v>1</v>
      </c>
      <c r="K35" t="n">
        <v>0</v>
      </c>
      <c r="L35" t="n">
        <v>0</v>
      </c>
      <c r="M35" t="n">
        <v>0</v>
      </c>
      <c r="N35" t="n">
        <v>0</v>
      </c>
      <c r="O35" t="n">
        <v>1</v>
      </c>
      <c r="P35" t="n">
        <v>0</v>
      </c>
      <c r="Q35" t="n">
        <v>15</v>
      </c>
      <c r="R35" s="2" t="inlineStr">
        <is>
          <t>Lunglav
Barkticka
Blek stjärnmossa
Blåsfliksmossa
Fällmossa
Grön sköldmossa
Guldlockmossa
Korallblylav
Luddlav
Platt fjädermossa
Skinnlav
Svart trolldruva
Trubbfjädermossa
Underviol
Blåsippa</t>
        </is>
      </c>
      <c r="S35">
        <f>HYPERLINK("https://klasma.github.io/Logging_0380/artfynd/A 26934-2021 artfynd.xlsx", "A 26934-2021")</f>
        <v/>
      </c>
      <c r="T35">
        <f>HYPERLINK("https://klasma.github.io/Logging_0380/kartor/A 26934-2021 karta.png", "A 26934-2021")</f>
        <v/>
      </c>
      <c r="V35">
        <f>HYPERLINK("https://klasma.github.io/Logging_0380/klagomål/A 26934-2021 FSC-klagomål.docx", "A 26934-2021")</f>
        <v/>
      </c>
      <c r="W35">
        <f>HYPERLINK("https://klasma.github.io/Logging_0380/klagomålsmail/A 26934-2021 FSC-klagomål mail.docx", "A 26934-2021")</f>
        <v/>
      </c>
      <c r="X35">
        <f>HYPERLINK("https://klasma.github.io/Logging_0380/tillsyn/A 26934-2021 tillsynsbegäran.docx", "A 26934-2021")</f>
        <v/>
      </c>
      <c r="Y35">
        <f>HYPERLINK("https://klasma.github.io/Logging_0380/tillsynsmail/A 26934-2021 tillsynsbegäran mail.docx", "A 26934-2021")</f>
        <v/>
      </c>
    </row>
    <row r="36" ht="15" customHeight="1">
      <c r="A36" t="inlineStr">
        <is>
          <t>A 14834-2023</t>
        </is>
      </c>
      <c r="B36" s="1" t="n">
        <v>45013</v>
      </c>
      <c r="C36" s="1" t="n">
        <v>45846</v>
      </c>
      <c r="D36" t="inlineStr">
        <is>
          <t>UPPSALA LÄN</t>
        </is>
      </c>
      <c r="E36" t="inlineStr">
        <is>
          <t>UPPSALA</t>
        </is>
      </c>
      <c r="G36" t="n">
        <v>7.6</v>
      </c>
      <c r="H36" t="n">
        <v>15</v>
      </c>
      <c r="I36" t="n">
        <v>0</v>
      </c>
      <c r="J36" t="n">
        <v>10</v>
      </c>
      <c r="K36" t="n">
        <v>2</v>
      </c>
      <c r="L36" t="n">
        <v>1</v>
      </c>
      <c r="M36" t="n">
        <v>0</v>
      </c>
      <c r="N36" t="n">
        <v>0</v>
      </c>
      <c r="O36" t="n">
        <v>13</v>
      </c>
      <c r="P36" t="n">
        <v>3</v>
      </c>
      <c r="Q36" t="n">
        <v>15</v>
      </c>
      <c r="R36" s="2" t="inlineStr">
        <is>
          <t>Grönfink
Gråtrut
Stare
Björktrast
Buskskvätta
Duvhök
Entita
Fiskmås
Gulsparv
Mindre hackspett
Rödvingetrast
Skrattmås
Spillkråka
Gråkråka
Skogsduva</t>
        </is>
      </c>
      <c r="S36">
        <f>HYPERLINK("https://klasma.github.io/Logging_0380/artfynd/A 14834-2023 artfynd.xlsx", "A 14834-2023")</f>
        <v/>
      </c>
      <c r="T36">
        <f>HYPERLINK("https://klasma.github.io/Logging_0380/kartor/A 14834-2023 karta.png", "A 14834-2023")</f>
        <v/>
      </c>
      <c r="V36">
        <f>HYPERLINK("https://klasma.github.io/Logging_0380/klagomål/A 14834-2023 FSC-klagomål.docx", "A 14834-2023")</f>
        <v/>
      </c>
      <c r="W36">
        <f>HYPERLINK("https://klasma.github.io/Logging_0380/klagomålsmail/A 14834-2023 FSC-klagomål mail.docx", "A 14834-2023")</f>
        <v/>
      </c>
      <c r="X36">
        <f>HYPERLINK("https://klasma.github.io/Logging_0380/tillsyn/A 14834-2023 tillsynsbegäran.docx", "A 14834-2023")</f>
        <v/>
      </c>
      <c r="Y36">
        <f>HYPERLINK("https://klasma.github.io/Logging_0380/tillsynsmail/A 14834-2023 tillsynsbegäran mail.docx", "A 14834-2023")</f>
        <v/>
      </c>
      <c r="Z36">
        <f>HYPERLINK("https://klasma.github.io/Logging_0380/fåglar/A 14834-2023 prioriterade fågelarter.docx", "A 14834-2023")</f>
        <v/>
      </c>
    </row>
    <row r="37" ht="15" customHeight="1">
      <c r="A37" t="inlineStr">
        <is>
          <t>A 43609-2023</t>
        </is>
      </c>
      <c r="B37" s="1" t="n">
        <v>45181</v>
      </c>
      <c r="C37" s="1" t="n">
        <v>45846</v>
      </c>
      <c r="D37" t="inlineStr">
        <is>
          <t>UPPSALA LÄN</t>
        </is>
      </c>
      <c r="E37" t="inlineStr">
        <is>
          <t>TIERP</t>
        </is>
      </c>
      <c r="G37" t="n">
        <v>7.9</v>
      </c>
      <c r="H37" t="n">
        <v>0</v>
      </c>
      <c r="I37" t="n">
        <v>6</v>
      </c>
      <c r="J37" t="n">
        <v>5</v>
      </c>
      <c r="K37" t="n">
        <v>2</v>
      </c>
      <c r="L37" t="n">
        <v>1</v>
      </c>
      <c r="M37" t="n">
        <v>0</v>
      </c>
      <c r="N37" t="n">
        <v>0</v>
      </c>
      <c r="O37" t="n">
        <v>8</v>
      </c>
      <c r="P37" t="n">
        <v>3</v>
      </c>
      <c r="Q37" t="n">
        <v>14</v>
      </c>
      <c r="R37" s="2" t="inlineStr">
        <is>
          <t>Raggtaggsvamp
Duvspindling
Violgubbe
Blek fingersvamp
Granticka
Odörspindling
Svart taggsvamp
Äggspindling
Anisspindling
Fjällig taggsvamp s.str.
Olivspindling
Rödgul trumpetsvamp
Skarp dropptaggsvamp
Svavelriska</t>
        </is>
      </c>
      <c r="S37">
        <f>HYPERLINK("https://klasma.github.io/Logging_0360/artfynd/A 43609-2023 artfynd.xlsx", "A 43609-2023")</f>
        <v/>
      </c>
      <c r="T37">
        <f>HYPERLINK("https://klasma.github.io/Logging_0360/kartor/A 43609-2023 karta.png", "A 43609-2023")</f>
        <v/>
      </c>
      <c r="U37">
        <f>HYPERLINK("https://klasma.github.io/Logging_0360/knärot/A 43609-2023 karta knärot.png", "A 43609-2023")</f>
        <v/>
      </c>
      <c r="V37">
        <f>HYPERLINK("https://klasma.github.io/Logging_0360/klagomål/A 43609-2023 FSC-klagomål.docx", "A 43609-2023")</f>
        <v/>
      </c>
      <c r="W37">
        <f>HYPERLINK("https://klasma.github.io/Logging_0360/klagomålsmail/A 43609-2023 FSC-klagomål mail.docx", "A 43609-2023")</f>
        <v/>
      </c>
      <c r="X37">
        <f>HYPERLINK("https://klasma.github.io/Logging_0360/tillsyn/A 43609-2023 tillsynsbegäran.docx", "A 43609-2023")</f>
        <v/>
      </c>
      <c r="Y37">
        <f>HYPERLINK("https://klasma.github.io/Logging_0360/tillsynsmail/A 43609-2023 tillsynsbegäran mail.docx", "A 43609-2023")</f>
        <v/>
      </c>
    </row>
    <row r="38" ht="15" customHeight="1">
      <c r="A38" t="inlineStr">
        <is>
          <t>A 55284-2024</t>
        </is>
      </c>
      <c r="B38" s="1" t="n">
        <v>45621</v>
      </c>
      <c r="C38" s="1" t="n">
        <v>45846</v>
      </c>
      <c r="D38" t="inlineStr">
        <is>
          <t>UPPSALA LÄN</t>
        </is>
      </c>
      <c r="E38" t="inlineStr">
        <is>
          <t>HEBY</t>
        </is>
      </c>
      <c r="G38" t="n">
        <v>7.8</v>
      </c>
      <c r="H38" t="n">
        <v>4</v>
      </c>
      <c r="I38" t="n">
        <v>4</v>
      </c>
      <c r="J38" t="n">
        <v>6</v>
      </c>
      <c r="K38" t="n">
        <v>2</v>
      </c>
      <c r="L38" t="n">
        <v>0</v>
      </c>
      <c r="M38" t="n">
        <v>0</v>
      </c>
      <c r="N38" t="n">
        <v>0</v>
      </c>
      <c r="O38" t="n">
        <v>8</v>
      </c>
      <c r="P38" t="n">
        <v>2</v>
      </c>
      <c r="Q38" t="n">
        <v>13</v>
      </c>
      <c r="R38" s="2" t="inlineStr">
        <is>
          <t>Knärot
Rynkskinn
Havsörn
Leptoporus erubescens
Motaggsvamp
Mörk kolflarnlav
Spillkråka
Ullticka
Björksplintborre
Flagellkvastmossa
Grönpyrola
Vedticka
Nattviol</t>
        </is>
      </c>
      <c r="S38">
        <f>HYPERLINK("https://klasma.github.io/Logging_0331/artfynd/A 55284-2024 artfynd.xlsx", "A 55284-2024")</f>
        <v/>
      </c>
      <c r="T38">
        <f>HYPERLINK("https://klasma.github.io/Logging_0331/kartor/A 55284-2024 karta.png", "A 55284-2024")</f>
        <v/>
      </c>
      <c r="U38">
        <f>HYPERLINK("https://klasma.github.io/Logging_0331/knärot/A 55284-2024 karta knärot.png", "A 55284-2024")</f>
        <v/>
      </c>
      <c r="V38">
        <f>HYPERLINK("https://klasma.github.io/Logging_0331/klagomål/A 55284-2024 FSC-klagomål.docx", "A 55284-2024")</f>
        <v/>
      </c>
      <c r="W38">
        <f>HYPERLINK("https://klasma.github.io/Logging_0331/klagomålsmail/A 55284-2024 FSC-klagomål mail.docx", "A 55284-2024")</f>
        <v/>
      </c>
      <c r="X38">
        <f>HYPERLINK("https://klasma.github.io/Logging_0331/tillsyn/A 55284-2024 tillsynsbegäran.docx", "A 55284-2024")</f>
        <v/>
      </c>
      <c r="Y38">
        <f>HYPERLINK("https://klasma.github.io/Logging_0331/tillsynsmail/A 55284-2024 tillsynsbegäran mail.docx", "A 55284-2024")</f>
        <v/>
      </c>
      <c r="Z38">
        <f>HYPERLINK("https://klasma.github.io/Logging_0331/fåglar/A 55284-2024 prioriterade fågelarter.docx", "A 55284-2024")</f>
        <v/>
      </c>
    </row>
    <row r="39" ht="15" customHeight="1">
      <c r="A39" t="inlineStr">
        <is>
          <t>A 3733-2025</t>
        </is>
      </c>
      <c r="B39" s="1" t="n">
        <v>45681</v>
      </c>
      <c r="C39" s="1" t="n">
        <v>45846</v>
      </c>
      <c r="D39" t="inlineStr">
        <is>
          <t>UPPSALA LÄN</t>
        </is>
      </c>
      <c r="E39" t="inlineStr">
        <is>
          <t>ÖSTHAMMAR</t>
        </is>
      </c>
      <c r="F39" t="inlineStr">
        <is>
          <t>Bergvik skog öst AB</t>
        </is>
      </c>
      <c r="G39" t="n">
        <v>7.8</v>
      </c>
      <c r="H39" t="n">
        <v>5</v>
      </c>
      <c r="I39" t="n">
        <v>6</v>
      </c>
      <c r="J39" t="n">
        <v>4</v>
      </c>
      <c r="K39" t="n">
        <v>1</v>
      </c>
      <c r="L39" t="n">
        <v>0</v>
      </c>
      <c r="M39" t="n">
        <v>0</v>
      </c>
      <c r="N39" t="n">
        <v>0</v>
      </c>
      <c r="O39" t="n">
        <v>5</v>
      </c>
      <c r="P39" t="n">
        <v>1</v>
      </c>
      <c r="Q39" t="n">
        <v>13</v>
      </c>
      <c r="R39" s="2" t="inlineStr">
        <is>
          <t>Knärot
Leptoporus mollis
Spillkråka
Talltita
Ullticka
Brandticka
Bronshjon
Grönpyrola
Rödgul trumpetsvamp
Vedticka
Vågbandad barkbock
Kungsfågel
Blåsippa</t>
        </is>
      </c>
      <c r="S39">
        <f>HYPERLINK("https://klasma.github.io/Logging_0382/artfynd/A 3733-2025 artfynd.xlsx", "A 3733-2025")</f>
        <v/>
      </c>
      <c r="T39">
        <f>HYPERLINK("https://klasma.github.io/Logging_0382/kartor/A 3733-2025 karta.png", "A 3733-2025")</f>
        <v/>
      </c>
      <c r="U39">
        <f>HYPERLINK("https://klasma.github.io/Logging_0382/knärot/A 3733-2025 karta knärot.png", "A 3733-2025")</f>
        <v/>
      </c>
      <c r="V39">
        <f>HYPERLINK("https://klasma.github.io/Logging_0382/klagomål/A 3733-2025 FSC-klagomål.docx", "A 3733-2025")</f>
        <v/>
      </c>
      <c r="W39">
        <f>HYPERLINK("https://klasma.github.io/Logging_0382/klagomålsmail/A 3733-2025 FSC-klagomål mail.docx", "A 3733-2025")</f>
        <v/>
      </c>
      <c r="X39">
        <f>HYPERLINK("https://klasma.github.io/Logging_0382/tillsyn/A 3733-2025 tillsynsbegäran.docx", "A 3733-2025")</f>
        <v/>
      </c>
      <c r="Y39">
        <f>HYPERLINK("https://klasma.github.io/Logging_0382/tillsynsmail/A 3733-2025 tillsynsbegäran mail.docx", "A 3733-2025")</f>
        <v/>
      </c>
      <c r="Z39">
        <f>HYPERLINK("https://klasma.github.io/Logging_0382/fåglar/A 3733-2025 prioriterade fågelarter.docx", "A 3733-2025")</f>
        <v/>
      </c>
    </row>
    <row r="40" ht="15" customHeight="1">
      <c r="A40" t="inlineStr">
        <is>
          <t>A 30851-2025</t>
        </is>
      </c>
      <c r="B40" s="1" t="n">
        <v>45831</v>
      </c>
      <c r="C40" s="1" t="n">
        <v>45846</v>
      </c>
      <c r="D40" t="inlineStr">
        <is>
          <t>UPPSALA LÄN</t>
        </is>
      </c>
      <c r="E40" t="inlineStr">
        <is>
          <t>ENKÖPING</t>
        </is>
      </c>
      <c r="F40" t="inlineStr">
        <is>
          <t>Kommuner</t>
        </is>
      </c>
      <c r="G40" t="n">
        <v>3.2</v>
      </c>
      <c r="H40" t="n">
        <v>4</v>
      </c>
      <c r="I40" t="n">
        <v>8</v>
      </c>
      <c r="J40" t="n">
        <v>3</v>
      </c>
      <c r="K40" t="n">
        <v>0</v>
      </c>
      <c r="L40" t="n">
        <v>0</v>
      </c>
      <c r="M40" t="n">
        <v>1</v>
      </c>
      <c r="N40" t="n">
        <v>0</v>
      </c>
      <c r="O40" t="n">
        <v>4</v>
      </c>
      <c r="P40" t="n">
        <v>1</v>
      </c>
      <c r="Q40" t="n">
        <v>13</v>
      </c>
      <c r="R40" s="2" t="inlineStr">
        <is>
          <t>Skogsalm
Spillkråka
Talltita
Ullticka
Bronshjon
Fjällig taggsvamp s.str.
Grön sköldmossa
Grönpyrola
Kamjordstjärna
Rödgul trumpetsvamp
Svavelriska
Vågbandad barkbock
Blåsippa</t>
        </is>
      </c>
      <c r="S40">
        <f>HYPERLINK("https://klasma.github.io/Logging_030381/artfynd/A 30851-2025 artfynd.xlsx", "A 30851-2025")</f>
        <v/>
      </c>
      <c r="T40">
        <f>HYPERLINK("https://klasma.github.io/Logging_030381/kartor/A 30851-2025 karta.png", "A 30851-2025")</f>
        <v/>
      </c>
      <c r="V40">
        <f>HYPERLINK("https://klasma.github.io/Logging_030381/klagomål/A 30851-2025 FSC-klagomål.docx", "A 30851-2025")</f>
        <v/>
      </c>
      <c r="W40">
        <f>HYPERLINK("https://klasma.github.io/Logging_030381/klagomålsmail/A 30851-2025 FSC-klagomål mail.docx", "A 30851-2025")</f>
        <v/>
      </c>
      <c r="X40">
        <f>HYPERLINK("https://klasma.github.io/Logging_030381/tillsyn/A 30851-2025 tillsynsbegäran.docx", "A 30851-2025")</f>
        <v/>
      </c>
      <c r="Y40">
        <f>HYPERLINK("https://klasma.github.io/Logging_030381/tillsynsmail/A 30851-2025 tillsynsbegäran mail.docx", "A 30851-2025")</f>
        <v/>
      </c>
      <c r="Z40">
        <f>HYPERLINK("https://klasma.github.io/Logging_030381/fåglar/A 30851-2025 prioriterade fågelarter.docx", "A 30851-2025")</f>
        <v/>
      </c>
    </row>
    <row r="41" ht="15" customHeight="1">
      <c r="A41" t="inlineStr">
        <is>
          <t>A 28821-2019</t>
        </is>
      </c>
      <c r="B41" s="1" t="n">
        <v>43627</v>
      </c>
      <c r="C41" s="1" t="n">
        <v>45846</v>
      </c>
      <c r="D41" t="inlineStr">
        <is>
          <t>UPPSALA LÄN</t>
        </is>
      </c>
      <c r="E41" t="inlineStr">
        <is>
          <t>TIERP</t>
        </is>
      </c>
      <c r="G41" t="n">
        <v>2.8</v>
      </c>
      <c r="H41" t="n">
        <v>1</v>
      </c>
      <c r="I41" t="n">
        <v>7</v>
      </c>
      <c r="J41" t="n">
        <v>2</v>
      </c>
      <c r="K41" t="n">
        <v>3</v>
      </c>
      <c r="L41" t="n">
        <v>0</v>
      </c>
      <c r="M41" t="n">
        <v>0</v>
      </c>
      <c r="N41" t="n">
        <v>0</v>
      </c>
      <c r="O41" t="n">
        <v>5</v>
      </c>
      <c r="P41" t="n">
        <v>3</v>
      </c>
      <c r="Q41" t="n">
        <v>12</v>
      </c>
      <c r="R41" s="2" t="inlineStr">
        <is>
          <t>Kopparspindling
Koppartaggsvamp
Violgubbe
Orange taggsvamp
Persiljespindling
Anisspindling
Bronshjon
Dropptaggsvamp
Skarp dropptaggsvamp
Skogsknipprot
Svavelriska
Vågbandad barkbock</t>
        </is>
      </c>
      <c r="S41">
        <f>HYPERLINK("https://klasma.github.io/Logging_0360/artfynd/A 28821-2019 artfynd.xlsx", "A 28821-2019")</f>
        <v/>
      </c>
      <c r="T41">
        <f>HYPERLINK("https://klasma.github.io/Logging_0360/kartor/A 28821-2019 karta.png", "A 28821-2019")</f>
        <v/>
      </c>
      <c r="V41">
        <f>HYPERLINK("https://klasma.github.io/Logging_0360/klagomål/A 28821-2019 FSC-klagomål.docx", "A 28821-2019")</f>
        <v/>
      </c>
      <c r="W41">
        <f>HYPERLINK("https://klasma.github.io/Logging_0360/klagomålsmail/A 28821-2019 FSC-klagomål mail.docx", "A 28821-2019")</f>
        <v/>
      </c>
      <c r="X41">
        <f>HYPERLINK("https://klasma.github.io/Logging_0360/tillsyn/A 28821-2019 tillsynsbegäran.docx", "A 28821-2019")</f>
        <v/>
      </c>
      <c r="Y41">
        <f>HYPERLINK("https://klasma.github.io/Logging_0360/tillsynsmail/A 28821-2019 tillsynsbegäran mail.docx", "A 28821-2019")</f>
        <v/>
      </c>
    </row>
    <row r="42" ht="15" customHeight="1">
      <c r="A42" t="inlineStr">
        <is>
          <t>A 55967-2019</t>
        </is>
      </c>
      <c r="B42" s="1" t="n">
        <v>43759</v>
      </c>
      <c r="C42" s="1" t="n">
        <v>45846</v>
      </c>
      <c r="D42" t="inlineStr">
        <is>
          <t>UPPSALA LÄN</t>
        </is>
      </c>
      <c r="E42" t="inlineStr">
        <is>
          <t>ÄLVKARLEBY</t>
        </is>
      </c>
      <c r="F42" t="inlineStr">
        <is>
          <t>Bergvik skog väst AB</t>
        </is>
      </c>
      <c r="G42" t="n">
        <v>23.4</v>
      </c>
      <c r="H42" t="n">
        <v>3</v>
      </c>
      <c r="I42" t="n">
        <v>8</v>
      </c>
      <c r="J42" t="n">
        <v>2</v>
      </c>
      <c r="K42" t="n">
        <v>1</v>
      </c>
      <c r="L42" t="n">
        <v>0</v>
      </c>
      <c r="M42" t="n">
        <v>0</v>
      </c>
      <c r="N42" t="n">
        <v>0</v>
      </c>
      <c r="O42" t="n">
        <v>3</v>
      </c>
      <c r="P42" t="n">
        <v>1</v>
      </c>
      <c r="Q42" t="n">
        <v>12</v>
      </c>
      <c r="R42" s="2" t="inlineStr">
        <is>
          <t>Knottblomster
Dofttaggsvamp
Storgröe
Anisspindling
Dunmossa
Dvärghäxört
Myskmadra
Nästrot
Rödgul trumpetsvamp
Sårläka
Vätteros
Grönvit nattviol</t>
        </is>
      </c>
      <c r="S42">
        <f>HYPERLINK("https://klasma.github.io/Logging_0319/artfynd/A 55967-2019 artfynd.xlsx", "A 55967-2019")</f>
        <v/>
      </c>
      <c r="T42">
        <f>HYPERLINK("https://klasma.github.io/Logging_0319/kartor/A 55967-2019 karta.png", "A 55967-2019")</f>
        <v/>
      </c>
      <c r="U42">
        <f>HYPERLINK("https://klasma.github.io/Logging_0319/knärot/A 55967-2019 karta knärot.png", "A 55967-2019")</f>
        <v/>
      </c>
      <c r="V42">
        <f>HYPERLINK("https://klasma.github.io/Logging_0319/klagomål/A 55967-2019 FSC-klagomål.docx", "A 55967-2019")</f>
        <v/>
      </c>
      <c r="W42">
        <f>HYPERLINK("https://klasma.github.io/Logging_0319/klagomålsmail/A 55967-2019 FSC-klagomål mail.docx", "A 55967-2019")</f>
        <v/>
      </c>
      <c r="X42">
        <f>HYPERLINK("https://klasma.github.io/Logging_0319/tillsyn/A 55967-2019 tillsynsbegäran.docx", "A 55967-2019")</f>
        <v/>
      </c>
      <c r="Y42">
        <f>HYPERLINK("https://klasma.github.io/Logging_0319/tillsynsmail/A 55967-2019 tillsynsbegäran mail.docx", "A 55967-2019")</f>
        <v/>
      </c>
    </row>
    <row r="43" ht="15" customHeight="1">
      <c r="A43" t="inlineStr">
        <is>
          <t>A 8472-2020</t>
        </is>
      </c>
      <c r="B43" s="1" t="n">
        <v>43875</v>
      </c>
      <c r="C43" s="1" t="n">
        <v>45846</v>
      </c>
      <c r="D43" t="inlineStr">
        <is>
          <t>UPPSALA LÄN</t>
        </is>
      </c>
      <c r="E43" t="inlineStr">
        <is>
          <t>UPPSALA</t>
        </is>
      </c>
      <c r="G43" t="n">
        <v>4.4</v>
      </c>
      <c r="H43" t="n">
        <v>2</v>
      </c>
      <c r="I43" t="n">
        <v>10</v>
      </c>
      <c r="J43" t="n">
        <v>0</v>
      </c>
      <c r="K43" t="n">
        <v>1</v>
      </c>
      <c r="L43" t="n">
        <v>0</v>
      </c>
      <c r="M43" t="n">
        <v>0</v>
      </c>
      <c r="N43" t="n">
        <v>0</v>
      </c>
      <c r="O43" t="n">
        <v>1</v>
      </c>
      <c r="P43" t="n">
        <v>1</v>
      </c>
      <c r="Q43" t="n">
        <v>12</v>
      </c>
      <c r="R43" s="2" t="inlineStr">
        <is>
          <t>Aspgelélav
Barkticka
Bårdlav
Fällmossa
Grön sköldmossa
Guldlockmossa
Hasselticka
Korallblylav
Platt fjädermossa
Skinnlav
Trubbfjädermossa
Blåsippa</t>
        </is>
      </c>
      <c r="S43">
        <f>HYPERLINK("https://klasma.github.io/Logging_0380/artfynd/A 8472-2020 artfynd.xlsx", "A 8472-2020")</f>
        <v/>
      </c>
      <c r="T43">
        <f>HYPERLINK("https://klasma.github.io/Logging_0380/kartor/A 8472-2020 karta.png", "A 8472-2020")</f>
        <v/>
      </c>
      <c r="V43">
        <f>HYPERLINK("https://klasma.github.io/Logging_0380/klagomål/A 8472-2020 FSC-klagomål.docx", "A 8472-2020")</f>
        <v/>
      </c>
      <c r="W43">
        <f>HYPERLINK("https://klasma.github.io/Logging_0380/klagomålsmail/A 8472-2020 FSC-klagomål mail.docx", "A 8472-2020")</f>
        <v/>
      </c>
      <c r="X43">
        <f>HYPERLINK("https://klasma.github.io/Logging_0380/tillsyn/A 8472-2020 tillsynsbegäran.docx", "A 8472-2020")</f>
        <v/>
      </c>
      <c r="Y43">
        <f>HYPERLINK("https://klasma.github.io/Logging_0380/tillsynsmail/A 8472-2020 tillsynsbegäran mail.docx", "A 8472-2020")</f>
        <v/>
      </c>
    </row>
    <row r="44" ht="15" customHeight="1">
      <c r="A44" t="inlineStr">
        <is>
          <t>A 15601-2021</t>
        </is>
      </c>
      <c r="B44" s="1" t="n">
        <v>44285</v>
      </c>
      <c r="C44" s="1" t="n">
        <v>45846</v>
      </c>
      <c r="D44" t="inlineStr">
        <is>
          <t>UPPSALA LÄN</t>
        </is>
      </c>
      <c r="E44" t="inlineStr">
        <is>
          <t>ÄLVKARLEBY</t>
        </is>
      </c>
      <c r="F44" t="inlineStr">
        <is>
          <t>Bergvik skog väst AB</t>
        </is>
      </c>
      <c r="G44" t="n">
        <v>9.199999999999999</v>
      </c>
      <c r="H44" t="n">
        <v>3</v>
      </c>
      <c r="I44" t="n">
        <v>8</v>
      </c>
      <c r="J44" t="n">
        <v>3</v>
      </c>
      <c r="K44" t="n">
        <v>1</v>
      </c>
      <c r="L44" t="n">
        <v>0</v>
      </c>
      <c r="M44" t="n">
        <v>0</v>
      </c>
      <c r="N44" t="n">
        <v>0</v>
      </c>
      <c r="O44" t="n">
        <v>4</v>
      </c>
      <c r="P44" t="n">
        <v>1</v>
      </c>
      <c r="Q44" t="n">
        <v>12</v>
      </c>
      <c r="R44" s="2" t="inlineStr">
        <is>
          <t>Läderdoftande fingersvamp
Flattoppad klubbsvamp
Klasefibbla
Ullticka
Anisspindling
Fjällig taggsvamp s.str.
Korallblylav
Nästrot
Olivspindling
Skogsknipprot
Tjockfotad fingersvamp
Tvåblad</t>
        </is>
      </c>
      <c r="S44">
        <f>HYPERLINK("https://klasma.github.io/Logging_0319/artfynd/A 15601-2021 artfynd.xlsx", "A 15601-2021")</f>
        <v/>
      </c>
      <c r="T44">
        <f>HYPERLINK("https://klasma.github.io/Logging_0319/kartor/A 15601-2021 karta.png", "A 15601-2021")</f>
        <v/>
      </c>
      <c r="V44">
        <f>HYPERLINK("https://klasma.github.io/Logging_0319/klagomål/A 15601-2021 FSC-klagomål.docx", "A 15601-2021")</f>
        <v/>
      </c>
      <c r="W44">
        <f>HYPERLINK("https://klasma.github.io/Logging_0319/klagomålsmail/A 15601-2021 FSC-klagomål mail.docx", "A 15601-2021")</f>
        <v/>
      </c>
      <c r="X44">
        <f>HYPERLINK("https://klasma.github.io/Logging_0319/tillsyn/A 15601-2021 tillsynsbegäran.docx", "A 15601-2021")</f>
        <v/>
      </c>
      <c r="Y44">
        <f>HYPERLINK("https://klasma.github.io/Logging_0319/tillsynsmail/A 15601-2021 tillsynsbegäran mail.docx", "A 15601-2021")</f>
        <v/>
      </c>
    </row>
    <row r="45" ht="15" customHeight="1">
      <c r="A45" t="inlineStr">
        <is>
          <t>A 7380-2023</t>
        </is>
      </c>
      <c r="B45" s="1" t="n">
        <v>44971</v>
      </c>
      <c r="C45" s="1" t="n">
        <v>45846</v>
      </c>
      <c r="D45" t="inlineStr">
        <is>
          <t>UPPSALA LÄN</t>
        </is>
      </c>
      <c r="E45" t="inlineStr">
        <is>
          <t>UPPSALA</t>
        </is>
      </c>
      <c r="G45" t="n">
        <v>3.7</v>
      </c>
      <c r="H45" t="n">
        <v>2</v>
      </c>
      <c r="I45" t="n">
        <v>6</v>
      </c>
      <c r="J45" t="n">
        <v>3</v>
      </c>
      <c r="K45" t="n">
        <v>0</v>
      </c>
      <c r="L45" t="n">
        <v>1</v>
      </c>
      <c r="M45" t="n">
        <v>1</v>
      </c>
      <c r="N45" t="n">
        <v>0</v>
      </c>
      <c r="O45" t="n">
        <v>5</v>
      </c>
      <c r="P45" t="n">
        <v>2</v>
      </c>
      <c r="Q45" t="n">
        <v>12</v>
      </c>
      <c r="R45" s="2" t="inlineStr">
        <is>
          <t>Skogsalm
Cinnoberbagge
Bleknande kamskivling
Jättekamskivling
Rutskinn
Bolmörtsskivling
Gulmjölkig storskål
Hasselsopp
Svart trolldruva
Tibast
Vårärt
Blåsippa</t>
        </is>
      </c>
      <c r="S45">
        <f>HYPERLINK("https://klasma.github.io/Logging_0380/artfynd/A 7380-2023 artfynd.xlsx", "A 7380-2023")</f>
        <v/>
      </c>
      <c r="T45">
        <f>HYPERLINK("https://klasma.github.io/Logging_0380/kartor/A 7380-2023 karta.png", "A 7380-2023")</f>
        <v/>
      </c>
      <c r="V45">
        <f>HYPERLINK("https://klasma.github.io/Logging_0380/klagomål/A 7380-2023 FSC-klagomål.docx", "A 7380-2023")</f>
        <v/>
      </c>
      <c r="W45">
        <f>HYPERLINK("https://klasma.github.io/Logging_0380/klagomålsmail/A 7380-2023 FSC-klagomål mail.docx", "A 7380-2023")</f>
        <v/>
      </c>
      <c r="X45">
        <f>HYPERLINK("https://klasma.github.io/Logging_0380/tillsyn/A 7380-2023 tillsynsbegäran.docx", "A 7380-2023")</f>
        <v/>
      </c>
      <c r="Y45">
        <f>HYPERLINK("https://klasma.github.io/Logging_0380/tillsynsmail/A 7380-2023 tillsynsbegäran mail.docx", "A 7380-2023")</f>
        <v/>
      </c>
    </row>
    <row r="46" ht="15" customHeight="1">
      <c r="A46" t="inlineStr">
        <is>
          <t>A 38958-2024</t>
        </is>
      </c>
      <c r="B46" s="1" t="n">
        <v>45548</v>
      </c>
      <c r="C46" s="1" t="n">
        <v>45846</v>
      </c>
      <c r="D46" t="inlineStr">
        <is>
          <t>UPPSALA LÄN</t>
        </is>
      </c>
      <c r="E46" t="inlineStr">
        <is>
          <t>UPPSALA</t>
        </is>
      </c>
      <c r="G46" t="n">
        <v>9.300000000000001</v>
      </c>
      <c r="H46" t="n">
        <v>4</v>
      </c>
      <c r="I46" t="n">
        <v>3</v>
      </c>
      <c r="J46" t="n">
        <v>4</v>
      </c>
      <c r="K46" t="n">
        <v>1</v>
      </c>
      <c r="L46" t="n">
        <v>1</v>
      </c>
      <c r="M46" t="n">
        <v>0</v>
      </c>
      <c r="N46" t="n">
        <v>0</v>
      </c>
      <c r="O46" t="n">
        <v>6</v>
      </c>
      <c r="P46" t="n">
        <v>2</v>
      </c>
      <c r="Q46" t="n">
        <v>12</v>
      </c>
      <c r="R46" s="2" t="inlineStr">
        <is>
          <t>Rosa jodskinn
Rynkskinn
Järpe
Rosenticka
Ullticka
Vedtrappmossa
Blodticka
Brandticka
Kattfotslav
Fläcknycklar
Nattviol
Blåsippa</t>
        </is>
      </c>
      <c r="S46">
        <f>HYPERLINK("https://klasma.github.io/Logging_0380/artfynd/A 38958-2024 artfynd.xlsx", "A 38958-2024")</f>
        <v/>
      </c>
      <c r="T46">
        <f>HYPERLINK("https://klasma.github.io/Logging_0380/kartor/A 38958-2024 karta.png", "A 38958-2024")</f>
        <v/>
      </c>
      <c r="V46">
        <f>HYPERLINK("https://klasma.github.io/Logging_0380/klagomål/A 38958-2024 FSC-klagomål.docx", "A 38958-2024")</f>
        <v/>
      </c>
      <c r="W46">
        <f>HYPERLINK("https://klasma.github.io/Logging_0380/klagomålsmail/A 38958-2024 FSC-klagomål mail.docx", "A 38958-2024")</f>
        <v/>
      </c>
      <c r="X46">
        <f>HYPERLINK("https://klasma.github.io/Logging_0380/tillsyn/A 38958-2024 tillsynsbegäran.docx", "A 38958-2024")</f>
        <v/>
      </c>
      <c r="Y46">
        <f>HYPERLINK("https://klasma.github.io/Logging_0380/tillsynsmail/A 38958-2024 tillsynsbegäran mail.docx", "A 38958-2024")</f>
        <v/>
      </c>
      <c r="Z46">
        <f>HYPERLINK("https://klasma.github.io/Logging_0380/fåglar/A 38958-2024 prioriterade fågelarter.docx", "A 38958-2024")</f>
        <v/>
      </c>
    </row>
    <row r="47" ht="15" customHeight="1">
      <c r="A47" t="inlineStr">
        <is>
          <t>A 234-2025</t>
        </is>
      </c>
      <c r="B47" s="1" t="n">
        <v>45660</v>
      </c>
      <c r="C47" s="1" t="n">
        <v>45846</v>
      </c>
      <c r="D47" t="inlineStr">
        <is>
          <t>UPPSALA LÄN</t>
        </is>
      </c>
      <c r="E47" t="inlineStr">
        <is>
          <t>TIERP</t>
        </is>
      </c>
      <c r="F47" t="inlineStr">
        <is>
          <t>Bergvik skog öst AB</t>
        </is>
      </c>
      <c r="G47" t="n">
        <v>4.5</v>
      </c>
      <c r="H47" t="n">
        <v>3</v>
      </c>
      <c r="I47" t="n">
        <v>6</v>
      </c>
      <c r="J47" t="n">
        <v>4</v>
      </c>
      <c r="K47" t="n">
        <v>1</v>
      </c>
      <c r="L47" t="n">
        <v>0</v>
      </c>
      <c r="M47" t="n">
        <v>0</v>
      </c>
      <c r="N47" t="n">
        <v>0</v>
      </c>
      <c r="O47" t="n">
        <v>5</v>
      </c>
      <c r="P47" t="n">
        <v>1</v>
      </c>
      <c r="Q47" t="n">
        <v>12</v>
      </c>
      <c r="R47" s="2" t="inlineStr">
        <is>
          <t>Knärot
Grönhjon
Kortskaftad ärgspik
Spillkråka
Ullticka
Brandticka
Bronshjon
Grönpyrola
Kattfotslav
Vedticka
Vågbandad barkbock
Blåsippa</t>
        </is>
      </c>
      <c r="S47">
        <f>HYPERLINK("https://klasma.github.io/Logging_0360/artfynd/A 234-2025 artfynd.xlsx", "A 234-2025")</f>
        <v/>
      </c>
      <c r="T47">
        <f>HYPERLINK("https://klasma.github.io/Logging_0360/kartor/A 234-2025 karta.png", "A 234-2025")</f>
        <v/>
      </c>
      <c r="U47">
        <f>HYPERLINK("https://klasma.github.io/Logging_0360/knärot/A 234-2025 karta knärot.png", "A 234-2025")</f>
        <v/>
      </c>
      <c r="V47">
        <f>HYPERLINK("https://klasma.github.io/Logging_0360/klagomål/A 234-2025 FSC-klagomål.docx", "A 234-2025")</f>
        <v/>
      </c>
      <c r="W47">
        <f>HYPERLINK("https://klasma.github.io/Logging_0360/klagomålsmail/A 234-2025 FSC-klagomål mail.docx", "A 234-2025")</f>
        <v/>
      </c>
      <c r="X47">
        <f>HYPERLINK("https://klasma.github.io/Logging_0360/tillsyn/A 234-2025 tillsynsbegäran.docx", "A 234-2025")</f>
        <v/>
      </c>
      <c r="Y47">
        <f>HYPERLINK("https://klasma.github.io/Logging_0360/tillsynsmail/A 234-2025 tillsynsbegäran mail.docx", "A 234-2025")</f>
        <v/>
      </c>
      <c r="Z47">
        <f>HYPERLINK("https://klasma.github.io/Logging_0360/fåglar/A 234-2025 prioriterade fågelarter.docx", "A 234-2025")</f>
        <v/>
      </c>
    </row>
    <row r="48" ht="15" customHeight="1">
      <c r="A48" t="inlineStr">
        <is>
          <t>A 260-2025</t>
        </is>
      </c>
      <c r="B48" s="1" t="n">
        <v>45660</v>
      </c>
      <c r="C48" s="1" t="n">
        <v>45846</v>
      </c>
      <c r="D48" t="inlineStr">
        <is>
          <t>UPPSALA LÄN</t>
        </is>
      </c>
      <c r="E48" t="inlineStr">
        <is>
          <t>ÖSTHAMMAR</t>
        </is>
      </c>
      <c r="F48" t="inlineStr">
        <is>
          <t>Bergvik skog öst AB</t>
        </is>
      </c>
      <c r="G48" t="n">
        <v>15.7</v>
      </c>
      <c r="H48" t="n">
        <v>5</v>
      </c>
      <c r="I48" t="n">
        <v>2</v>
      </c>
      <c r="J48" t="n">
        <v>6</v>
      </c>
      <c r="K48" t="n">
        <v>2</v>
      </c>
      <c r="L48" t="n">
        <v>0</v>
      </c>
      <c r="M48" t="n">
        <v>0</v>
      </c>
      <c r="N48" t="n">
        <v>0</v>
      </c>
      <c r="O48" t="n">
        <v>8</v>
      </c>
      <c r="P48" t="n">
        <v>2</v>
      </c>
      <c r="Q48" t="n">
        <v>12</v>
      </c>
      <c r="R48" s="2" t="inlineStr">
        <is>
          <t>Knärot
Rynkskinn
Kortskaftad ärgspik
Leptoporus erubescens
Spillkråka
Talltita
Ullticka
Vedtrappmossa
Kattfotslav
Vågbandad barkbock
Kungsfågel
Blåsippa</t>
        </is>
      </c>
      <c r="S48">
        <f>HYPERLINK("https://klasma.github.io/Logging_0382/artfynd/A 260-2025 artfynd.xlsx", "A 260-2025")</f>
        <v/>
      </c>
      <c r="T48">
        <f>HYPERLINK("https://klasma.github.io/Logging_0382/kartor/A 260-2025 karta.png", "A 260-2025")</f>
        <v/>
      </c>
      <c r="U48">
        <f>HYPERLINK("https://klasma.github.io/Logging_0382/knärot/A 260-2025 karta knärot.png", "A 260-2025")</f>
        <v/>
      </c>
      <c r="V48">
        <f>HYPERLINK("https://klasma.github.io/Logging_0382/klagomål/A 260-2025 FSC-klagomål.docx", "A 260-2025")</f>
        <v/>
      </c>
      <c r="W48">
        <f>HYPERLINK("https://klasma.github.io/Logging_0382/klagomålsmail/A 260-2025 FSC-klagomål mail.docx", "A 260-2025")</f>
        <v/>
      </c>
      <c r="X48">
        <f>HYPERLINK("https://klasma.github.io/Logging_0382/tillsyn/A 260-2025 tillsynsbegäran.docx", "A 260-2025")</f>
        <v/>
      </c>
      <c r="Y48">
        <f>HYPERLINK("https://klasma.github.io/Logging_0382/tillsynsmail/A 260-2025 tillsynsbegäran mail.docx", "A 260-2025")</f>
        <v/>
      </c>
      <c r="Z48">
        <f>HYPERLINK("https://klasma.github.io/Logging_0382/fåglar/A 260-2025 prioriterade fågelarter.docx", "A 260-2025")</f>
        <v/>
      </c>
    </row>
    <row r="49" ht="15" customHeight="1">
      <c r="A49" t="inlineStr">
        <is>
          <t>A 49848-2019</t>
        </is>
      </c>
      <c r="B49" s="1" t="n">
        <v>43733</v>
      </c>
      <c r="C49" s="1" t="n">
        <v>45846</v>
      </c>
      <c r="D49" t="inlineStr">
        <is>
          <t>UPPSALA LÄN</t>
        </is>
      </c>
      <c r="E49" t="inlineStr">
        <is>
          <t>ENKÖPING</t>
        </is>
      </c>
      <c r="G49" t="n">
        <v>21</v>
      </c>
      <c r="H49" t="n">
        <v>5</v>
      </c>
      <c r="I49" t="n">
        <v>3</v>
      </c>
      <c r="J49" t="n">
        <v>2</v>
      </c>
      <c r="K49" t="n">
        <v>2</v>
      </c>
      <c r="L49" t="n">
        <v>0</v>
      </c>
      <c r="M49" t="n">
        <v>0</v>
      </c>
      <c r="N49" t="n">
        <v>0</v>
      </c>
      <c r="O49" t="n">
        <v>4</v>
      </c>
      <c r="P49" t="n">
        <v>2</v>
      </c>
      <c r="Q49" t="n">
        <v>11</v>
      </c>
      <c r="R49" s="2" t="inlineStr">
        <is>
          <t>Knärot
Violgubbe
Tallticka
Vedtrappmossa
Bronshjon
Grönpyrola
Thomsons trägnagare
Större vattensalamander
Åkergroda
Mindre vattensalamander
Blåsippa</t>
        </is>
      </c>
      <c r="S49">
        <f>HYPERLINK("https://klasma.github.io/Logging_0381/artfynd/A 49848-2019 artfynd.xlsx", "A 49848-2019")</f>
        <v/>
      </c>
      <c r="T49">
        <f>HYPERLINK("https://klasma.github.io/Logging_0381/kartor/A 49848-2019 karta.png", "A 49848-2019")</f>
        <v/>
      </c>
      <c r="U49">
        <f>HYPERLINK("https://klasma.github.io/Logging_0381/knärot/A 49848-2019 karta knärot.png", "A 49848-2019")</f>
        <v/>
      </c>
      <c r="V49">
        <f>HYPERLINK("https://klasma.github.io/Logging_0381/klagomål/A 49848-2019 FSC-klagomål.docx", "A 49848-2019")</f>
        <v/>
      </c>
      <c r="W49">
        <f>HYPERLINK("https://klasma.github.io/Logging_0381/klagomålsmail/A 49848-2019 FSC-klagomål mail.docx", "A 49848-2019")</f>
        <v/>
      </c>
      <c r="X49">
        <f>HYPERLINK("https://klasma.github.io/Logging_0381/tillsyn/A 49848-2019 tillsynsbegäran.docx", "A 49848-2019")</f>
        <v/>
      </c>
      <c r="Y49">
        <f>HYPERLINK("https://klasma.github.io/Logging_0381/tillsynsmail/A 49848-2019 tillsynsbegäran mail.docx", "A 49848-2019")</f>
        <v/>
      </c>
    </row>
    <row r="50" ht="15" customHeight="1">
      <c r="A50" t="inlineStr">
        <is>
          <t>A 36767-2020</t>
        </is>
      </c>
      <c r="B50" s="1" t="n">
        <v>44053</v>
      </c>
      <c r="C50" s="1" t="n">
        <v>45846</v>
      </c>
      <c r="D50" t="inlineStr">
        <is>
          <t>UPPSALA LÄN</t>
        </is>
      </c>
      <c r="E50" t="inlineStr">
        <is>
          <t>UPPSALA</t>
        </is>
      </c>
      <c r="G50" t="n">
        <v>4.1</v>
      </c>
      <c r="H50" t="n">
        <v>0</v>
      </c>
      <c r="I50" t="n">
        <v>3</v>
      </c>
      <c r="J50" t="n">
        <v>4</v>
      </c>
      <c r="K50" t="n">
        <v>3</v>
      </c>
      <c r="L50" t="n">
        <v>1</v>
      </c>
      <c r="M50" t="n">
        <v>0</v>
      </c>
      <c r="N50" t="n">
        <v>0</v>
      </c>
      <c r="O50" t="n">
        <v>8</v>
      </c>
      <c r="P50" t="n">
        <v>4</v>
      </c>
      <c r="Q50" t="n">
        <v>11</v>
      </c>
      <c r="R50" s="2" t="inlineStr">
        <is>
          <t>Lilafotad fingersvamp
Apelticka
Rostorangelav
Violgubbe
Blek fingersvamp
Druvfingersvamp
Gultoppig fingersvamp
Persiljespindling
Fjällig taggsvamp s.str.
Mandelriska
Skarp dropptaggsvamp</t>
        </is>
      </c>
      <c r="S50">
        <f>HYPERLINK("https://klasma.github.io/Logging_0380/artfynd/A 36767-2020 artfynd.xlsx", "A 36767-2020")</f>
        <v/>
      </c>
      <c r="T50">
        <f>HYPERLINK("https://klasma.github.io/Logging_0380/kartor/A 36767-2020 karta.png", "A 36767-2020")</f>
        <v/>
      </c>
      <c r="V50">
        <f>HYPERLINK("https://klasma.github.io/Logging_0380/klagomål/A 36767-2020 FSC-klagomål.docx", "A 36767-2020")</f>
        <v/>
      </c>
      <c r="W50">
        <f>HYPERLINK("https://klasma.github.io/Logging_0380/klagomålsmail/A 36767-2020 FSC-klagomål mail.docx", "A 36767-2020")</f>
        <v/>
      </c>
      <c r="X50">
        <f>HYPERLINK("https://klasma.github.io/Logging_0380/tillsyn/A 36767-2020 tillsynsbegäran.docx", "A 36767-2020")</f>
        <v/>
      </c>
      <c r="Y50">
        <f>HYPERLINK("https://klasma.github.io/Logging_0380/tillsynsmail/A 36767-2020 tillsynsbegäran mail.docx", "A 36767-2020")</f>
        <v/>
      </c>
    </row>
    <row r="51" ht="15" customHeight="1">
      <c r="A51" t="inlineStr">
        <is>
          <t>A 3929-2021</t>
        </is>
      </c>
      <c r="B51" s="1" t="n">
        <v>44222</v>
      </c>
      <c r="C51" s="1" t="n">
        <v>45846</v>
      </c>
      <c r="D51" t="inlineStr">
        <is>
          <t>UPPSALA LÄN</t>
        </is>
      </c>
      <c r="E51" t="inlineStr">
        <is>
          <t>UPPSALA</t>
        </is>
      </c>
      <c r="F51" t="inlineStr">
        <is>
          <t>Holmen skog AB</t>
        </is>
      </c>
      <c r="G51" t="n">
        <v>10.1</v>
      </c>
      <c r="H51" t="n">
        <v>0</v>
      </c>
      <c r="I51" t="n">
        <v>6</v>
      </c>
      <c r="J51" t="n">
        <v>5</v>
      </c>
      <c r="K51" t="n">
        <v>0</v>
      </c>
      <c r="L51" t="n">
        <v>0</v>
      </c>
      <c r="M51" t="n">
        <v>0</v>
      </c>
      <c r="N51" t="n">
        <v>0</v>
      </c>
      <c r="O51" t="n">
        <v>5</v>
      </c>
      <c r="P51" t="n">
        <v>0</v>
      </c>
      <c r="Q51" t="n">
        <v>11</v>
      </c>
      <c r="R51" s="2" t="inlineStr">
        <is>
          <t>Kortskaftad ärgspik
Skrovlig flatbagge
Timmertickgnagare
Ullticka
Vedskivlav
Bronshjon
Grönpyrola
Gullgröppa
Ljus vedstrit
Mörk vedstrit
Vanlig flatbagge</t>
        </is>
      </c>
      <c r="S51">
        <f>HYPERLINK("https://klasma.github.io/Logging_0380/artfynd/A 3929-2021 artfynd.xlsx", "A 3929-2021")</f>
        <v/>
      </c>
      <c r="T51">
        <f>HYPERLINK("https://klasma.github.io/Logging_0380/kartor/A 3929-2021 karta.png", "A 3929-2021")</f>
        <v/>
      </c>
      <c r="V51">
        <f>HYPERLINK("https://klasma.github.io/Logging_0380/klagomål/A 3929-2021 FSC-klagomål.docx", "A 3929-2021")</f>
        <v/>
      </c>
      <c r="W51">
        <f>HYPERLINK("https://klasma.github.io/Logging_0380/klagomålsmail/A 3929-2021 FSC-klagomål mail.docx", "A 3929-2021")</f>
        <v/>
      </c>
      <c r="X51">
        <f>HYPERLINK("https://klasma.github.io/Logging_0380/tillsyn/A 3929-2021 tillsynsbegäran.docx", "A 3929-2021")</f>
        <v/>
      </c>
      <c r="Y51">
        <f>HYPERLINK("https://klasma.github.io/Logging_0380/tillsynsmail/A 3929-2021 tillsynsbegäran mail.docx", "A 3929-2021")</f>
        <v/>
      </c>
    </row>
    <row r="52" ht="15" customHeight="1">
      <c r="A52" t="inlineStr">
        <is>
          <t>A 10368-2022</t>
        </is>
      </c>
      <c r="B52" s="1" t="n">
        <v>44623</v>
      </c>
      <c r="C52" s="1" t="n">
        <v>45846</v>
      </c>
      <c r="D52" t="inlineStr">
        <is>
          <t>UPPSALA LÄN</t>
        </is>
      </c>
      <c r="E52" t="inlineStr">
        <is>
          <t>UPPSALA</t>
        </is>
      </c>
      <c r="F52" t="inlineStr">
        <is>
          <t>Övriga Aktiebolag</t>
        </is>
      </c>
      <c r="G52" t="n">
        <v>3.4</v>
      </c>
      <c r="H52" t="n">
        <v>1</v>
      </c>
      <c r="I52" t="n">
        <v>7</v>
      </c>
      <c r="J52" t="n">
        <v>2</v>
      </c>
      <c r="K52" t="n">
        <v>0</v>
      </c>
      <c r="L52" t="n">
        <v>0</v>
      </c>
      <c r="M52" t="n">
        <v>1</v>
      </c>
      <c r="N52" t="n">
        <v>0</v>
      </c>
      <c r="O52" t="n">
        <v>3</v>
      </c>
      <c r="P52" t="n">
        <v>1</v>
      </c>
      <c r="Q52" t="n">
        <v>11</v>
      </c>
      <c r="R52" s="2" t="inlineStr">
        <is>
          <t>Skogsalm
Lunglav
Vedtrappmossa
Bårdlav
Fällmossa
Guldlockmossa
Korallblylav
Luddlav
Mörk husmossa
Platt fjädermossa
Blåsippa</t>
        </is>
      </c>
      <c r="S52">
        <f>HYPERLINK("https://klasma.github.io/Logging_0380/artfynd/A 10368-2022 artfynd.xlsx", "A 10368-2022")</f>
        <v/>
      </c>
      <c r="T52">
        <f>HYPERLINK("https://klasma.github.io/Logging_0380/kartor/A 10368-2022 karta.png", "A 10368-2022")</f>
        <v/>
      </c>
      <c r="V52">
        <f>HYPERLINK("https://klasma.github.io/Logging_0380/klagomål/A 10368-2022 FSC-klagomål.docx", "A 10368-2022")</f>
        <v/>
      </c>
      <c r="W52">
        <f>HYPERLINK("https://klasma.github.io/Logging_0380/klagomålsmail/A 10368-2022 FSC-klagomål mail.docx", "A 10368-2022")</f>
        <v/>
      </c>
      <c r="X52">
        <f>HYPERLINK("https://klasma.github.io/Logging_0380/tillsyn/A 10368-2022 tillsynsbegäran.docx", "A 10368-2022")</f>
        <v/>
      </c>
      <c r="Y52">
        <f>HYPERLINK("https://klasma.github.io/Logging_0380/tillsynsmail/A 10368-2022 tillsynsbegäran mail.docx", "A 10368-2022")</f>
        <v/>
      </c>
    </row>
    <row r="53" ht="15" customHeight="1">
      <c r="A53" t="inlineStr">
        <is>
          <t>A 25143-2023</t>
        </is>
      </c>
      <c r="B53" s="1" t="n">
        <v>45086</v>
      </c>
      <c r="C53" s="1" t="n">
        <v>45846</v>
      </c>
      <c r="D53" t="inlineStr">
        <is>
          <t>UPPSALA LÄN</t>
        </is>
      </c>
      <c r="E53" t="inlineStr">
        <is>
          <t>UPPSALA</t>
        </is>
      </c>
      <c r="G53" t="n">
        <v>15.9</v>
      </c>
      <c r="H53" t="n">
        <v>5</v>
      </c>
      <c r="I53" t="n">
        <v>4</v>
      </c>
      <c r="J53" t="n">
        <v>2</v>
      </c>
      <c r="K53" t="n">
        <v>0</v>
      </c>
      <c r="L53" t="n">
        <v>0</v>
      </c>
      <c r="M53" t="n">
        <v>0</v>
      </c>
      <c r="N53" t="n">
        <v>0</v>
      </c>
      <c r="O53" t="n">
        <v>2</v>
      </c>
      <c r="P53" t="n">
        <v>0</v>
      </c>
      <c r="Q53" t="n">
        <v>11</v>
      </c>
      <c r="R53" s="2" t="inlineStr">
        <is>
          <t>Grönhjon
Ullticka
Bronshjon
Fällmossa
Granbarkgnagare
Guldlockmossa
Grönsiska
Kungsfågel
Åkergroda
Vanlig groda
Revlummer</t>
        </is>
      </c>
      <c r="S53">
        <f>HYPERLINK("https://klasma.github.io/Logging_0380/artfynd/A 25143-2023 artfynd.xlsx", "A 25143-2023")</f>
        <v/>
      </c>
      <c r="T53">
        <f>HYPERLINK("https://klasma.github.io/Logging_0380/kartor/A 25143-2023 karta.png", "A 25143-2023")</f>
        <v/>
      </c>
      <c r="U53">
        <f>HYPERLINK("https://klasma.github.io/Logging_0380/knärot/A 25143-2023 karta knärot.png", "A 25143-2023")</f>
        <v/>
      </c>
      <c r="V53">
        <f>HYPERLINK("https://klasma.github.io/Logging_0380/klagomål/A 25143-2023 FSC-klagomål.docx", "A 25143-2023")</f>
        <v/>
      </c>
      <c r="W53">
        <f>HYPERLINK("https://klasma.github.io/Logging_0380/klagomålsmail/A 25143-2023 FSC-klagomål mail.docx", "A 25143-2023")</f>
        <v/>
      </c>
      <c r="X53">
        <f>HYPERLINK("https://klasma.github.io/Logging_0380/tillsyn/A 25143-2023 tillsynsbegäran.docx", "A 25143-2023")</f>
        <v/>
      </c>
      <c r="Y53">
        <f>HYPERLINK("https://klasma.github.io/Logging_0380/tillsynsmail/A 25143-2023 tillsynsbegäran mail.docx", "A 25143-2023")</f>
        <v/>
      </c>
      <c r="Z53">
        <f>HYPERLINK("https://klasma.github.io/Logging_0380/fåglar/A 25143-2023 prioriterade fågelarter.docx", "A 25143-2023")</f>
        <v/>
      </c>
    </row>
    <row r="54" ht="15" customHeight="1">
      <c r="A54" t="inlineStr">
        <is>
          <t>A 47453-2023</t>
        </is>
      </c>
      <c r="B54" s="1" t="n">
        <v>45202</v>
      </c>
      <c r="C54" s="1" t="n">
        <v>45846</v>
      </c>
      <c r="D54" t="inlineStr">
        <is>
          <t>UPPSALA LÄN</t>
        </is>
      </c>
      <c r="E54" t="inlineStr">
        <is>
          <t>UPPSALA</t>
        </is>
      </c>
      <c r="F54" t="inlineStr">
        <is>
          <t>Allmännings- och besparingsskogar</t>
        </is>
      </c>
      <c r="G54" t="n">
        <v>32.8</v>
      </c>
      <c r="H54" t="n">
        <v>3</v>
      </c>
      <c r="I54" t="n">
        <v>3</v>
      </c>
      <c r="J54" t="n">
        <v>5</v>
      </c>
      <c r="K54" t="n">
        <v>1</v>
      </c>
      <c r="L54" t="n">
        <v>0</v>
      </c>
      <c r="M54" t="n">
        <v>0</v>
      </c>
      <c r="N54" t="n">
        <v>0</v>
      </c>
      <c r="O54" t="n">
        <v>6</v>
      </c>
      <c r="P54" t="n">
        <v>1</v>
      </c>
      <c r="Q54" t="n">
        <v>11</v>
      </c>
      <c r="R54" s="2" t="inlineStr">
        <is>
          <t>Ostticka
Granticka
Större flatbagge
Tallticka
Tretåig hackspett
Vedtrappmossa
Bronshjon
Jättesvampmal
Thomsons trägnagare
Sparvuggla
Tjäder</t>
        </is>
      </c>
      <c r="S54">
        <f>HYPERLINK("https://klasma.github.io/Logging_0380/artfynd/A 47453-2023 artfynd.xlsx", "A 47453-2023")</f>
        <v/>
      </c>
      <c r="T54">
        <f>HYPERLINK("https://klasma.github.io/Logging_0380/kartor/A 47453-2023 karta.png", "A 47453-2023")</f>
        <v/>
      </c>
      <c r="U54">
        <f>HYPERLINK("https://klasma.github.io/Logging_0380/knärot/A 47453-2023 karta knärot.png", "A 47453-2023")</f>
        <v/>
      </c>
      <c r="V54">
        <f>HYPERLINK("https://klasma.github.io/Logging_0380/klagomål/A 47453-2023 FSC-klagomål.docx", "A 47453-2023")</f>
        <v/>
      </c>
      <c r="W54">
        <f>HYPERLINK("https://klasma.github.io/Logging_0380/klagomålsmail/A 47453-2023 FSC-klagomål mail.docx", "A 47453-2023")</f>
        <v/>
      </c>
      <c r="X54">
        <f>HYPERLINK("https://klasma.github.io/Logging_0380/tillsyn/A 47453-2023 tillsynsbegäran.docx", "A 47453-2023")</f>
        <v/>
      </c>
      <c r="Y54">
        <f>HYPERLINK("https://klasma.github.io/Logging_0380/tillsynsmail/A 47453-2023 tillsynsbegäran mail.docx", "A 47453-2023")</f>
        <v/>
      </c>
      <c r="Z54">
        <f>HYPERLINK("https://klasma.github.io/Logging_0380/fåglar/A 47453-2023 prioriterade fågelarter.docx", "A 47453-2023")</f>
        <v/>
      </c>
    </row>
    <row r="55" ht="15" customHeight="1">
      <c r="A55" t="inlineStr">
        <is>
          <t>A 30123-2024</t>
        </is>
      </c>
      <c r="B55" s="1" t="n">
        <v>45489</v>
      </c>
      <c r="C55" s="1" t="n">
        <v>45846</v>
      </c>
      <c r="D55" t="inlineStr">
        <is>
          <t>UPPSALA LÄN</t>
        </is>
      </c>
      <c r="E55" t="inlineStr">
        <is>
          <t>UPPSALA</t>
        </is>
      </c>
      <c r="G55" t="n">
        <v>3.6</v>
      </c>
      <c r="H55" t="n">
        <v>4</v>
      </c>
      <c r="I55" t="n">
        <v>6</v>
      </c>
      <c r="J55" t="n">
        <v>2</v>
      </c>
      <c r="K55" t="n">
        <v>0</v>
      </c>
      <c r="L55" t="n">
        <v>0</v>
      </c>
      <c r="M55" t="n">
        <v>1</v>
      </c>
      <c r="N55" t="n">
        <v>0</v>
      </c>
      <c r="O55" t="n">
        <v>3</v>
      </c>
      <c r="P55" t="n">
        <v>1</v>
      </c>
      <c r="Q55" t="n">
        <v>11</v>
      </c>
      <c r="R55" s="2" t="inlineStr">
        <is>
          <t>Skogsalm
Spillkråka
Ullticka
Brandticka
Fällmossa
Granbarkgnagare
Guldlockmossa
Nästrot
Svart trolldruva
Nattviol
Blåsippa</t>
        </is>
      </c>
      <c r="S55">
        <f>HYPERLINK("https://klasma.github.io/Logging_0380/artfynd/A 30123-2024 artfynd.xlsx", "A 30123-2024")</f>
        <v/>
      </c>
      <c r="T55">
        <f>HYPERLINK("https://klasma.github.io/Logging_0380/kartor/A 30123-2024 karta.png", "A 30123-2024")</f>
        <v/>
      </c>
      <c r="V55">
        <f>HYPERLINK("https://klasma.github.io/Logging_0380/klagomål/A 30123-2024 FSC-klagomål.docx", "A 30123-2024")</f>
        <v/>
      </c>
      <c r="W55">
        <f>HYPERLINK("https://klasma.github.io/Logging_0380/klagomålsmail/A 30123-2024 FSC-klagomål mail.docx", "A 30123-2024")</f>
        <v/>
      </c>
      <c r="X55">
        <f>HYPERLINK("https://klasma.github.io/Logging_0380/tillsyn/A 30123-2024 tillsynsbegäran.docx", "A 30123-2024")</f>
        <v/>
      </c>
      <c r="Y55">
        <f>HYPERLINK("https://klasma.github.io/Logging_0380/tillsynsmail/A 30123-2024 tillsynsbegäran mail.docx", "A 30123-2024")</f>
        <v/>
      </c>
      <c r="Z55">
        <f>HYPERLINK("https://klasma.github.io/Logging_0380/fåglar/A 30123-2024 prioriterade fågelarter.docx", "A 30123-2024")</f>
        <v/>
      </c>
    </row>
    <row r="56" ht="15" customHeight="1">
      <c r="A56" t="inlineStr">
        <is>
          <t>A 55274-2024</t>
        </is>
      </c>
      <c r="B56" s="1" t="n">
        <v>45621</v>
      </c>
      <c r="C56" s="1" t="n">
        <v>45846</v>
      </c>
      <c r="D56" t="inlineStr">
        <is>
          <t>UPPSALA LÄN</t>
        </is>
      </c>
      <c r="E56" t="inlineStr">
        <is>
          <t>HEBY</t>
        </is>
      </c>
      <c r="G56" t="n">
        <v>14.9</v>
      </c>
      <c r="H56" t="n">
        <v>5</v>
      </c>
      <c r="I56" t="n">
        <v>2</v>
      </c>
      <c r="J56" t="n">
        <v>5</v>
      </c>
      <c r="K56" t="n">
        <v>2</v>
      </c>
      <c r="L56" t="n">
        <v>0</v>
      </c>
      <c r="M56" t="n">
        <v>0</v>
      </c>
      <c r="N56" t="n">
        <v>0</v>
      </c>
      <c r="O56" t="n">
        <v>7</v>
      </c>
      <c r="P56" t="n">
        <v>2</v>
      </c>
      <c r="Q56" t="n">
        <v>11</v>
      </c>
      <c r="R56" s="2" t="inlineStr">
        <is>
          <t>Knärot
Rynkskinn
Garnlav
Järpe
Kolflarnlav
Talltita
Ullticka
Björksplintborre
Mörk husmossa
Blåsippa
Revlummer</t>
        </is>
      </c>
      <c r="S56">
        <f>HYPERLINK("https://klasma.github.io/Logging_0331/artfynd/A 55274-2024 artfynd.xlsx", "A 55274-2024")</f>
        <v/>
      </c>
      <c r="T56">
        <f>HYPERLINK("https://klasma.github.io/Logging_0331/kartor/A 55274-2024 karta.png", "A 55274-2024")</f>
        <v/>
      </c>
      <c r="U56">
        <f>HYPERLINK("https://klasma.github.io/Logging_0331/knärot/A 55274-2024 karta knärot.png", "A 55274-2024")</f>
        <v/>
      </c>
      <c r="V56">
        <f>HYPERLINK("https://klasma.github.io/Logging_0331/klagomål/A 55274-2024 FSC-klagomål.docx", "A 55274-2024")</f>
        <v/>
      </c>
      <c r="W56">
        <f>HYPERLINK("https://klasma.github.io/Logging_0331/klagomålsmail/A 55274-2024 FSC-klagomål mail.docx", "A 55274-2024")</f>
        <v/>
      </c>
      <c r="X56">
        <f>HYPERLINK("https://klasma.github.io/Logging_0331/tillsyn/A 55274-2024 tillsynsbegäran.docx", "A 55274-2024")</f>
        <v/>
      </c>
      <c r="Y56">
        <f>HYPERLINK("https://klasma.github.io/Logging_0331/tillsynsmail/A 55274-2024 tillsynsbegäran mail.docx", "A 55274-2024")</f>
        <v/>
      </c>
      <c r="Z56">
        <f>HYPERLINK("https://klasma.github.io/Logging_0331/fåglar/A 55274-2024 prioriterade fågelarter.docx", "A 55274-2024")</f>
        <v/>
      </c>
    </row>
    <row r="57" ht="15" customHeight="1">
      <c r="A57" t="inlineStr">
        <is>
          <t>A 64002-2019</t>
        </is>
      </c>
      <c r="B57" s="1" t="n">
        <v>43796</v>
      </c>
      <c r="C57" s="1" t="n">
        <v>45846</v>
      </c>
      <c r="D57" t="inlineStr">
        <is>
          <t>UPPSALA LÄN</t>
        </is>
      </c>
      <c r="E57" t="inlineStr">
        <is>
          <t>UPPSALA</t>
        </is>
      </c>
      <c r="F57" t="inlineStr">
        <is>
          <t>Holmen skog AB</t>
        </is>
      </c>
      <c r="G57" t="n">
        <v>5.8</v>
      </c>
      <c r="H57" t="n">
        <v>1</v>
      </c>
      <c r="I57" t="n">
        <v>5</v>
      </c>
      <c r="J57" t="n">
        <v>4</v>
      </c>
      <c r="K57" t="n">
        <v>1</v>
      </c>
      <c r="L57" t="n">
        <v>0</v>
      </c>
      <c r="M57" t="n">
        <v>0</v>
      </c>
      <c r="N57" t="n">
        <v>0</v>
      </c>
      <c r="O57" t="n">
        <v>5</v>
      </c>
      <c r="P57" t="n">
        <v>1</v>
      </c>
      <c r="Q57" t="n">
        <v>10</v>
      </c>
      <c r="R57" s="2" t="inlineStr">
        <is>
          <t>Knärot
Grantaggsvamp
Skrovlig flatbagge
Timmertickgnagare
Ullticka
Brandticka
Ljus vedstrit
Mörk vedstrit
Olivspindling
Thymalus limbatus</t>
        </is>
      </c>
      <c r="S57">
        <f>HYPERLINK("https://klasma.github.io/Logging_0380/artfynd/A 64002-2019 artfynd.xlsx", "A 64002-2019")</f>
        <v/>
      </c>
      <c r="T57">
        <f>HYPERLINK("https://klasma.github.io/Logging_0380/kartor/A 64002-2019 karta.png", "A 64002-2019")</f>
        <v/>
      </c>
      <c r="U57">
        <f>HYPERLINK("https://klasma.github.io/Logging_0380/knärot/A 64002-2019 karta knärot.png", "A 64002-2019")</f>
        <v/>
      </c>
      <c r="V57">
        <f>HYPERLINK("https://klasma.github.io/Logging_0380/klagomål/A 64002-2019 FSC-klagomål.docx", "A 64002-2019")</f>
        <v/>
      </c>
      <c r="W57">
        <f>HYPERLINK("https://klasma.github.io/Logging_0380/klagomålsmail/A 64002-2019 FSC-klagomål mail.docx", "A 64002-2019")</f>
        <v/>
      </c>
      <c r="X57">
        <f>HYPERLINK("https://klasma.github.io/Logging_0380/tillsyn/A 64002-2019 tillsynsbegäran.docx", "A 64002-2019")</f>
        <v/>
      </c>
      <c r="Y57">
        <f>HYPERLINK("https://klasma.github.io/Logging_0380/tillsynsmail/A 64002-2019 tillsynsbegäran mail.docx", "A 64002-2019")</f>
        <v/>
      </c>
    </row>
    <row r="58" ht="15" customHeight="1">
      <c r="A58" t="inlineStr">
        <is>
          <t>A 2802-2021</t>
        </is>
      </c>
      <c r="B58" s="1" t="n">
        <v>44215</v>
      </c>
      <c r="C58" s="1" t="n">
        <v>45846</v>
      </c>
      <c r="D58" t="inlineStr">
        <is>
          <t>UPPSALA LÄN</t>
        </is>
      </c>
      <c r="E58" t="inlineStr">
        <is>
          <t>TIERP</t>
        </is>
      </c>
      <c r="G58" t="n">
        <v>4.3</v>
      </c>
      <c r="H58" t="n">
        <v>0</v>
      </c>
      <c r="I58" t="n">
        <v>7</v>
      </c>
      <c r="J58" t="n">
        <v>2</v>
      </c>
      <c r="K58" t="n">
        <v>1</v>
      </c>
      <c r="L58" t="n">
        <v>0</v>
      </c>
      <c r="M58" t="n">
        <v>0</v>
      </c>
      <c r="N58" t="n">
        <v>0</v>
      </c>
      <c r="O58" t="n">
        <v>3</v>
      </c>
      <c r="P58" t="n">
        <v>1</v>
      </c>
      <c r="Q58" t="n">
        <v>10</v>
      </c>
      <c r="R58" s="2" t="inlineStr">
        <is>
          <t>Kopparspindling
Puderspindling
Äggspindling
Anisspindling
Diskvaxskivling
Fjällig taggsvamp s.str.
Kantjordstjärna
Kryddspindling
Olivspindling
Rödgul trumpetsvamp</t>
        </is>
      </c>
      <c r="S58">
        <f>HYPERLINK("https://klasma.github.io/Logging_0360/artfynd/A 2802-2021 artfynd.xlsx", "A 2802-2021")</f>
        <v/>
      </c>
      <c r="T58">
        <f>HYPERLINK("https://klasma.github.io/Logging_0360/kartor/A 2802-2021 karta.png", "A 2802-2021")</f>
        <v/>
      </c>
      <c r="V58">
        <f>HYPERLINK("https://klasma.github.io/Logging_0360/klagomål/A 2802-2021 FSC-klagomål.docx", "A 2802-2021")</f>
        <v/>
      </c>
      <c r="W58">
        <f>HYPERLINK("https://klasma.github.io/Logging_0360/klagomålsmail/A 2802-2021 FSC-klagomål mail.docx", "A 2802-2021")</f>
        <v/>
      </c>
      <c r="X58">
        <f>HYPERLINK("https://klasma.github.io/Logging_0360/tillsyn/A 2802-2021 tillsynsbegäran.docx", "A 2802-2021")</f>
        <v/>
      </c>
      <c r="Y58">
        <f>HYPERLINK("https://klasma.github.io/Logging_0360/tillsynsmail/A 2802-2021 tillsynsbegäran mail.docx", "A 2802-2021")</f>
        <v/>
      </c>
    </row>
    <row r="59" ht="15" customHeight="1">
      <c r="A59" t="inlineStr">
        <is>
          <t>A 45111-2021</t>
        </is>
      </c>
      <c r="B59" s="1" t="n">
        <v>44439</v>
      </c>
      <c r="C59" s="1" t="n">
        <v>45846</v>
      </c>
      <c r="D59" t="inlineStr">
        <is>
          <t>UPPSALA LÄN</t>
        </is>
      </c>
      <c r="E59" t="inlineStr">
        <is>
          <t>ÖSTHAMMAR</t>
        </is>
      </c>
      <c r="G59" t="n">
        <v>7.4</v>
      </c>
      <c r="H59" t="n">
        <v>3</v>
      </c>
      <c r="I59" t="n">
        <v>7</v>
      </c>
      <c r="J59" t="n">
        <v>2</v>
      </c>
      <c r="K59" t="n">
        <v>0</v>
      </c>
      <c r="L59" t="n">
        <v>0</v>
      </c>
      <c r="M59" t="n">
        <v>0</v>
      </c>
      <c r="N59" t="n">
        <v>0</v>
      </c>
      <c r="O59" t="n">
        <v>2</v>
      </c>
      <c r="P59" t="n">
        <v>0</v>
      </c>
      <c r="Q59" t="n">
        <v>10</v>
      </c>
      <c r="R59" s="2" t="inlineStr">
        <is>
          <t>Flattoppad klubbsvamp
Ängsskära
Guckusko
Rödgul trumpetsvamp
Skarp dropptaggsvamp
Skogsknipprot
Svavelriska
Tibast
Vårärt
Blåsippa</t>
        </is>
      </c>
      <c r="S59">
        <f>HYPERLINK("https://klasma.github.io/Logging_0382/artfynd/A 45111-2021 artfynd.xlsx", "A 45111-2021")</f>
        <v/>
      </c>
      <c r="T59">
        <f>HYPERLINK("https://klasma.github.io/Logging_0382/kartor/A 45111-2021 karta.png", "A 45111-2021")</f>
        <v/>
      </c>
      <c r="V59">
        <f>HYPERLINK("https://klasma.github.io/Logging_0382/klagomål/A 45111-2021 FSC-klagomål.docx", "A 45111-2021")</f>
        <v/>
      </c>
      <c r="W59">
        <f>HYPERLINK("https://klasma.github.io/Logging_0382/klagomålsmail/A 45111-2021 FSC-klagomål mail.docx", "A 45111-2021")</f>
        <v/>
      </c>
      <c r="X59">
        <f>HYPERLINK("https://klasma.github.io/Logging_0382/tillsyn/A 45111-2021 tillsynsbegäran.docx", "A 45111-2021")</f>
        <v/>
      </c>
      <c r="Y59">
        <f>HYPERLINK("https://klasma.github.io/Logging_0382/tillsynsmail/A 45111-2021 tillsynsbegäran mail.docx", "A 45111-2021")</f>
        <v/>
      </c>
    </row>
    <row r="60" ht="15" customHeight="1">
      <c r="A60" t="inlineStr">
        <is>
          <t>A 56956-2021</t>
        </is>
      </c>
      <c r="B60" s="1" t="n">
        <v>44482</v>
      </c>
      <c r="C60" s="1" t="n">
        <v>45846</v>
      </c>
      <c r="D60" t="inlineStr">
        <is>
          <t>UPPSALA LÄN</t>
        </is>
      </c>
      <c r="E60" t="inlineStr">
        <is>
          <t>ÖSTHAMMAR</t>
        </is>
      </c>
      <c r="G60" t="n">
        <v>6.9</v>
      </c>
      <c r="H60" t="n">
        <v>0</v>
      </c>
      <c r="I60" t="n">
        <v>6</v>
      </c>
      <c r="J60" t="n">
        <v>2</v>
      </c>
      <c r="K60" t="n">
        <v>2</v>
      </c>
      <c r="L60" t="n">
        <v>0</v>
      </c>
      <c r="M60" t="n">
        <v>0</v>
      </c>
      <c r="N60" t="n">
        <v>0</v>
      </c>
      <c r="O60" t="n">
        <v>4</v>
      </c>
      <c r="P60" t="n">
        <v>2</v>
      </c>
      <c r="Q60" t="n">
        <v>10</v>
      </c>
      <c r="R60" s="2" t="inlineStr">
        <is>
          <t>Duvspindling
Kopparspindling
Gultoppig fingersvamp
Orange taggsvamp
Anisspindling
Fjällig taggsvamp s.str.
Kamjordstjärna
Olivspindling
Rödgul trumpetsvamp
Svavelriska</t>
        </is>
      </c>
      <c r="S60">
        <f>HYPERLINK("https://klasma.github.io/Logging_0382/artfynd/A 56956-2021 artfynd.xlsx", "A 56956-2021")</f>
        <v/>
      </c>
      <c r="T60">
        <f>HYPERLINK("https://klasma.github.io/Logging_0382/kartor/A 56956-2021 karta.png", "A 56956-2021")</f>
        <v/>
      </c>
      <c r="V60">
        <f>HYPERLINK("https://klasma.github.io/Logging_0382/klagomål/A 56956-2021 FSC-klagomål.docx", "A 56956-2021")</f>
        <v/>
      </c>
      <c r="W60">
        <f>HYPERLINK("https://klasma.github.io/Logging_0382/klagomålsmail/A 56956-2021 FSC-klagomål mail.docx", "A 56956-2021")</f>
        <v/>
      </c>
      <c r="X60">
        <f>HYPERLINK("https://klasma.github.io/Logging_0382/tillsyn/A 56956-2021 tillsynsbegäran.docx", "A 56956-2021")</f>
        <v/>
      </c>
      <c r="Y60">
        <f>HYPERLINK("https://klasma.github.io/Logging_0382/tillsynsmail/A 56956-2021 tillsynsbegäran mail.docx", "A 56956-2021")</f>
        <v/>
      </c>
    </row>
    <row r="61" ht="15" customHeight="1">
      <c r="A61" t="inlineStr">
        <is>
          <t>A 2021-2022</t>
        </is>
      </c>
      <c r="B61" s="1" t="n">
        <v>44575</v>
      </c>
      <c r="C61" s="1" t="n">
        <v>45846</v>
      </c>
      <c r="D61" t="inlineStr">
        <is>
          <t>UPPSALA LÄN</t>
        </is>
      </c>
      <c r="E61" t="inlineStr">
        <is>
          <t>UPPSALA</t>
        </is>
      </c>
      <c r="G61" t="n">
        <v>11.3</v>
      </c>
      <c r="H61" t="n">
        <v>5</v>
      </c>
      <c r="I61" t="n">
        <v>1</v>
      </c>
      <c r="J61" t="n">
        <v>4</v>
      </c>
      <c r="K61" t="n">
        <v>2</v>
      </c>
      <c r="L61" t="n">
        <v>1</v>
      </c>
      <c r="M61" t="n">
        <v>0</v>
      </c>
      <c r="N61" t="n">
        <v>0</v>
      </c>
      <c r="O61" t="n">
        <v>7</v>
      </c>
      <c r="P61" t="n">
        <v>3</v>
      </c>
      <c r="Q61" t="n">
        <v>10</v>
      </c>
      <c r="R61" s="2" t="inlineStr">
        <is>
          <t>Ask
Gulvit blekspik
Stare
Motaggsvamp
Spillkråka
Tallticka
Ärtsångare
Skinnlav
Blåsippa
Gullviva</t>
        </is>
      </c>
      <c r="S61">
        <f>HYPERLINK("https://klasma.github.io/Logging_0380/artfynd/A 2021-2022 artfynd.xlsx", "A 2021-2022")</f>
        <v/>
      </c>
      <c r="T61">
        <f>HYPERLINK("https://klasma.github.io/Logging_0380/kartor/A 2021-2022 karta.png", "A 2021-2022")</f>
        <v/>
      </c>
      <c r="V61">
        <f>HYPERLINK("https://klasma.github.io/Logging_0380/klagomål/A 2021-2022 FSC-klagomål.docx", "A 2021-2022")</f>
        <v/>
      </c>
      <c r="W61">
        <f>HYPERLINK("https://klasma.github.io/Logging_0380/klagomålsmail/A 2021-2022 FSC-klagomål mail.docx", "A 2021-2022")</f>
        <v/>
      </c>
      <c r="X61">
        <f>HYPERLINK("https://klasma.github.io/Logging_0380/tillsyn/A 2021-2022 tillsynsbegäran.docx", "A 2021-2022")</f>
        <v/>
      </c>
      <c r="Y61">
        <f>HYPERLINK("https://klasma.github.io/Logging_0380/tillsynsmail/A 2021-2022 tillsynsbegäran mail.docx", "A 2021-2022")</f>
        <v/>
      </c>
      <c r="Z61">
        <f>HYPERLINK("https://klasma.github.io/Logging_0380/fåglar/A 2021-2022 prioriterade fågelarter.docx", "A 2021-2022")</f>
        <v/>
      </c>
    </row>
    <row r="62" ht="15" customHeight="1">
      <c r="A62" t="inlineStr">
        <is>
          <t>A 14157-2022</t>
        </is>
      </c>
      <c r="B62" s="1" t="n">
        <v>44651</v>
      </c>
      <c r="C62" s="1" t="n">
        <v>45846</v>
      </c>
      <c r="D62" t="inlineStr">
        <is>
          <t>UPPSALA LÄN</t>
        </is>
      </c>
      <c r="E62" t="inlineStr">
        <is>
          <t>TIERP</t>
        </is>
      </c>
      <c r="F62" t="inlineStr">
        <is>
          <t>Bergvik skog öst AB</t>
        </is>
      </c>
      <c r="G62" t="n">
        <v>8.1</v>
      </c>
      <c r="H62" t="n">
        <v>3</v>
      </c>
      <c r="I62" t="n">
        <v>8</v>
      </c>
      <c r="J62" t="n">
        <v>1</v>
      </c>
      <c r="K62" t="n">
        <v>0</v>
      </c>
      <c r="L62" t="n">
        <v>0</v>
      </c>
      <c r="M62" t="n">
        <v>0</v>
      </c>
      <c r="N62" t="n">
        <v>0</v>
      </c>
      <c r="O62" t="n">
        <v>1</v>
      </c>
      <c r="P62" t="n">
        <v>0</v>
      </c>
      <c r="Q62" t="n">
        <v>10</v>
      </c>
      <c r="R62" s="2" t="inlineStr">
        <is>
          <t>Vit vedfingersvamp
Brandticka
Bårdlav
Lönnlav
Skogsknipprot
Tibast
Tvåblad
Underviol
Vårärt
Blåsippa</t>
        </is>
      </c>
      <c r="S62">
        <f>HYPERLINK("https://klasma.github.io/Logging_0360/artfynd/A 14157-2022 artfynd.xlsx", "A 14157-2022")</f>
        <v/>
      </c>
      <c r="T62">
        <f>HYPERLINK("https://klasma.github.io/Logging_0360/kartor/A 14157-2022 karta.png", "A 14157-2022")</f>
        <v/>
      </c>
      <c r="V62">
        <f>HYPERLINK("https://klasma.github.io/Logging_0360/klagomål/A 14157-2022 FSC-klagomål.docx", "A 14157-2022")</f>
        <v/>
      </c>
      <c r="W62">
        <f>HYPERLINK("https://klasma.github.io/Logging_0360/klagomålsmail/A 14157-2022 FSC-klagomål mail.docx", "A 14157-2022")</f>
        <v/>
      </c>
      <c r="X62">
        <f>HYPERLINK("https://klasma.github.io/Logging_0360/tillsyn/A 14157-2022 tillsynsbegäran.docx", "A 14157-2022")</f>
        <v/>
      </c>
      <c r="Y62">
        <f>HYPERLINK("https://klasma.github.io/Logging_0360/tillsynsmail/A 14157-2022 tillsynsbegäran mail.docx", "A 14157-2022")</f>
        <v/>
      </c>
    </row>
    <row r="63" ht="15" customHeight="1">
      <c r="A63" t="inlineStr">
        <is>
          <t>A 20233-2022</t>
        </is>
      </c>
      <c r="B63" s="1" t="n">
        <v>44698</v>
      </c>
      <c r="C63" s="1" t="n">
        <v>45846</v>
      </c>
      <c r="D63" t="inlineStr">
        <is>
          <t>UPPSALA LÄN</t>
        </is>
      </c>
      <c r="E63" t="inlineStr">
        <is>
          <t>ÖSTHAMMAR</t>
        </is>
      </c>
      <c r="G63" t="n">
        <v>9.5</v>
      </c>
      <c r="H63" t="n">
        <v>0</v>
      </c>
      <c r="I63" t="n">
        <v>6</v>
      </c>
      <c r="J63" t="n">
        <v>2</v>
      </c>
      <c r="K63" t="n">
        <v>2</v>
      </c>
      <c r="L63" t="n">
        <v>0</v>
      </c>
      <c r="M63" t="n">
        <v>0</v>
      </c>
      <c r="N63" t="n">
        <v>0</v>
      </c>
      <c r="O63" t="n">
        <v>4</v>
      </c>
      <c r="P63" t="n">
        <v>2</v>
      </c>
      <c r="Q63" t="n">
        <v>10</v>
      </c>
      <c r="R63" s="2" t="inlineStr">
        <is>
          <t>Koppartaggsvamp
Violgubbe
Flattoppad klubbsvamp
Orange taggsvamp
Anisspindling
Dropptaggsvamp
Fjällig taggsvamp s.str.
Olivspindling
Rödgul trumpetsvamp
Svavelriska</t>
        </is>
      </c>
      <c r="S63">
        <f>HYPERLINK("https://klasma.github.io/Logging_0382/artfynd/A 20233-2022 artfynd.xlsx", "A 20233-2022")</f>
        <v/>
      </c>
      <c r="T63">
        <f>HYPERLINK("https://klasma.github.io/Logging_0382/kartor/A 20233-2022 karta.png", "A 20233-2022")</f>
        <v/>
      </c>
      <c r="V63">
        <f>HYPERLINK("https://klasma.github.io/Logging_0382/klagomål/A 20233-2022 FSC-klagomål.docx", "A 20233-2022")</f>
        <v/>
      </c>
      <c r="W63">
        <f>HYPERLINK("https://klasma.github.io/Logging_0382/klagomålsmail/A 20233-2022 FSC-klagomål mail.docx", "A 20233-2022")</f>
        <v/>
      </c>
      <c r="X63">
        <f>HYPERLINK("https://klasma.github.io/Logging_0382/tillsyn/A 20233-2022 tillsynsbegäran.docx", "A 20233-2022")</f>
        <v/>
      </c>
      <c r="Y63">
        <f>HYPERLINK("https://klasma.github.io/Logging_0382/tillsynsmail/A 20233-2022 tillsynsbegäran mail.docx", "A 20233-2022")</f>
        <v/>
      </c>
    </row>
    <row r="64" ht="15" customHeight="1">
      <c r="A64" t="inlineStr">
        <is>
          <t>A 55229-2024</t>
        </is>
      </c>
      <c r="B64" s="1" t="n">
        <v>45621</v>
      </c>
      <c r="C64" s="1" t="n">
        <v>45846</v>
      </c>
      <c r="D64" t="inlineStr">
        <is>
          <t>UPPSALA LÄN</t>
        </is>
      </c>
      <c r="E64" t="inlineStr">
        <is>
          <t>HEBY</t>
        </is>
      </c>
      <c r="G64" t="n">
        <v>5.3</v>
      </c>
      <c r="H64" t="n">
        <v>3</v>
      </c>
      <c r="I64" t="n">
        <v>4</v>
      </c>
      <c r="J64" t="n">
        <v>2</v>
      </c>
      <c r="K64" t="n">
        <v>2</v>
      </c>
      <c r="L64" t="n">
        <v>0</v>
      </c>
      <c r="M64" t="n">
        <v>0</v>
      </c>
      <c r="N64" t="n">
        <v>0</v>
      </c>
      <c r="O64" t="n">
        <v>4</v>
      </c>
      <c r="P64" t="n">
        <v>2</v>
      </c>
      <c r="Q64" t="n">
        <v>10</v>
      </c>
      <c r="R64" s="2" t="inlineStr">
        <is>
          <t>Knärot
Rynkskinn
Kolflarnlav
Ullticka
Bronshjon
Kattfotslav
Korallblylav
Mörk husmossa
Blåsippa
Revlummer</t>
        </is>
      </c>
      <c r="S64">
        <f>HYPERLINK("https://klasma.github.io/Logging_0331/artfynd/A 55229-2024 artfynd.xlsx", "A 55229-2024")</f>
        <v/>
      </c>
      <c r="T64">
        <f>HYPERLINK("https://klasma.github.io/Logging_0331/kartor/A 55229-2024 karta.png", "A 55229-2024")</f>
        <v/>
      </c>
      <c r="U64">
        <f>HYPERLINK("https://klasma.github.io/Logging_0331/knärot/A 55229-2024 karta knärot.png", "A 55229-2024")</f>
        <v/>
      </c>
      <c r="V64">
        <f>HYPERLINK("https://klasma.github.io/Logging_0331/klagomål/A 55229-2024 FSC-klagomål.docx", "A 55229-2024")</f>
        <v/>
      </c>
      <c r="W64">
        <f>HYPERLINK("https://klasma.github.io/Logging_0331/klagomålsmail/A 55229-2024 FSC-klagomål mail.docx", "A 55229-2024")</f>
        <v/>
      </c>
      <c r="X64">
        <f>HYPERLINK("https://klasma.github.io/Logging_0331/tillsyn/A 55229-2024 tillsynsbegäran.docx", "A 55229-2024")</f>
        <v/>
      </c>
      <c r="Y64">
        <f>HYPERLINK("https://klasma.github.io/Logging_0331/tillsynsmail/A 55229-2024 tillsynsbegäran mail.docx", "A 55229-2024")</f>
        <v/>
      </c>
    </row>
    <row r="65" ht="15" customHeight="1">
      <c r="A65" t="inlineStr">
        <is>
          <t>A 60673-2024</t>
        </is>
      </c>
      <c r="B65" s="1" t="n">
        <v>45644</v>
      </c>
      <c r="C65" s="1" t="n">
        <v>45846</v>
      </c>
      <c r="D65" t="inlineStr">
        <is>
          <t>UPPSALA LÄN</t>
        </is>
      </c>
      <c r="E65" t="inlineStr">
        <is>
          <t>TIERP</t>
        </is>
      </c>
      <c r="G65" t="n">
        <v>4</v>
      </c>
      <c r="H65" t="n">
        <v>0</v>
      </c>
      <c r="I65" t="n">
        <v>5</v>
      </c>
      <c r="J65" t="n">
        <v>3</v>
      </c>
      <c r="K65" t="n">
        <v>2</v>
      </c>
      <c r="L65" t="n">
        <v>0</v>
      </c>
      <c r="M65" t="n">
        <v>0</v>
      </c>
      <c r="N65" t="n">
        <v>0</v>
      </c>
      <c r="O65" t="n">
        <v>5</v>
      </c>
      <c r="P65" t="n">
        <v>2</v>
      </c>
      <c r="Q65" t="n">
        <v>10</v>
      </c>
      <c r="R65" s="2" t="inlineStr">
        <is>
          <t>Brandtaggsvamp
Fläckfingersvamp
Dofttaggsvamp
Svart taggsvamp
Vedtrappmossa
Brandmusseron
Fjällig taggsvamp s.str.
Korallblylav
Skinnlav
Tibast</t>
        </is>
      </c>
      <c r="S65">
        <f>HYPERLINK("https://klasma.github.io/Logging_0360/artfynd/A 60673-2024 artfynd.xlsx", "A 60673-2024")</f>
        <v/>
      </c>
      <c r="T65">
        <f>HYPERLINK("https://klasma.github.io/Logging_0360/kartor/A 60673-2024 karta.png", "A 60673-2024")</f>
        <v/>
      </c>
      <c r="V65">
        <f>HYPERLINK("https://klasma.github.io/Logging_0360/klagomål/A 60673-2024 FSC-klagomål.docx", "A 60673-2024")</f>
        <v/>
      </c>
      <c r="W65">
        <f>HYPERLINK("https://klasma.github.io/Logging_0360/klagomålsmail/A 60673-2024 FSC-klagomål mail.docx", "A 60673-2024")</f>
        <v/>
      </c>
      <c r="X65">
        <f>HYPERLINK("https://klasma.github.io/Logging_0360/tillsyn/A 60673-2024 tillsynsbegäran.docx", "A 60673-2024")</f>
        <v/>
      </c>
      <c r="Y65">
        <f>HYPERLINK("https://klasma.github.io/Logging_0360/tillsynsmail/A 60673-2024 tillsynsbegäran mail.docx", "A 60673-2024")</f>
        <v/>
      </c>
    </row>
    <row r="66" ht="15" customHeight="1">
      <c r="A66" t="inlineStr">
        <is>
          <t>A 28450-2021</t>
        </is>
      </c>
      <c r="B66" s="1" t="n">
        <v>44356</v>
      </c>
      <c r="C66" s="1" t="n">
        <v>45846</v>
      </c>
      <c r="D66" t="inlineStr">
        <is>
          <t>UPPSALA LÄN</t>
        </is>
      </c>
      <c r="E66" t="inlineStr">
        <is>
          <t>UPPSALA</t>
        </is>
      </c>
      <c r="G66" t="n">
        <v>11.8</v>
      </c>
      <c r="H66" t="n">
        <v>1</v>
      </c>
      <c r="I66" t="n">
        <v>7</v>
      </c>
      <c r="J66" t="n">
        <v>2</v>
      </c>
      <c r="K66" t="n">
        <v>0</v>
      </c>
      <c r="L66" t="n">
        <v>0</v>
      </c>
      <c r="M66" t="n">
        <v>0</v>
      </c>
      <c r="N66" t="n">
        <v>0</v>
      </c>
      <c r="O66" t="n">
        <v>2</v>
      </c>
      <c r="P66" t="n">
        <v>0</v>
      </c>
      <c r="Q66" t="n">
        <v>9</v>
      </c>
      <c r="R66" s="2" t="inlineStr">
        <is>
          <t>Platt spretmossa
Vedtrappmossa
Bågpraktmossa
Korallrot
Källpraktmossa
Rödgul trumpetsvamp
Stubbspretmossa
Vanlig rörsvepemossa
Ögonpyrola</t>
        </is>
      </c>
      <c r="S66">
        <f>HYPERLINK("https://klasma.github.io/Logging_0380/artfynd/A 28450-2021 artfynd.xlsx", "A 28450-2021")</f>
        <v/>
      </c>
      <c r="T66">
        <f>HYPERLINK("https://klasma.github.io/Logging_0380/kartor/A 28450-2021 karta.png", "A 28450-2021")</f>
        <v/>
      </c>
      <c r="U66">
        <f>HYPERLINK("https://klasma.github.io/Logging_0380/knärot/A 28450-2021 karta knärot.png", "A 28450-2021")</f>
        <v/>
      </c>
      <c r="V66">
        <f>HYPERLINK("https://klasma.github.io/Logging_0380/klagomål/A 28450-2021 FSC-klagomål.docx", "A 28450-2021")</f>
        <v/>
      </c>
      <c r="W66">
        <f>HYPERLINK("https://klasma.github.io/Logging_0380/klagomålsmail/A 28450-2021 FSC-klagomål mail.docx", "A 28450-2021")</f>
        <v/>
      </c>
      <c r="X66">
        <f>HYPERLINK("https://klasma.github.io/Logging_0380/tillsyn/A 28450-2021 tillsynsbegäran.docx", "A 28450-2021")</f>
        <v/>
      </c>
      <c r="Y66">
        <f>HYPERLINK("https://klasma.github.io/Logging_0380/tillsynsmail/A 28450-2021 tillsynsbegäran mail.docx", "A 28450-2021")</f>
        <v/>
      </c>
    </row>
    <row r="67" ht="15" customHeight="1">
      <c r="A67" t="inlineStr">
        <is>
          <t>A 31207-2022</t>
        </is>
      </c>
      <c r="B67" s="1" t="n">
        <v>44771</v>
      </c>
      <c r="C67" s="1" t="n">
        <v>45846</v>
      </c>
      <c r="D67" t="inlineStr">
        <is>
          <t>UPPSALA LÄN</t>
        </is>
      </c>
      <c r="E67" t="inlineStr">
        <is>
          <t>ÖSTHAMMAR</t>
        </is>
      </c>
      <c r="G67" t="n">
        <v>7</v>
      </c>
      <c r="H67" t="n">
        <v>1</v>
      </c>
      <c r="I67" t="n">
        <v>7</v>
      </c>
      <c r="J67" t="n">
        <v>1</v>
      </c>
      <c r="K67" t="n">
        <v>1</v>
      </c>
      <c r="L67" t="n">
        <v>0</v>
      </c>
      <c r="M67" t="n">
        <v>0</v>
      </c>
      <c r="N67" t="n">
        <v>0</v>
      </c>
      <c r="O67" t="n">
        <v>2</v>
      </c>
      <c r="P67" t="n">
        <v>1</v>
      </c>
      <c r="Q67" t="n">
        <v>9</v>
      </c>
      <c r="R67" s="2" t="inlineStr">
        <is>
          <t>Violgubbe
Äggspindling
Anisspindling
Brun klibbskivling
Grönkulla
Kalktallört
Skarp dropptaggsvamp
Svavelriska
Sårläka</t>
        </is>
      </c>
      <c r="S67">
        <f>HYPERLINK("https://klasma.github.io/Logging_0382/artfynd/A 31207-2022 artfynd.xlsx", "A 31207-2022")</f>
        <v/>
      </c>
      <c r="T67">
        <f>HYPERLINK("https://klasma.github.io/Logging_0382/kartor/A 31207-2022 karta.png", "A 31207-2022")</f>
        <v/>
      </c>
      <c r="V67">
        <f>HYPERLINK("https://klasma.github.io/Logging_0382/klagomål/A 31207-2022 FSC-klagomål.docx", "A 31207-2022")</f>
        <v/>
      </c>
      <c r="W67">
        <f>HYPERLINK("https://klasma.github.io/Logging_0382/klagomålsmail/A 31207-2022 FSC-klagomål mail.docx", "A 31207-2022")</f>
        <v/>
      </c>
      <c r="X67">
        <f>HYPERLINK("https://klasma.github.io/Logging_0382/tillsyn/A 31207-2022 tillsynsbegäran.docx", "A 31207-2022")</f>
        <v/>
      </c>
      <c r="Y67">
        <f>HYPERLINK("https://klasma.github.io/Logging_0382/tillsynsmail/A 31207-2022 tillsynsbegäran mail.docx", "A 31207-2022")</f>
        <v/>
      </c>
    </row>
    <row r="68" ht="15" customHeight="1">
      <c r="A68" t="inlineStr">
        <is>
          <t>A 2728-2023</t>
        </is>
      </c>
      <c r="B68" s="1" t="n">
        <v>44944</v>
      </c>
      <c r="C68" s="1" t="n">
        <v>45846</v>
      </c>
      <c r="D68" t="inlineStr">
        <is>
          <t>UPPSALA LÄN</t>
        </is>
      </c>
      <c r="E68" t="inlineStr">
        <is>
          <t>HÅBO</t>
        </is>
      </c>
      <c r="G68" t="n">
        <v>4.7</v>
      </c>
      <c r="H68" t="n">
        <v>2</v>
      </c>
      <c r="I68" t="n">
        <v>6</v>
      </c>
      <c r="J68" t="n">
        <v>1</v>
      </c>
      <c r="K68" t="n">
        <v>0</v>
      </c>
      <c r="L68" t="n">
        <v>0</v>
      </c>
      <c r="M68" t="n">
        <v>0</v>
      </c>
      <c r="N68" t="n">
        <v>0</v>
      </c>
      <c r="O68" t="n">
        <v>1</v>
      </c>
      <c r="P68" t="n">
        <v>0</v>
      </c>
      <c r="Q68" t="n">
        <v>9</v>
      </c>
      <c r="R68" s="2" t="inlineStr">
        <is>
          <t>Dofttaggsvamp
Anisspindling
Blåmossa
Fjällig taggsvamp s.str.
Källpraktmossa
Strimspindling
Svavelriska
Fläcknycklar
Nattviol</t>
        </is>
      </c>
      <c r="S68">
        <f>HYPERLINK("https://klasma.github.io/Logging_0305/artfynd/A 2728-2023 artfynd.xlsx", "A 2728-2023")</f>
        <v/>
      </c>
      <c r="T68">
        <f>HYPERLINK("https://klasma.github.io/Logging_0305/kartor/A 2728-2023 karta.png", "A 2728-2023")</f>
        <v/>
      </c>
      <c r="V68">
        <f>HYPERLINK("https://klasma.github.io/Logging_0305/klagomål/A 2728-2023 FSC-klagomål.docx", "A 2728-2023")</f>
        <v/>
      </c>
      <c r="W68">
        <f>HYPERLINK("https://klasma.github.io/Logging_0305/klagomålsmail/A 2728-2023 FSC-klagomål mail.docx", "A 2728-2023")</f>
        <v/>
      </c>
      <c r="X68">
        <f>HYPERLINK("https://klasma.github.io/Logging_0305/tillsyn/A 2728-2023 tillsynsbegäran.docx", "A 2728-2023")</f>
        <v/>
      </c>
      <c r="Y68">
        <f>HYPERLINK("https://klasma.github.io/Logging_0305/tillsynsmail/A 2728-2023 tillsynsbegäran mail.docx", "A 2728-2023")</f>
        <v/>
      </c>
    </row>
    <row r="69" ht="15" customHeight="1">
      <c r="A69" t="inlineStr">
        <is>
          <t>A 7444-2023</t>
        </is>
      </c>
      <c r="B69" s="1" t="n">
        <v>44971</v>
      </c>
      <c r="C69" s="1" t="n">
        <v>45846</v>
      </c>
      <c r="D69" t="inlineStr">
        <is>
          <t>UPPSALA LÄN</t>
        </is>
      </c>
      <c r="E69" t="inlineStr">
        <is>
          <t>KNIVSTA</t>
        </is>
      </c>
      <c r="G69" t="n">
        <v>0.7</v>
      </c>
      <c r="H69" t="n">
        <v>0</v>
      </c>
      <c r="I69" t="n">
        <v>4</v>
      </c>
      <c r="J69" t="n">
        <v>2</v>
      </c>
      <c r="K69" t="n">
        <v>3</v>
      </c>
      <c r="L69" t="n">
        <v>0</v>
      </c>
      <c r="M69" t="n">
        <v>0</v>
      </c>
      <c r="N69" t="n">
        <v>0</v>
      </c>
      <c r="O69" t="n">
        <v>5</v>
      </c>
      <c r="P69" t="n">
        <v>3</v>
      </c>
      <c r="Q69" t="n">
        <v>9</v>
      </c>
      <c r="R69" s="2" t="inlineStr">
        <is>
          <t>Apelticka
Kärnticka
Rostorangelav
Kandelabersvamp
Lunglav
Granbarkgnagare
Platt fjädermossa
Stekelbock
Thomsons trägnagare</t>
        </is>
      </c>
      <c r="S69">
        <f>HYPERLINK("https://klasma.github.io/Logging_0330/artfynd/A 7444-2023 artfynd.xlsx", "A 7444-2023")</f>
        <v/>
      </c>
      <c r="T69">
        <f>HYPERLINK("https://klasma.github.io/Logging_0330/kartor/A 7444-2023 karta.png", "A 7444-2023")</f>
        <v/>
      </c>
      <c r="V69">
        <f>HYPERLINK("https://klasma.github.io/Logging_0330/klagomål/A 7444-2023 FSC-klagomål.docx", "A 7444-2023")</f>
        <v/>
      </c>
      <c r="W69">
        <f>HYPERLINK("https://klasma.github.io/Logging_0330/klagomålsmail/A 7444-2023 FSC-klagomål mail.docx", "A 7444-2023")</f>
        <v/>
      </c>
      <c r="X69">
        <f>HYPERLINK("https://klasma.github.io/Logging_0330/tillsyn/A 7444-2023 tillsynsbegäran.docx", "A 7444-2023")</f>
        <v/>
      </c>
      <c r="Y69">
        <f>HYPERLINK("https://klasma.github.io/Logging_0330/tillsynsmail/A 7444-2023 tillsynsbegäran mail.docx", "A 7444-2023")</f>
        <v/>
      </c>
    </row>
    <row r="70" ht="15" customHeight="1">
      <c r="A70" t="inlineStr">
        <is>
          <t>A 11878-2023</t>
        </is>
      </c>
      <c r="B70" s="1" t="n">
        <v>44995</v>
      </c>
      <c r="C70" s="1" t="n">
        <v>45846</v>
      </c>
      <c r="D70" t="inlineStr">
        <is>
          <t>UPPSALA LÄN</t>
        </is>
      </c>
      <c r="E70" t="inlineStr">
        <is>
          <t>TIERP</t>
        </is>
      </c>
      <c r="F70" t="inlineStr">
        <is>
          <t>Bergvik skog öst AB</t>
        </is>
      </c>
      <c r="G70" t="n">
        <v>38</v>
      </c>
      <c r="H70" t="n">
        <v>5</v>
      </c>
      <c r="I70" t="n">
        <v>4</v>
      </c>
      <c r="J70" t="n">
        <v>1</v>
      </c>
      <c r="K70" t="n">
        <v>2</v>
      </c>
      <c r="L70" t="n">
        <v>0</v>
      </c>
      <c r="M70" t="n">
        <v>0</v>
      </c>
      <c r="N70" t="n">
        <v>0</v>
      </c>
      <c r="O70" t="n">
        <v>3</v>
      </c>
      <c r="P70" t="n">
        <v>2</v>
      </c>
      <c r="Q70" t="n">
        <v>9</v>
      </c>
      <c r="R70" s="2" t="inlineStr">
        <is>
          <t>Knärot
Rynkskinn
Spillkråka
Anisspindling
Rödgul trumpetsvamp
Skogsknipprot
Sårläka
Blåsippa
Revlummer</t>
        </is>
      </c>
      <c r="S70">
        <f>HYPERLINK("https://klasma.github.io/Logging_0360/artfynd/A 11878-2023 artfynd.xlsx", "A 11878-2023")</f>
        <v/>
      </c>
      <c r="T70">
        <f>HYPERLINK("https://klasma.github.io/Logging_0360/kartor/A 11878-2023 karta.png", "A 11878-2023")</f>
        <v/>
      </c>
      <c r="U70">
        <f>HYPERLINK("https://klasma.github.io/Logging_0360/knärot/A 11878-2023 karta knärot.png", "A 11878-2023")</f>
        <v/>
      </c>
      <c r="V70">
        <f>HYPERLINK("https://klasma.github.io/Logging_0360/klagomål/A 11878-2023 FSC-klagomål.docx", "A 11878-2023")</f>
        <v/>
      </c>
      <c r="W70">
        <f>HYPERLINK("https://klasma.github.io/Logging_0360/klagomålsmail/A 11878-2023 FSC-klagomål mail.docx", "A 11878-2023")</f>
        <v/>
      </c>
      <c r="X70">
        <f>HYPERLINK("https://klasma.github.io/Logging_0360/tillsyn/A 11878-2023 tillsynsbegäran.docx", "A 11878-2023")</f>
        <v/>
      </c>
      <c r="Y70">
        <f>HYPERLINK("https://klasma.github.io/Logging_0360/tillsynsmail/A 11878-2023 tillsynsbegäran mail.docx", "A 11878-2023")</f>
        <v/>
      </c>
      <c r="Z70">
        <f>HYPERLINK("https://klasma.github.io/Logging_0360/fåglar/A 11878-2023 prioriterade fågelarter.docx", "A 11878-2023")</f>
        <v/>
      </c>
    </row>
    <row r="71" ht="15" customHeight="1">
      <c r="A71" t="inlineStr">
        <is>
          <t>A 44867-2023</t>
        </is>
      </c>
      <c r="B71" s="1" t="n">
        <v>45190</v>
      </c>
      <c r="C71" s="1" t="n">
        <v>45846</v>
      </c>
      <c r="D71" t="inlineStr">
        <is>
          <t>UPPSALA LÄN</t>
        </is>
      </c>
      <c r="E71" t="inlineStr">
        <is>
          <t>KNIVSTA</t>
        </is>
      </c>
      <c r="G71" t="n">
        <v>7.8</v>
      </c>
      <c r="H71" t="n">
        <v>4</v>
      </c>
      <c r="I71" t="n">
        <v>3</v>
      </c>
      <c r="J71" t="n">
        <v>2</v>
      </c>
      <c r="K71" t="n">
        <v>1</v>
      </c>
      <c r="L71" t="n">
        <v>0</v>
      </c>
      <c r="M71" t="n">
        <v>0</v>
      </c>
      <c r="N71" t="n">
        <v>0</v>
      </c>
      <c r="O71" t="n">
        <v>3</v>
      </c>
      <c r="P71" t="n">
        <v>1</v>
      </c>
      <c r="Q71" t="n">
        <v>9</v>
      </c>
      <c r="R71" s="2" t="inlineStr">
        <is>
          <t>Bombmurkla
Granticka
Kandelabersvamp
Granbräken
Myskmadra
Stor aspticka
Enkelbeckasin
Trana
Gullviva</t>
        </is>
      </c>
      <c r="S71">
        <f>HYPERLINK("https://klasma.github.io/Logging_0330/artfynd/A 44867-2023 artfynd.xlsx", "A 44867-2023")</f>
        <v/>
      </c>
      <c r="T71">
        <f>HYPERLINK("https://klasma.github.io/Logging_0330/kartor/A 44867-2023 karta.png", "A 44867-2023")</f>
        <v/>
      </c>
      <c r="V71">
        <f>HYPERLINK("https://klasma.github.io/Logging_0330/klagomål/A 44867-2023 FSC-klagomål.docx", "A 44867-2023")</f>
        <v/>
      </c>
      <c r="W71">
        <f>HYPERLINK("https://klasma.github.io/Logging_0330/klagomålsmail/A 44867-2023 FSC-klagomål mail.docx", "A 44867-2023")</f>
        <v/>
      </c>
      <c r="X71">
        <f>HYPERLINK("https://klasma.github.io/Logging_0330/tillsyn/A 44867-2023 tillsynsbegäran.docx", "A 44867-2023")</f>
        <v/>
      </c>
      <c r="Y71">
        <f>HYPERLINK("https://klasma.github.io/Logging_0330/tillsynsmail/A 44867-2023 tillsynsbegäran mail.docx", "A 44867-2023")</f>
        <v/>
      </c>
      <c r="Z71">
        <f>HYPERLINK("https://klasma.github.io/Logging_0330/fåglar/A 44867-2023 prioriterade fågelarter.docx", "A 44867-2023")</f>
        <v/>
      </c>
    </row>
    <row r="72" ht="15" customHeight="1">
      <c r="A72" t="inlineStr">
        <is>
          <t>A 46162-2023</t>
        </is>
      </c>
      <c r="B72" s="1" t="n">
        <v>45196</v>
      </c>
      <c r="C72" s="1" t="n">
        <v>45846</v>
      </c>
      <c r="D72" t="inlineStr">
        <is>
          <t>UPPSALA LÄN</t>
        </is>
      </c>
      <c r="E72" t="inlineStr">
        <is>
          <t>UPPSALA</t>
        </is>
      </c>
      <c r="G72" t="n">
        <v>5.5</v>
      </c>
      <c r="H72" t="n">
        <v>1</v>
      </c>
      <c r="I72" t="n">
        <v>4</v>
      </c>
      <c r="J72" t="n">
        <v>3</v>
      </c>
      <c r="K72" t="n">
        <v>2</v>
      </c>
      <c r="L72" t="n">
        <v>0</v>
      </c>
      <c r="M72" t="n">
        <v>0</v>
      </c>
      <c r="N72" t="n">
        <v>0</v>
      </c>
      <c r="O72" t="n">
        <v>5</v>
      </c>
      <c r="P72" t="n">
        <v>2</v>
      </c>
      <c r="Q72" t="n">
        <v>9</v>
      </c>
      <c r="R72" s="2" t="inlineStr">
        <is>
          <t>Knärot
Rynkskinn
Såpfingersvamp
Ullticka
Vedtrappmossa
Bronshjon
Fjällig taggsvamp s.str.
Vedticka
Vågbandad barkbock</t>
        </is>
      </c>
      <c r="S72">
        <f>HYPERLINK("https://klasma.github.io/Logging_0380/artfynd/A 46162-2023 artfynd.xlsx", "A 46162-2023")</f>
        <v/>
      </c>
      <c r="T72">
        <f>HYPERLINK("https://klasma.github.io/Logging_0380/kartor/A 46162-2023 karta.png", "A 46162-2023")</f>
        <v/>
      </c>
      <c r="U72">
        <f>HYPERLINK("https://klasma.github.io/Logging_0380/knärot/A 46162-2023 karta knärot.png", "A 46162-2023")</f>
        <v/>
      </c>
      <c r="V72">
        <f>HYPERLINK("https://klasma.github.io/Logging_0380/klagomål/A 46162-2023 FSC-klagomål.docx", "A 46162-2023")</f>
        <v/>
      </c>
      <c r="W72">
        <f>HYPERLINK("https://klasma.github.io/Logging_0380/klagomålsmail/A 46162-2023 FSC-klagomål mail.docx", "A 46162-2023")</f>
        <v/>
      </c>
      <c r="X72">
        <f>HYPERLINK("https://klasma.github.io/Logging_0380/tillsyn/A 46162-2023 tillsynsbegäran.docx", "A 46162-2023")</f>
        <v/>
      </c>
      <c r="Y72">
        <f>HYPERLINK("https://klasma.github.io/Logging_0380/tillsynsmail/A 46162-2023 tillsynsbegäran mail.docx", "A 46162-2023")</f>
        <v/>
      </c>
    </row>
    <row r="73" ht="15" customHeight="1">
      <c r="A73" t="inlineStr">
        <is>
          <t>A 49894-2023</t>
        </is>
      </c>
      <c r="B73" s="1" t="n">
        <v>45213</v>
      </c>
      <c r="C73" s="1" t="n">
        <v>45846</v>
      </c>
      <c r="D73" t="inlineStr">
        <is>
          <t>UPPSALA LÄN</t>
        </is>
      </c>
      <c r="E73" t="inlineStr">
        <is>
          <t>KNIVSTA</t>
        </is>
      </c>
      <c r="G73" t="n">
        <v>17.8</v>
      </c>
      <c r="H73" t="n">
        <v>8</v>
      </c>
      <c r="I73" t="n">
        <v>0</v>
      </c>
      <c r="J73" t="n">
        <v>5</v>
      </c>
      <c r="K73" t="n">
        <v>0</v>
      </c>
      <c r="L73" t="n">
        <v>1</v>
      </c>
      <c r="M73" t="n">
        <v>0</v>
      </c>
      <c r="N73" t="n">
        <v>0</v>
      </c>
      <c r="O73" t="n">
        <v>6</v>
      </c>
      <c r="P73" t="n">
        <v>1</v>
      </c>
      <c r="Q73" t="n">
        <v>9</v>
      </c>
      <c r="R73" s="2" t="inlineStr">
        <is>
          <t>Grönfink
Granticka
Grönsångare
Gulsparv
Havsörn
Rödvingetrast
Grönsiska
Järnsparv
Kungsfågel</t>
        </is>
      </c>
      <c r="S73">
        <f>HYPERLINK("https://klasma.github.io/Logging_0330/artfynd/A 49894-2023 artfynd.xlsx", "A 49894-2023")</f>
        <v/>
      </c>
      <c r="T73">
        <f>HYPERLINK("https://klasma.github.io/Logging_0330/kartor/A 49894-2023 karta.png", "A 49894-2023")</f>
        <v/>
      </c>
      <c r="V73">
        <f>HYPERLINK("https://klasma.github.io/Logging_0330/klagomål/A 49894-2023 FSC-klagomål.docx", "A 49894-2023")</f>
        <v/>
      </c>
      <c r="W73">
        <f>HYPERLINK("https://klasma.github.io/Logging_0330/klagomålsmail/A 49894-2023 FSC-klagomål mail.docx", "A 49894-2023")</f>
        <v/>
      </c>
      <c r="X73">
        <f>HYPERLINK("https://klasma.github.io/Logging_0330/tillsyn/A 49894-2023 tillsynsbegäran.docx", "A 49894-2023")</f>
        <v/>
      </c>
      <c r="Y73">
        <f>HYPERLINK("https://klasma.github.io/Logging_0330/tillsynsmail/A 49894-2023 tillsynsbegäran mail.docx", "A 49894-2023")</f>
        <v/>
      </c>
      <c r="Z73">
        <f>HYPERLINK("https://klasma.github.io/Logging_0330/fåglar/A 49894-2023 prioriterade fågelarter.docx", "A 49894-2023")</f>
        <v/>
      </c>
    </row>
    <row r="74" ht="15" customHeight="1">
      <c r="A74" t="inlineStr">
        <is>
          <t>A 52808-2023</t>
        </is>
      </c>
      <c r="B74" s="1" t="n">
        <v>45226</v>
      </c>
      <c r="C74" s="1" t="n">
        <v>45846</v>
      </c>
      <c r="D74" t="inlineStr">
        <is>
          <t>UPPSALA LÄN</t>
        </is>
      </c>
      <c r="E74" t="inlineStr">
        <is>
          <t>ÖSTHAMMAR</t>
        </is>
      </c>
      <c r="F74" t="inlineStr">
        <is>
          <t>Bergvik skog öst AB</t>
        </is>
      </c>
      <c r="G74" t="n">
        <v>20.2</v>
      </c>
      <c r="H74" t="n">
        <v>6</v>
      </c>
      <c r="I74" t="n">
        <v>2</v>
      </c>
      <c r="J74" t="n">
        <v>3</v>
      </c>
      <c r="K74" t="n">
        <v>1</v>
      </c>
      <c r="L74" t="n">
        <v>0</v>
      </c>
      <c r="M74" t="n">
        <v>0</v>
      </c>
      <c r="N74" t="n">
        <v>0</v>
      </c>
      <c r="O74" t="n">
        <v>4</v>
      </c>
      <c r="P74" t="n">
        <v>1</v>
      </c>
      <c r="Q74" t="n">
        <v>9</v>
      </c>
      <c r="R74" s="2" t="inlineStr">
        <is>
          <t>Knärot
Spillkråka
Tretåig hackspett
Ullticka
Brandticka
Grönpyrola
Tjäder
Blåsippa
Revlummer</t>
        </is>
      </c>
      <c r="S74">
        <f>HYPERLINK("https://klasma.github.io/Logging_0382/artfynd/A 52808-2023 artfynd.xlsx", "A 52808-2023")</f>
        <v/>
      </c>
      <c r="T74">
        <f>HYPERLINK("https://klasma.github.io/Logging_0382/kartor/A 52808-2023 karta.png", "A 52808-2023")</f>
        <v/>
      </c>
      <c r="U74">
        <f>HYPERLINK("https://klasma.github.io/Logging_0382/knärot/A 52808-2023 karta knärot.png", "A 52808-2023")</f>
        <v/>
      </c>
      <c r="V74">
        <f>HYPERLINK("https://klasma.github.io/Logging_0382/klagomål/A 52808-2023 FSC-klagomål.docx", "A 52808-2023")</f>
        <v/>
      </c>
      <c r="W74">
        <f>HYPERLINK("https://klasma.github.io/Logging_0382/klagomålsmail/A 52808-2023 FSC-klagomål mail.docx", "A 52808-2023")</f>
        <v/>
      </c>
      <c r="X74">
        <f>HYPERLINK("https://klasma.github.io/Logging_0382/tillsyn/A 52808-2023 tillsynsbegäran.docx", "A 52808-2023")</f>
        <v/>
      </c>
      <c r="Y74">
        <f>HYPERLINK("https://klasma.github.io/Logging_0382/tillsynsmail/A 52808-2023 tillsynsbegäran mail.docx", "A 52808-2023")</f>
        <v/>
      </c>
      <c r="Z74">
        <f>HYPERLINK("https://klasma.github.io/Logging_0382/fåglar/A 52808-2023 prioriterade fågelarter.docx", "A 52808-2023")</f>
        <v/>
      </c>
    </row>
    <row r="75" ht="15" customHeight="1">
      <c r="A75" t="inlineStr">
        <is>
          <t>A 19748-2024</t>
        </is>
      </c>
      <c r="B75" s="1" t="n">
        <v>45432</v>
      </c>
      <c r="C75" s="1" t="n">
        <v>45846</v>
      </c>
      <c r="D75" t="inlineStr">
        <is>
          <t>UPPSALA LÄN</t>
        </is>
      </c>
      <c r="E75" t="inlineStr">
        <is>
          <t>ÖSTHAMMAR</t>
        </is>
      </c>
      <c r="G75" t="n">
        <v>1.3</v>
      </c>
      <c r="H75" t="n">
        <v>4</v>
      </c>
      <c r="I75" t="n">
        <v>3</v>
      </c>
      <c r="J75" t="n">
        <v>2</v>
      </c>
      <c r="K75" t="n">
        <v>2</v>
      </c>
      <c r="L75" t="n">
        <v>0</v>
      </c>
      <c r="M75" t="n">
        <v>0</v>
      </c>
      <c r="N75" t="n">
        <v>0</v>
      </c>
      <c r="O75" t="n">
        <v>4</v>
      </c>
      <c r="P75" t="n">
        <v>2</v>
      </c>
      <c r="Q75" t="n">
        <v>9</v>
      </c>
      <c r="R75" s="2" t="inlineStr">
        <is>
          <t>Koppartaggsvamp
Violgubbe
Spillkråka
Talltita
Brandticka
Fjällig taggsvamp s.str.
Zontaggsvamp
Blåsippa
Revlummer</t>
        </is>
      </c>
      <c r="S75">
        <f>HYPERLINK("https://klasma.github.io/Logging_0382/artfynd/A 19748-2024 artfynd.xlsx", "A 19748-2024")</f>
        <v/>
      </c>
      <c r="T75">
        <f>HYPERLINK("https://klasma.github.io/Logging_0382/kartor/A 19748-2024 karta.png", "A 19748-2024")</f>
        <v/>
      </c>
      <c r="U75">
        <f>HYPERLINK("https://klasma.github.io/Logging_0382/knärot/A 19748-2024 karta knärot.png", "A 19748-2024")</f>
        <v/>
      </c>
      <c r="V75">
        <f>HYPERLINK("https://klasma.github.io/Logging_0382/klagomål/A 19748-2024 FSC-klagomål.docx", "A 19748-2024")</f>
        <v/>
      </c>
      <c r="W75">
        <f>HYPERLINK("https://klasma.github.io/Logging_0382/klagomålsmail/A 19748-2024 FSC-klagomål mail.docx", "A 19748-2024")</f>
        <v/>
      </c>
      <c r="X75">
        <f>HYPERLINK("https://klasma.github.io/Logging_0382/tillsyn/A 19748-2024 tillsynsbegäran.docx", "A 19748-2024")</f>
        <v/>
      </c>
      <c r="Y75">
        <f>HYPERLINK("https://klasma.github.io/Logging_0382/tillsynsmail/A 19748-2024 tillsynsbegäran mail.docx", "A 19748-2024")</f>
        <v/>
      </c>
      <c r="Z75">
        <f>HYPERLINK("https://klasma.github.io/Logging_0382/fåglar/A 19748-2024 prioriterade fågelarter.docx", "A 19748-2024")</f>
        <v/>
      </c>
    </row>
    <row r="76" ht="15" customHeight="1">
      <c r="A76" t="inlineStr">
        <is>
          <t>A 55567-2024</t>
        </is>
      </c>
      <c r="B76" s="1" t="n">
        <v>45622</v>
      </c>
      <c r="C76" s="1" t="n">
        <v>45846</v>
      </c>
      <c r="D76" t="inlineStr">
        <is>
          <t>UPPSALA LÄN</t>
        </is>
      </c>
      <c r="E76" t="inlineStr">
        <is>
          <t>ÄLVKARLEBY</t>
        </is>
      </c>
      <c r="F76" t="inlineStr">
        <is>
          <t>Bergvik skog väst AB</t>
        </is>
      </c>
      <c r="G76" t="n">
        <v>2.7</v>
      </c>
      <c r="H76" t="n">
        <v>3</v>
      </c>
      <c r="I76" t="n">
        <v>6</v>
      </c>
      <c r="J76" t="n">
        <v>1</v>
      </c>
      <c r="K76" t="n">
        <v>1</v>
      </c>
      <c r="L76" t="n">
        <v>0</v>
      </c>
      <c r="M76" t="n">
        <v>0</v>
      </c>
      <c r="N76" t="n">
        <v>0</v>
      </c>
      <c r="O76" t="n">
        <v>2</v>
      </c>
      <c r="P76" t="n">
        <v>1</v>
      </c>
      <c r="Q76" t="n">
        <v>9</v>
      </c>
      <c r="R76" s="2" t="inlineStr">
        <is>
          <t>Knärot
Vedtrappmossa
Barkticka
Brandticka
Bronshjon
Grovticka
Grön sköldmossa
Noshornsoxe
Nattviol</t>
        </is>
      </c>
      <c r="S76">
        <f>HYPERLINK("https://klasma.github.io/Logging_0319/artfynd/A 55567-2024 artfynd.xlsx", "A 55567-2024")</f>
        <v/>
      </c>
      <c r="T76">
        <f>HYPERLINK("https://klasma.github.io/Logging_0319/kartor/A 55567-2024 karta.png", "A 55567-2024")</f>
        <v/>
      </c>
      <c r="U76">
        <f>HYPERLINK("https://klasma.github.io/Logging_0319/knärot/A 55567-2024 karta knärot.png", "A 55567-2024")</f>
        <v/>
      </c>
      <c r="V76">
        <f>HYPERLINK("https://klasma.github.io/Logging_0319/klagomål/A 55567-2024 FSC-klagomål.docx", "A 55567-2024")</f>
        <v/>
      </c>
      <c r="W76">
        <f>HYPERLINK("https://klasma.github.io/Logging_0319/klagomålsmail/A 55567-2024 FSC-klagomål mail.docx", "A 55567-2024")</f>
        <v/>
      </c>
      <c r="X76">
        <f>HYPERLINK("https://klasma.github.io/Logging_0319/tillsyn/A 55567-2024 tillsynsbegäran.docx", "A 55567-2024")</f>
        <v/>
      </c>
      <c r="Y76">
        <f>HYPERLINK("https://klasma.github.io/Logging_0319/tillsynsmail/A 55567-2024 tillsynsbegäran mail.docx", "A 55567-2024")</f>
        <v/>
      </c>
    </row>
    <row r="77" ht="15" customHeight="1">
      <c r="A77" t="inlineStr">
        <is>
          <t>A 12240-2025</t>
        </is>
      </c>
      <c r="B77" s="1" t="n">
        <v>45729</v>
      </c>
      <c r="C77" s="1" t="n">
        <v>45846</v>
      </c>
      <c r="D77" t="inlineStr">
        <is>
          <t>UPPSALA LÄN</t>
        </is>
      </c>
      <c r="E77" t="inlineStr">
        <is>
          <t>HEBY</t>
        </is>
      </c>
      <c r="G77" t="n">
        <v>5.5</v>
      </c>
      <c r="H77" t="n">
        <v>0</v>
      </c>
      <c r="I77" t="n">
        <v>5</v>
      </c>
      <c r="J77" t="n">
        <v>4</v>
      </c>
      <c r="K77" t="n">
        <v>0</v>
      </c>
      <c r="L77" t="n">
        <v>0</v>
      </c>
      <c r="M77" t="n">
        <v>0</v>
      </c>
      <c r="N77" t="n">
        <v>0</v>
      </c>
      <c r="O77" t="n">
        <v>4</v>
      </c>
      <c r="P77" t="n">
        <v>0</v>
      </c>
      <c r="Q77" t="n">
        <v>9</v>
      </c>
      <c r="R77" s="2" t="inlineStr">
        <is>
          <t>Druvfingersvamp
Grantaggsvamp
Gultoppig fingersvamp
Ullticka
Barkticka
Fjällig taggsvamp s.str.
Platt fjädermossa
Stekelbock
Stor aspticka</t>
        </is>
      </c>
      <c r="S77">
        <f>HYPERLINK("https://klasma.github.io/Logging_030331/artfynd/A 12240-2025 artfynd.xlsx", "A 12240-2025")</f>
        <v/>
      </c>
      <c r="T77">
        <f>HYPERLINK("https://klasma.github.io/Logging_030331/kartor/A 12240-2025 karta.png", "A 12240-2025")</f>
        <v/>
      </c>
      <c r="V77">
        <f>HYPERLINK("https://klasma.github.io/Logging_030331/klagomål/A 12240-2025 FSC-klagomål.docx", "A 12240-2025")</f>
        <v/>
      </c>
      <c r="W77">
        <f>HYPERLINK("https://klasma.github.io/Logging_030331/klagomålsmail/A 12240-2025 FSC-klagomål mail.docx", "A 12240-2025")</f>
        <v/>
      </c>
      <c r="X77">
        <f>HYPERLINK("https://klasma.github.io/Logging_030331/tillsyn/A 12240-2025 tillsynsbegäran.docx", "A 12240-2025")</f>
        <v/>
      </c>
      <c r="Y77">
        <f>HYPERLINK("https://klasma.github.io/Logging_030331/tillsynsmail/A 12240-2025 tillsynsbegäran mail.docx", "A 12240-2025")</f>
        <v/>
      </c>
    </row>
    <row r="78" ht="15" customHeight="1">
      <c r="A78" t="inlineStr">
        <is>
          <t>A 17846-2025</t>
        </is>
      </c>
      <c r="B78" s="1" t="n">
        <v>45758</v>
      </c>
      <c r="C78" s="1" t="n">
        <v>45846</v>
      </c>
      <c r="D78" t="inlineStr">
        <is>
          <t>UPPSALA LÄN</t>
        </is>
      </c>
      <c r="E78" t="inlineStr">
        <is>
          <t>UPPSALA</t>
        </is>
      </c>
      <c r="F78" t="inlineStr">
        <is>
          <t>Holmen skog AB</t>
        </is>
      </c>
      <c r="G78" t="n">
        <v>6</v>
      </c>
      <c r="H78" t="n">
        <v>0</v>
      </c>
      <c r="I78" t="n">
        <v>6</v>
      </c>
      <c r="J78" t="n">
        <v>3</v>
      </c>
      <c r="K78" t="n">
        <v>0</v>
      </c>
      <c r="L78" t="n">
        <v>0</v>
      </c>
      <c r="M78" t="n">
        <v>0</v>
      </c>
      <c r="N78" t="n">
        <v>0</v>
      </c>
      <c r="O78" t="n">
        <v>3</v>
      </c>
      <c r="P78" t="n">
        <v>0</v>
      </c>
      <c r="Q78" t="n">
        <v>9</v>
      </c>
      <c r="R78" s="2" t="inlineStr">
        <is>
          <t>Lunglav
Rutskinn
Rödbrun blekspik
Bårdlav
Fällmossa
Guldlockmossa
Hasselticka
Korallblylav
Kornig nållav</t>
        </is>
      </c>
      <c r="S78">
        <f>HYPERLINK("https://klasma.github.io/Logging_030380/artfynd/A 17846-2025 artfynd.xlsx", "A 17846-2025")</f>
        <v/>
      </c>
      <c r="T78">
        <f>HYPERLINK("https://klasma.github.io/Logging_030380/kartor/A 17846-2025 karta.png", "A 17846-2025")</f>
        <v/>
      </c>
      <c r="V78">
        <f>HYPERLINK("https://klasma.github.io/Logging_030380/klagomål/A 17846-2025 FSC-klagomål.docx", "A 17846-2025")</f>
        <v/>
      </c>
      <c r="W78">
        <f>HYPERLINK("https://klasma.github.io/Logging_030380/klagomålsmail/A 17846-2025 FSC-klagomål mail.docx", "A 17846-2025")</f>
        <v/>
      </c>
      <c r="X78">
        <f>HYPERLINK("https://klasma.github.io/Logging_030380/tillsyn/A 17846-2025 tillsynsbegäran.docx", "A 17846-2025")</f>
        <v/>
      </c>
      <c r="Y78">
        <f>HYPERLINK("https://klasma.github.io/Logging_030380/tillsynsmail/A 17846-2025 tillsynsbegäran mail.docx", "A 17846-2025")</f>
        <v/>
      </c>
    </row>
    <row r="79" ht="15" customHeight="1">
      <c r="A79" t="inlineStr">
        <is>
          <t>A 32680-2019</t>
        </is>
      </c>
      <c r="B79" s="1" t="n">
        <v>43647</v>
      </c>
      <c r="C79" s="1" t="n">
        <v>45846</v>
      </c>
      <c r="D79" t="inlineStr">
        <is>
          <t>UPPSALA LÄN</t>
        </is>
      </c>
      <c r="E79" t="inlineStr">
        <is>
          <t>ÖSTHAMMAR</t>
        </is>
      </c>
      <c r="G79" t="n">
        <v>8.300000000000001</v>
      </c>
      <c r="H79" t="n">
        <v>3</v>
      </c>
      <c r="I79" t="n">
        <v>5</v>
      </c>
      <c r="J79" t="n">
        <v>1</v>
      </c>
      <c r="K79" t="n">
        <v>1</v>
      </c>
      <c r="L79" t="n">
        <v>0</v>
      </c>
      <c r="M79" t="n">
        <v>0</v>
      </c>
      <c r="N79" t="n">
        <v>0</v>
      </c>
      <c r="O79" t="n">
        <v>2</v>
      </c>
      <c r="P79" t="n">
        <v>1</v>
      </c>
      <c r="Q79" t="n">
        <v>8</v>
      </c>
      <c r="R79" s="2" t="inlineStr">
        <is>
          <t>Violgubbe
Kalkkärrsgrynsnäcka
Anisspindling
Nästrot
Skinnlav
Skogsknipprot
Svavelriska
Blåsippa</t>
        </is>
      </c>
      <c r="S79">
        <f>HYPERLINK("https://klasma.github.io/Logging_0382/artfynd/A 32680-2019 artfynd.xlsx", "A 32680-2019")</f>
        <v/>
      </c>
      <c r="T79">
        <f>HYPERLINK("https://klasma.github.io/Logging_0382/kartor/A 32680-2019 karta.png", "A 32680-2019")</f>
        <v/>
      </c>
      <c r="V79">
        <f>HYPERLINK("https://klasma.github.io/Logging_0382/klagomål/A 32680-2019 FSC-klagomål.docx", "A 32680-2019")</f>
        <v/>
      </c>
      <c r="W79">
        <f>HYPERLINK("https://klasma.github.io/Logging_0382/klagomålsmail/A 32680-2019 FSC-klagomål mail.docx", "A 32680-2019")</f>
        <v/>
      </c>
      <c r="X79">
        <f>HYPERLINK("https://klasma.github.io/Logging_0382/tillsyn/A 32680-2019 tillsynsbegäran.docx", "A 32680-2019")</f>
        <v/>
      </c>
      <c r="Y79">
        <f>HYPERLINK("https://klasma.github.io/Logging_0382/tillsynsmail/A 32680-2019 tillsynsbegäran mail.docx", "A 32680-2019")</f>
        <v/>
      </c>
    </row>
    <row r="80" ht="15" customHeight="1">
      <c r="A80" t="inlineStr">
        <is>
          <t>A 8678-2020</t>
        </is>
      </c>
      <c r="B80" s="1" t="n">
        <v>43878</v>
      </c>
      <c r="C80" s="1" t="n">
        <v>45846</v>
      </c>
      <c r="D80" t="inlineStr">
        <is>
          <t>UPPSALA LÄN</t>
        </is>
      </c>
      <c r="E80" t="inlineStr">
        <is>
          <t>UPPSALA</t>
        </is>
      </c>
      <c r="G80" t="n">
        <v>1.8</v>
      </c>
      <c r="H80" t="n">
        <v>3</v>
      </c>
      <c r="I80" t="n">
        <v>3</v>
      </c>
      <c r="J80" t="n">
        <v>2</v>
      </c>
      <c r="K80" t="n">
        <v>0</v>
      </c>
      <c r="L80" t="n">
        <v>1</v>
      </c>
      <c r="M80" t="n">
        <v>1</v>
      </c>
      <c r="N80" t="n">
        <v>0</v>
      </c>
      <c r="O80" t="n">
        <v>4</v>
      </c>
      <c r="P80" t="n">
        <v>2</v>
      </c>
      <c r="Q80" t="n">
        <v>8</v>
      </c>
      <c r="R80" s="2" t="inlineStr">
        <is>
          <t>Skogsalm
Ask
Spillkråka
Ullticka
Fällmossa
Nästrot
Svart trolldruva
Blåsippa</t>
        </is>
      </c>
      <c r="S80">
        <f>HYPERLINK("https://klasma.github.io/Logging_0380/artfynd/A 8678-2020 artfynd.xlsx", "A 8678-2020")</f>
        <v/>
      </c>
      <c r="T80">
        <f>HYPERLINK("https://klasma.github.io/Logging_0380/kartor/A 8678-2020 karta.png", "A 8678-2020")</f>
        <v/>
      </c>
      <c r="V80">
        <f>HYPERLINK("https://klasma.github.io/Logging_0380/klagomål/A 8678-2020 FSC-klagomål.docx", "A 8678-2020")</f>
        <v/>
      </c>
      <c r="W80">
        <f>HYPERLINK("https://klasma.github.io/Logging_0380/klagomålsmail/A 8678-2020 FSC-klagomål mail.docx", "A 8678-2020")</f>
        <v/>
      </c>
      <c r="X80">
        <f>HYPERLINK("https://klasma.github.io/Logging_0380/tillsyn/A 8678-2020 tillsynsbegäran.docx", "A 8678-2020")</f>
        <v/>
      </c>
      <c r="Y80">
        <f>HYPERLINK("https://klasma.github.io/Logging_0380/tillsynsmail/A 8678-2020 tillsynsbegäran mail.docx", "A 8678-2020")</f>
        <v/>
      </c>
      <c r="Z80">
        <f>HYPERLINK("https://klasma.github.io/Logging_0380/fåglar/A 8678-2020 prioriterade fågelarter.docx", "A 8678-2020")</f>
        <v/>
      </c>
    </row>
    <row r="81" ht="15" customHeight="1">
      <c r="A81" t="inlineStr">
        <is>
          <t>A 61513-2020</t>
        </is>
      </c>
      <c r="B81" s="1" t="n">
        <v>44158</v>
      </c>
      <c r="C81" s="1" t="n">
        <v>45846</v>
      </c>
      <c r="D81" t="inlineStr">
        <is>
          <t>UPPSALA LÄN</t>
        </is>
      </c>
      <c r="E81" t="inlineStr">
        <is>
          <t>UPPSALA</t>
        </is>
      </c>
      <c r="F81" t="inlineStr">
        <is>
          <t>Övriga statliga verk och myndigheter</t>
        </is>
      </c>
      <c r="G81" t="n">
        <v>17</v>
      </c>
      <c r="H81" t="n">
        <v>1</v>
      </c>
      <c r="I81" t="n">
        <v>6</v>
      </c>
      <c r="J81" t="n">
        <v>1</v>
      </c>
      <c r="K81" t="n">
        <v>0</v>
      </c>
      <c r="L81" t="n">
        <v>0</v>
      </c>
      <c r="M81" t="n">
        <v>0</v>
      </c>
      <c r="N81" t="n">
        <v>0</v>
      </c>
      <c r="O81" t="n">
        <v>1</v>
      </c>
      <c r="P81" t="n">
        <v>0</v>
      </c>
      <c r="Q81" t="n">
        <v>8</v>
      </c>
      <c r="R81" s="2" t="inlineStr">
        <is>
          <t>Vedtrappmossa
Bårdlav
Dvärgtufs
Piskbaronmossa
Platt fjädermossa
Stubbspretmossa
Vedticka
Blåsippa</t>
        </is>
      </c>
      <c r="S81">
        <f>HYPERLINK("https://klasma.github.io/Logging_0380/artfynd/A 61513-2020 artfynd.xlsx", "A 61513-2020")</f>
        <v/>
      </c>
      <c r="T81">
        <f>HYPERLINK("https://klasma.github.io/Logging_0380/kartor/A 61513-2020 karta.png", "A 61513-2020")</f>
        <v/>
      </c>
      <c r="V81">
        <f>HYPERLINK("https://klasma.github.io/Logging_0380/klagomål/A 61513-2020 FSC-klagomål.docx", "A 61513-2020")</f>
        <v/>
      </c>
      <c r="W81">
        <f>HYPERLINK("https://klasma.github.io/Logging_0380/klagomålsmail/A 61513-2020 FSC-klagomål mail.docx", "A 61513-2020")</f>
        <v/>
      </c>
      <c r="X81">
        <f>HYPERLINK("https://klasma.github.io/Logging_0380/tillsyn/A 61513-2020 tillsynsbegäran.docx", "A 61513-2020")</f>
        <v/>
      </c>
      <c r="Y81">
        <f>HYPERLINK("https://klasma.github.io/Logging_0380/tillsynsmail/A 61513-2020 tillsynsbegäran mail.docx", "A 61513-2020")</f>
        <v/>
      </c>
    </row>
    <row r="82" ht="15" customHeight="1">
      <c r="A82" t="inlineStr">
        <is>
          <t>A 66979-2020</t>
        </is>
      </c>
      <c r="B82" s="1" t="n">
        <v>44180</v>
      </c>
      <c r="C82" s="1" t="n">
        <v>45846</v>
      </c>
      <c r="D82" t="inlineStr">
        <is>
          <t>UPPSALA LÄN</t>
        </is>
      </c>
      <c r="E82" t="inlineStr">
        <is>
          <t>UPPSALA</t>
        </is>
      </c>
      <c r="F82" t="inlineStr">
        <is>
          <t>Övriga statliga verk och myndigheter</t>
        </is>
      </c>
      <c r="G82" t="n">
        <v>8.300000000000001</v>
      </c>
      <c r="H82" t="n">
        <v>1</v>
      </c>
      <c r="I82" t="n">
        <v>4</v>
      </c>
      <c r="J82" t="n">
        <v>2</v>
      </c>
      <c r="K82" t="n">
        <v>1</v>
      </c>
      <c r="L82" t="n">
        <v>0</v>
      </c>
      <c r="M82" t="n">
        <v>0</v>
      </c>
      <c r="N82" t="n">
        <v>0</v>
      </c>
      <c r="O82" t="n">
        <v>3</v>
      </c>
      <c r="P82" t="n">
        <v>1</v>
      </c>
      <c r="Q82" t="n">
        <v>8</v>
      </c>
      <c r="R82" s="2" t="inlineStr">
        <is>
          <t>Rynkskinn
Tallticka
Ullticka
Brandticka
Fällmossa
Jättesvampmal
Rävticka
Blåsippa</t>
        </is>
      </c>
      <c r="S82">
        <f>HYPERLINK("https://klasma.github.io/Logging_0380/artfynd/A 66979-2020 artfynd.xlsx", "A 66979-2020")</f>
        <v/>
      </c>
      <c r="T82">
        <f>HYPERLINK("https://klasma.github.io/Logging_0380/kartor/A 66979-2020 karta.png", "A 66979-2020")</f>
        <v/>
      </c>
      <c r="V82">
        <f>HYPERLINK("https://klasma.github.io/Logging_0380/klagomål/A 66979-2020 FSC-klagomål.docx", "A 66979-2020")</f>
        <v/>
      </c>
      <c r="W82">
        <f>HYPERLINK("https://klasma.github.io/Logging_0380/klagomålsmail/A 66979-2020 FSC-klagomål mail.docx", "A 66979-2020")</f>
        <v/>
      </c>
      <c r="X82">
        <f>HYPERLINK("https://klasma.github.io/Logging_0380/tillsyn/A 66979-2020 tillsynsbegäran.docx", "A 66979-2020")</f>
        <v/>
      </c>
      <c r="Y82">
        <f>HYPERLINK("https://klasma.github.io/Logging_0380/tillsynsmail/A 66979-2020 tillsynsbegäran mail.docx", "A 66979-2020")</f>
        <v/>
      </c>
    </row>
    <row r="83" ht="15" customHeight="1">
      <c r="A83" t="inlineStr">
        <is>
          <t>A 61014-2021</t>
        </is>
      </c>
      <c r="B83" s="1" t="n">
        <v>44497</v>
      </c>
      <c r="C83" s="1" t="n">
        <v>45846</v>
      </c>
      <c r="D83" t="inlineStr">
        <is>
          <t>UPPSALA LÄN</t>
        </is>
      </c>
      <c r="E83" t="inlineStr">
        <is>
          <t>UPPSALA</t>
        </is>
      </c>
      <c r="G83" t="n">
        <v>6.6</v>
      </c>
      <c r="H83" t="n">
        <v>2</v>
      </c>
      <c r="I83" t="n">
        <v>2</v>
      </c>
      <c r="J83" t="n">
        <v>3</v>
      </c>
      <c r="K83" t="n">
        <v>3</v>
      </c>
      <c r="L83" t="n">
        <v>0</v>
      </c>
      <c r="M83" t="n">
        <v>0</v>
      </c>
      <c r="N83" t="n">
        <v>0</v>
      </c>
      <c r="O83" t="n">
        <v>6</v>
      </c>
      <c r="P83" t="n">
        <v>3</v>
      </c>
      <c r="Q83" t="n">
        <v>8</v>
      </c>
      <c r="R83" s="2" t="inlineStr">
        <is>
          <t>Knärot
Rynkskinn
Tallbit
Garnlav
Grönhjon
Ullticka
Brandticka
Vedticka</t>
        </is>
      </c>
      <c r="S83">
        <f>HYPERLINK("https://klasma.github.io/Logging_0380/artfynd/A 61014-2021 artfynd.xlsx", "A 61014-2021")</f>
        <v/>
      </c>
      <c r="T83">
        <f>HYPERLINK("https://klasma.github.io/Logging_0380/kartor/A 61014-2021 karta.png", "A 61014-2021")</f>
        <v/>
      </c>
      <c r="U83">
        <f>HYPERLINK("https://klasma.github.io/Logging_0380/knärot/A 61014-2021 karta knärot.png", "A 61014-2021")</f>
        <v/>
      </c>
      <c r="V83">
        <f>HYPERLINK("https://klasma.github.io/Logging_0380/klagomål/A 61014-2021 FSC-klagomål.docx", "A 61014-2021")</f>
        <v/>
      </c>
      <c r="W83">
        <f>HYPERLINK("https://klasma.github.io/Logging_0380/klagomålsmail/A 61014-2021 FSC-klagomål mail.docx", "A 61014-2021")</f>
        <v/>
      </c>
      <c r="X83">
        <f>HYPERLINK("https://klasma.github.io/Logging_0380/tillsyn/A 61014-2021 tillsynsbegäran.docx", "A 61014-2021")</f>
        <v/>
      </c>
      <c r="Y83">
        <f>HYPERLINK("https://klasma.github.io/Logging_0380/tillsynsmail/A 61014-2021 tillsynsbegäran mail.docx", "A 61014-2021")</f>
        <v/>
      </c>
      <c r="Z83">
        <f>HYPERLINK("https://klasma.github.io/Logging_0380/fåglar/A 61014-2021 prioriterade fågelarter.docx", "A 61014-2021")</f>
        <v/>
      </c>
    </row>
    <row r="84" ht="15" customHeight="1">
      <c r="A84" t="inlineStr">
        <is>
          <t>A 33708-2022</t>
        </is>
      </c>
      <c r="B84" s="1" t="n">
        <v>44789</v>
      </c>
      <c r="C84" s="1" t="n">
        <v>45846</v>
      </c>
      <c r="D84" t="inlineStr">
        <is>
          <t>UPPSALA LÄN</t>
        </is>
      </c>
      <c r="E84" t="inlineStr">
        <is>
          <t>ÖSTHAMMAR</t>
        </is>
      </c>
      <c r="G84" t="n">
        <v>6.5</v>
      </c>
      <c r="H84" t="n">
        <v>7</v>
      </c>
      <c r="I84" t="n">
        <v>0</v>
      </c>
      <c r="J84" t="n">
        <v>6</v>
      </c>
      <c r="K84" t="n">
        <v>1</v>
      </c>
      <c r="L84" t="n">
        <v>0</v>
      </c>
      <c r="M84" t="n">
        <v>0</v>
      </c>
      <c r="N84" t="n">
        <v>0</v>
      </c>
      <c r="O84" t="n">
        <v>7</v>
      </c>
      <c r="P84" t="n">
        <v>1</v>
      </c>
      <c r="Q84" t="n">
        <v>8</v>
      </c>
      <c r="R84" s="2" t="inlineStr">
        <is>
          <t>Stare
Grönsångare
Leopardsköldbagge
Nordfladdermus
Rosenfink
Rödvingetrast
Svartvit flugsnappare
Dvärgpipistrell</t>
        </is>
      </c>
      <c r="S84">
        <f>HYPERLINK("https://klasma.github.io/Logging_0382/artfynd/A 33708-2022 artfynd.xlsx", "A 33708-2022")</f>
        <v/>
      </c>
      <c r="T84">
        <f>HYPERLINK("https://klasma.github.io/Logging_0382/kartor/A 33708-2022 karta.png", "A 33708-2022")</f>
        <v/>
      </c>
      <c r="V84">
        <f>HYPERLINK("https://klasma.github.io/Logging_0382/klagomål/A 33708-2022 FSC-klagomål.docx", "A 33708-2022")</f>
        <v/>
      </c>
      <c r="W84">
        <f>HYPERLINK("https://klasma.github.io/Logging_0382/klagomålsmail/A 33708-2022 FSC-klagomål mail.docx", "A 33708-2022")</f>
        <v/>
      </c>
      <c r="X84">
        <f>HYPERLINK("https://klasma.github.io/Logging_0382/tillsyn/A 33708-2022 tillsynsbegäran.docx", "A 33708-2022")</f>
        <v/>
      </c>
      <c r="Y84">
        <f>HYPERLINK("https://klasma.github.io/Logging_0382/tillsynsmail/A 33708-2022 tillsynsbegäran mail.docx", "A 33708-2022")</f>
        <v/>
      </c>
      <c r="Z84">
        <f>HYPERLINK("https://klasma.github.io/Logging_0382/fåglar/A 33708-2022 prioriterade fågelarter.docx", "A 33708-2022")</f>
        <v/>
      </c>
    </row>
    <row r="85" ht="15" customHeight="1">
      <c r="A85" t="inlineStr">
        <is>
          <t>A 58453-2022</t>
        </is>
      </c>
      <c r="B85" s="1" t="n">
        <v>44901</v>
      </c>
      <c r="C85" s="1" t="n">
        <v>45846</v>
      </c>
      <c r="D85" t="inlineStr">
        <is>
          <t>UPPSALA LÄN</t>
        </is>
      </c>
      <c r="E85" t="inlineStr">
        <is>
          <t>UPPSALA</t>
        </is>
      </c>
      <c r="G85" t="n">
        <v>1.5</v>
      </c>
      <c r="H85" t="n">
        <v>1</v>
      </c>
      <c r="I85" t="n">
        <v>4</v>
      </c>
      <c r="J85" t="n">
        <v>3</v>
      </c>
      <c r="K85" t="n">
        <v>0</v>
      </c>
      <c r="L85" t="n">
        <v>0</v>
      </c>
      <c r="M85" t="n">
        <v>0</v>
      </c>
      <c r="N85" t="n">
        <v>0</v>
      </c>
      <c r="O85" t="n">
        <v>3</v>
      </c>
      <c r="P85" t="n">
        <v>0</v>
      </c>
      <c r="Q85" t="n">
        <v>8</v>
      </c>
      <c r="R85" s="2" t="inlineStr">
        <is>
          <t>Lunglav
Rutskinn
Skuggorangelav
Fällmossa
Guldlockmossa
Hasselticka
Svart trolldruva
Blåsippa</t>
        </is>
      </c>
      <c r="S85">
        <f>HYPERLINK("https://klasma.github.io/Logging_0380/artfynd/A 58453-2022 artfynd.xlsx", "A 58453-2022")</f>
        <v/>
      </c>
      <c r="T85">
        <f>HYPERLINK("https://klasma.github.io/Logging_0380/kartor/A 58453-2022 karta.png", "A 58453-2022")</f>
        <v/>
      </c>
      <c r="V85">
        <f>HYPERLINK("https://klasma.github.io/Logging_0380/klagomål/A 58453-2022 FSC-klagomål.docx", "A 58453-2022")</f>
        <v/>
      </c>
      <c r="W85">
        <f>HYPERLINK("https://klasma.github.io/Logging_0380/klagomålsmail/A 58453-2022 FSC-klagomål mail.docx", "A 58453-2022")</f>
        <v/>
      </c>
      <c r="X85">
        <f>HYPERLINK("https://klasma.github.io/Logging_0380/tillsyn/A 58453-2022 tillsynsbegäran.docx", "A 58453-2022")</f>
        <v/>
      </c>
      <c r="Y85">
        <f>HYPERLINK("https://klasma.github.io/Logging_0380/tillsynsmail/A 58453-2022 tillsynsbegäran mail.docx", "A 58453-2022")</f>
        <v/>
      </c>
    </row>
    <row r="86" ht="15" customHeight="1">
      <c r="A86" t="inlineStr">
        <is>
          <t>A 60805-2022</t>
        </is>
      </c>
      <c r="B86" s="1" t="n">
        <v>44914</v>
      </c>
      <c r="C86" s="1" t="n">
        <v>45846</v>
      </c>
      <c r="D86" t="inlineStr">
        <is>
          <t>UPPSALA LÄN</t>
        </is>
      </c>
      <c r="E86" t="inlineStr">
        <is>
          <t>HEBY</t>
        </is>
      </c>
      <c r="G86" t="n">
        <v>6.8</v>
      </c>
      <c r="H86" t="n">
        <v>1</v>
      </c>
      <c r="I86" t="n">
        <v>4</v>
      </c>
      <c r="J86" t="n">
        <v>2</v>
      </c>
      <c r="K86" t="n">
        <v>2</v>
      </c>
      <c r="L86" t="n">
        <v>0</v>
      </c>
      <c r="M86" t="n">
        <v>0</v>
      </c>
      <c r="N86" t="n">
        <v>0</v>
      </c>
      <c r="O86" t="n">
        <v>4</v>
      </c>
      <c r="P86" t="n">
        <v>2</v>
      </c>
      <c r="Q86" t="n">
        <v>8</v>
      </c>
      <c r="R86" s="2" t="inlineStr">
        <is>
          <t>Knärot
Rynkskinn
Kandelabersvamp
Ullticka
Aspvedgnagare
Bronshjon
Thomsons trägnagare
Vedticka</t>
        </is>
      </c>
      <c r="S86">
        <f>HYPERLINK("https://klasma.github.io/Logging_0331/artfynd/A 60805-2022 artfynd.xlsx", "A 60805-2022")</f>
        <v/>
      </c>
      <c r="T86">
        <f>HYPERLINK("https://klasma.github.io/Logging_0331/kartor/A 60805-2022 karta.png", "A 60805-2022")</f>
        <v/>
      </c>
      <c r="U86">
        <f>HYPERLINK("https://klasma.github.io/Logging_0331/knärot/A 60805-2022 karta knärot.png", "A 60805-2022")</f>
        <v/>
      </c>
      <c r="V86">
        <f>HYPERLINK("https://klasma.github.io/Logging_0331/klagomål/A 60805-2022 FSC-klagomål.docx", "A 60805-2022")</f>
        <v/>
      </c>
      <c r="W86">
        <f>HYPERLINK("https://klasma.github.io/Logging_0331/klagomålsmail/A 60805-2022 FSC-klagomål mail.docx", "A 60805-2022")</f>
        <v/>
      </c>
      <c r="X86">
        <f>HYPERLINK("https://klasma.github.io/Logging_0331/tillsyn/A 60805-2022 tillsynsbegäran.docx", "A 60805-2022")</f>
        <v/>
      </c>
      <c r="Y86">
        <f>HYPERLINK("https://klasma.github.io/Logging_0331/tillsynsmail/A 60805-2022 tillsynsbegäran mail.docx", "A 60805-2022")</f>
        <v/>
      </c>
    </row>
    <row r="87" ht="15" customHeight="1">
      <c r="A87" t="inlineStr">
        <is>
          <t>A 1783-2023</t>
        </is>
      </c>
      <c r="B87" s="1" t="n">
        <v>44938</v>
      </c>
      <c r="C87" s="1" t="n">
        <v>45846</v>
      </c>
      <c r="D87" t="inlineStr">
        <is>
          <t>UPPSALA LÄN</t>
        </is>
      </c>
      <c r="E87" t="inlineStr">
        <is>
          <t>ÖSTHAMMAR</t>
        </is>
      </c>
      <c r="G87" t="n">
        <v>4.1</v>
      </c>
      <c r="H87" t="n">
        <v>4</v>
      </c>
      <c r="I87" t="n">
        <v>4</v>
      </c>
      <c r="J87" t="n">
        <v>1</v>
      </c>
      <c r="K87" t="n">
        <v>2</v>
      </c>
      <c r="L87" t="n">
        <v>0</v>
      </c>
      <c r="M87" t="n">
        <v>0</v>
      </c>
      <c r="N87" t="n">
        <v>0</v>
      </c>
      <c r="O87" t="n">
        <v>3</v>
      </c>
      <c r="P87" t="n">
        <v>2</v>
      </c>
      <c r="Q87" t="n">
        <v>8</v>
      </c>
      <c r="R87" s="2" t="inlineStr">
        <is>
          <t>Fjällfotad fingersvamp
Knärot
Svart taggsvamp
Skogsknipprot
Sårläka
Tibast
Tvåblad
Fläcknycklar</t>
        </is>
      </c>
      <c r="S87">
        <f>HYPERLINK("https://klasma.github.io/Logging_0382/artfynd/A 1783-2023 artfynd.xlsx", "A 1783-2023")</f>
        <v/>
      </c>
      <c r="T87">
        <f>HYPERLINK("https://klasma.github.io/Logging_0382/kartor/A 1783-2023 karta.png", "A 1783-2023")</f>
        <v/>
      </c>
      <c r="U87">
        <f>HYPERLINK("https://klasma.github.io/Logging_0382/knärot/A 1783-2023 karta knärot.png", "A 1783-2023")</f>
        <v/>
      </c>
      <c r="V87">
        <f>HYPERLINK("https://klasma.github.io/Logging_0382/klagomål/A 1783-2023 FSC-klagomål.docx", "A 1783-2023")</f>
        <v/>
      </c>
      <c r="W87">
        <f>HYPERLINK("https://klasma.github.io/Logging_0382/klagomålsmail/A 1783-2023 FSC-klagomål mail.docx", "A 1783-2023")</f>
        <v/>
      </c>
      <c r="X87">
        <f>HYPERLINK("https://klasma.github.io/Logging_0382/tillsyn/A 1783-2023 tillsynsbegäran.docx", "A 1783-2023")</f>
        <v/>
      </c>
      <c r="Y87">
        <f>HYPERLINK("https://klasma.github.io/Logging_0382/tillsynsmail/A 1783-2023 tillsynsbegäran mail.docx", "A 1783-2023")</f>
        <v/>
      </c>
    </row>
    <row r="88" ht="15" customHeight="1">
      <c r="A88" t="inlineStr">
        <is>
          <t>A 26460-2023</t>
        </is>
      </c>
      <c r="B88" s="1" t="n">
        <v>45092</v>
      </c>
      <c r="C88" s="1" t="n">
        <v>45846</v>
      </c>
      <c r="D88" t="inlineStr">
        <is>
          <t>UPPSALA LÄN</t>
        </is>
      </c>
      <c r="E88" t="inlineStr">
        <is>
          <t>UPPSALA</t>
        </is>
      </c>
      <c r="G88" t="n">
        <v>6.3</v>
      </c>
      <c r="H88" t="n">
        <v>1</v>
      </c>
      <c r="I88" t="n">
        <v>6</v>
      </c>
      <c r="J88" t="n">
        <v>2</v>
      </c>
      <c r="K88" t="n">
        <v>0</v>
      </c>
      <c r="L88" t="n">
        <v>0</v>
      </c>
      <c r="M88" t="n">
        <v>0</v>
      </c>
      <c r="N88" t="n">
        <v>0</v>
      </c>
      <c r="O88" t="n">
        <v>2</v>
      </c>
      <c r="P88" t="n">
        <v>0</v>
      </c>
      <c r="Q88" t="n">
        <v>8</v>
      </c>
      <c r="R88" s="2" t="inlineStr">
        <is>
          <t>Blek fingersvamp
Grön aspvedbock
Granbarkgnagare
Grön sköldmossa
Jättesvampmal
Korallblylav
Skinnlav
Vedticka</t>
        </is>
      </c>
      <c r="S88">
        <f>HYPERLINK("https://klasma.github.io/Logging_0380/artfynd/A 26460-2023 artfynd.xlsx", "A 26460-2023")</f>
        <v/>
      </c>
      <c r="T88">
        <f>HYPERLINK("https://klasma.github.io/Logging_0380/kartor/A 26460-2023 karta.png", "A 26460-2023")</f>
        <v/>
      </c>
      <c r="U88">
        <f>HYPERLINK("https://klasma.github.io/Logging_0380/knärot/A 26460-2023 karta knärot.png", "A 26460-2023")</f>
        <v/>
      </c>
      <c r="V88">
        <f>HYPERLINK("https://klasma.github.io/Logging_0380/klagomål/A 26460-2023 FSC-klagomål.docx", "A 26460-2023")</f>
        <v/>
      </c>
      <c r="W88">
        <f>HYPERLINK("https://klasma.github.io/Logging_0380/klagomålsmail/A 26460-2023 FSC-klagomål mail.docx", "A 26460-2023")</f>
        <v/>
      </c>
      <c r="X88">
        <f>HYPERLINK("https://klasma.github.io/Logging_0380/tillsyn/A 26460-2023 tillsynsbegäran.docx", "A 26460-2023")</f>
        <v/>
      </c>
      <c r="Y88">
        <f>HYPERLINK("https://klasma.github.io/Logging_0380/tillsynsmail/A 26460-2023 tillsynsbegäran mail.docx", "A 26460-2023")</f>
        <v/>
      </c>
    </row>
    <row r="89" ht="15" customHeight="1">
      <c r="A89" t="inlineStr">
        <is>
          <t>A 44505-2023</t>
        </is>
      </c>
      <c r="B89" s="1" t="n">
        <v>45184</v>
      </c>
      <c r="C89" s="1" t="n">
        <v>45846</v>
      </c>
      <c r="D89" t="inlineStr">
        <is>
          <t>UPPSALA LÄN</t>
        </is>
      </c>
      <c r="E89" t="inlineStr">
        <is>
          <t>TIERP</t>
        </is>
      </c>
      <c r="G89" t="n">
        <v>2.9</v>
      </c>
      <c r="H89" t="n">
        <v>3</v>
      </c>
      <c r="I89" t="n">
        <v>6</v>
      </c>
      <c r="J89" t="n">
        <v>1</v>
      </c>
      <c r="K89" t="n">
        <v>0</v>
      </c>
      <c r="L89" t="n">
        <v>0</v>
      </c>
      <c r="M89" t="n">
        <v>0</v>
      </c>
      <c r="N89" t="n">
        <v>0</v>
      </c>
      <c r="O89" t="n">
        <v>1</v>
      </c>
      <c r="P89" t="n">
        <v>0</v>
      </c>
      <c r="Q89" t="n">
        <v>8</v>
      </c>
      <c r="R89" s="2" t="inlineStr">
        <is>
          <t>Svart taggsvamp
Anisspindling
Dropptaggsvamp
Guckusko
Olivspindling
Skarp dropptaggsvamp
Tvåblad
Nattviol</t>
        </is>
      </c>
      <c r="S89">
        <f>HYPERLINK("https://klasma.github.io/Logging_0360/artfynd/A 44505-2023 artfynd.xlsx", "A 44505-2023")</f>
        <v/>
      </c>
      <c r="T89">
        <f>HYPERLINK("https://klasma.github.io/Logging_0360/kartor/A 44505-2023 karta.png", "A 44505-2023")</f>
        <v/>
      </c>
      <c r="V89">
        <f>HYPERLINK("https://klasma.github.io/Logging_0360/klagomål/A 44505-2023 FSC-klagomål.docx", "A 44505-2023")</f>
        <v/>
      </c>
      <c r="W89">
        <f>HYPERLINK("https://klasma.github.io/Logging_0360/klagomålsmail/A 44505-2023 FSC-klagomål mail.docx", "A 44505-2023")</f>
        <v/>
      </c>
      <c r="X89">
        <f>HYPERLINK("https://klasma.github.io/Logging_0360/tillsyn/A 44505-2023 tillsynsbegäran.docx", "A 44505-2023")</f>
        <v/>
      </c>
      <c r="Y89">
        <f>HYPERLINK("https://klasma.github.io/Logging_0360/tillsynsmail/A 44505-2023 tillsynsbegäran mail.docx", "A 44505-2023")</f>
        <v/>
      </c>
    </row>
    <row r="90" ht="15" customHeight="1">
      <c r="A90" t="inlineStr">
        <is>
          <t>A 43725-2023</t>
        </is>
      </c>
      <c r="B90" s="1" t="n">
        <v>45187</v>
      </c>
      <c r="C90" s="1" t="n">
        <v>45846</v>
      </c>
      <c r="D90" t="inlineStr">
        <is>
          <t>UPPSALA LÄN</t>
        </is>
      </c>
      <c r="E90" t="inlineStr">
        <is>
          <t>HEBY</t>
        </is>
      </c>
      <c r="G90" t="n">
        <v>2.4</v>
      </c>
      <c r="H90" t="n">
        <v>1</v>
      </c>
      <c r="I90" t="n">
        <v>3</v>
      </c>
      <c r="J90" t="n">
        <v>4</v>
      </c>
      <c r="K90" t="n">
        <v>1</v>
      </c>
      <c r="L90" t="n">
        <v>0</v>
      </c>
      <c r="M90" t="n">
        <v>0</v>
      </c>
      <c r="N90" t="n">
        <v>0</v>
      </c>
      <c r="O90" t="n">
        <v>5</v>
      </c>
      <c r="P90" t="n">
        <v>1</v>
      </c>
      <c r="Q90" t="n">
        <v>8</v>
      </c>
      <c r="R90" s="2" t="inlineStr">
        <is>
          <t>Knärot
Dvärgbägarlav
Garnlav
Ullticka
Vedtrappmossa
Bronshjon
Grönpyrola
Vedticka</t>
        </is>
      </c>
      <c r="S90">
        <f>HYPERLINK("https://klasma.github.io/Logging_0331/artfynd/A 43725-2023 artfynd.xlsx", "A 43725-2023")</f>
        <v/>
      </c>
      <c r="T90">
        <f>HYPERLINK("https://klasma.github.io/Logging_0331/kartor/A 43725-2023 karta.png", "A 43725-2023")</f>
        <v/>
      </c>
      <c r="U90">
        <f>HYPERLINK("https://klasma.github.io/Logging_0331/knärot/A 43725-2023 karta knärot.png", "A 43725-2023")</f>
        <v/>
      </c>
      <c r="V90">
        <f>HYPERLINK("https://klasma.github.io/Logging_0331/klagomål/A 43725-2023 FSC-klagomål.docx", "A 43725-2023")</f>
        <v/>
      </c>
      <c r="W90">
        <f>HYPERLINK("https://klasma.github.io/Logging_0331/klagomålsmail/A 43725-2023 FSC-klagomål mail.docx", "A 43725-2023")</f>
        <v/>
      </c>
      <c r="X90">
        <f>HYPERLINK("https://klasma.github.io/Logging_0331/tillsyn/A 43725-2023 tillsynsbegäran.docx", "A 43725-2023")</f>
        <v/>
      </c>
      <c r="Y90">
        <f>HYPERLINK("https://klasma.github.io/Logging_0331/tillsynsmail/A 43725-2023 tillsynsbegäran mail.docx", "A 43725-2023")</f>
        <v/>
      </c>
    </row>
    <row r="91" ht="15" customHeight="1">
      <c r="A91" t="inlineStr">
        <is>
          <t>A 48995-2023</t>
        </is>
      </c>
      <c r="B91" s="1" t="n">
        <v>45209</v>
      </c>
      <c r="C91" s="1" t="n">
        <v>45846</v>
      </c>
      <c r="D91" t="inlineStr">
        <is>
          <t>UPPSALA LÄN</t>
        </is>
      </c>
      <c r="E91" t="inlineStr">
        <is>
          <t>KNIVSTA</t>
        </is>
      </c>
      <c r="G91" t="n">
        <v>13.5</v>
      </c>
      <c r="H91" t="n">
        <v>7</v>
      </c>
      <c r="I91" t="n">
        <v>1</v>
      </c>
      <c r="J91" t="n">
        <v>2</v>
      </c>
      <c r="K91" t="n">
        <v>1</v>
      </c>
      <c r="L91" t="n">
        <v>1</v>
      </c>
      <c r="M91" t="n">
        <v>0</v>
      </c>
      <c r="N91" t="n">
        <v>0</v>
      </c>
      <c r="O91" t="n">
        <v>4</v>
      </c>
      <c r="P91" t="n">
        <v>2</v>
      </c>
      <c r="Q91" t="n">
        <v>8</v>
      </c>
      <c r="R91" s="2" t="inlineStr">
        <is>
          <t>Grönfink
Stare
Gulsparv
Ärtsångare
Tibast
Grönsiska
Järnsparv
Kungsfågel</t>
        </is>
      </c>
      <c r="S91">
        <f>HYPERLINK("https://klasma.github.io/Logging_0330/artfynd/A 48995-2023 artfynd.xlsx", "A 48995-2023")</f>
        <v/>
      </c>
      <c r="T91">
        <f>HYPERLINK("https://klasma.github.io/Logging_0330/kartor/A 48995-2023 karta.png", "A 48995-2023")</f>
        <v/>
      </c>
      <c r="V91">
        <f>HYPERLINK("https://klasma.github.io/Logging_0330/klagomål/A 48995-2023 FSC-klagomål.docx", "A 48995-2023")</f>
        <v/>
      </c>
      <c r="W91">
        <f>HYPERLINK("https://klasma.github.io/Logging_0330/klagomålsmail/A 48995-2023 FSC-klagomål mail.docx", "A 48995-2023")</f>
        <v/>
      </c>
      <c r="X91">
        <f>HYPERLINK("https://klasma.github.io/Logging_0330/tillsyn/A 48995-2023 tillsynsbegäran.docx", "A 48995-2023")</f>
        <v/>
      </c>
      <c r="Y91">
        <f>HYPERLINK("https://klasma.github.io/Logging_0330/tillsynsmail/A 48995-2023 tillsynsbegäran mail.docx", "A 48995-2023")</f>
        <v/>
      </c>
      <c r="Z91">
        <f>HYPERLINK("https://klasma.github.io/Logging_0330/fåglar/A 48995-2023 prioriterade fågelarter.docx", "A 48995-2023")</f>
        <v/>
      </c>
    </row>
    <row r="92" ht="15" customHeight="1">
      <c r="A92" t="inlineStr">
        <is>
          <t>A 55345-2023</t>
        </is>
      </c>
      <c r="B92" s="1" t="n">
        <v>45238</v>
      </c>
      <c r="C92" s="1" t="n">
        <v>45846</v>
      </c>
      <c r="D92" t="inlineStr">
        <is>
          <t>UPPSALA LÄN</t>
        </is>
      </c>
      <c r="E92" t="inlineStr">
        <is>
          <t>ÖSTHAMMAR</t>
        </is>
      </c>
      <c r="F92" t="inlineStr">
        <is>
          <t>Bergvik skog öst AB</t>
        </is>
      </c>
      <c r="G92" t="n">
        <v>10.2</v>
      </c>
      <c r="H92" t="n">
        <v>5</v>
      </c>
      <c r="I92" t="n">
        <v>3</v>
      </c>
      <c r="J92" t="n">
        <v>1</v>
      </c>
      <c r="K92" t="n">
        <v>1</v>
      </c>
      <c r="L92" t="n">
        <v>0</v>
      </c>
      <c r="M92" t="n">
        <v>0</v>
      </c>
      <c r="N92" t="n">
        <v>0</v>
      </c>
      <c r="O92" t="n">
        <v>2</v>
      </c>
      <c r="P92" t="n">
        <v>1</v>
      </c>
      <c r="Q92" t="n">
        <v>8</v>
      </c>
      <c r="R92" s="2" t="inlineStr">
        <is>
          <t>Knärot
Spillkråka
Grönpyrola
Kattfotslav
Vågbandad barkbock
Tjäder
Blåsippa
Revlummer</t>
        </is>
      </c>
      <c r="S92">
        <f>HYPERLINK("https://klasma.github.io/Logging_0382/artfynd/A 55345-2023 artfynd.xlsx", "A 55345-2023")</f>
        <v/>
      </c>
      <c r="T92">
        <f>HYPERLINK("https://klasma.github.io/Logging_0382/kartor/A 55345-2023 karta.png", "A 55345-2023")</f>
        <v/>
      </c>
      <c r="U92">
        <f>HYPERLINK("https://klasma.github.io/Logging_0382/knärot/A 55345-2023 karta knärot.png", "A 55345-2023")</f>
        <v/>
      </c>
      <c r="V92">
        <f>HYPERLINK("https://klasma.github.io/Logging_0382/klagomål/A 55345-2023 FSC-klagomål.docx", "A 55345-2023")</f>
        <v/>
      </c>
      <c r="W92">
        <f>HYPERLINK("https://klasma.github.io/Logging_0382/klagomålsmail/A 55345-2023 FSC-klagomål mail.docx", "A 55345-2023")</f>
        <v/>
      </c>
      <c r="X92">
        <f>HYPERLINK("https://klasma.github.io/Logging_0382/tillsyn/A 55345-2023 tillsynsbegäran.docx", "A 55345-2023")</f>
        <v/>
      </c>
      <c r="Y92">
        <f>HYPERLINK("https://klasma.github.io/Logging_0382/tillsynsmail/A 55345-2023 tillsynsbegäran mail.docx", "A 55345-2023")</f>
        <v/>
      </c>
      <c r="Z92">
        <f>HYPERLINK("https://klasma.github.io/Logging_0382/fåglar/A 55345-2023 prioriterade fågelarter.docx", "A 55345-2023")</f>
        <v/>
      </c>
    </row>
    <row r="93" ht="15" customHeight="1">
      <c r="A93" t="inlineStr">
        <is>
          <t>A 56952-2023</t>
        </is>
      </c>
      <c r="B93" s="1" t="n">
        <v>45244</v>
      </c>
      <c r="C93" s="1" t="n">
        <v>45846</v>
      </c>
      <c r="D93" t="inlineStr">
        <is>
          <t>UPPSALA LÄN</t>
        </is>
      </c>
      <c r="E93" t="inlineStr">
        <is>
          <t>ÖSTHAMMAR</t>
        </is>
      </c>
      <c r="G93" t="n">
        <v>4.2</v>
      </c>
      <c r="H93" t="n">
        <v>4</v>
      </c>
      <c r="I93" t="n">
        <v>1</v>
      </c>
      <c r="J93" t="n">
        <v>5</v>
      </c>
      <c r="K93" t="n">
        <v>1</v>
      </c>
      <c r="L93" t="n">
        <v>0</v>
      </c>
      <c r="M93" t="n">
        <v>0</v>
      </c>
      <c r="N93" t="n">
        <v>0</v>
      </c>
      <c r="O93" t="n">
        <v>6</v>
      </c>
      <c r="P93" t="n">
        <v>1</v>
      </c>
      <c r="Q93" t="n">
        <v>8</v>
      </c>
      <c r="R93" s="2" t="inlineStr">
        <is>
          <t>Knärot
Garnlav
Granticka
Spillkråka
Tallticka
Talltita
Blodticka
Kungsfågel</t>
        </is>
      </c>
      <c r="S93">
        <f>HYPERLINK("https://klasma.github.io/Logging_0382/artfynd/A 56952-2023 artfynd.xlsx", "A 56952-2023")</f>
        <v/>
      </c>
      <c r="T93">
        <f>HYPERLINK("https://klasma.github.io/Logging_0382/kartor/A 56952-2023 karta.png", "A 56952-2023")</f>
        <v/>
      </c>
      <c r="U93">
        <f>HYPERLINK("https://klasma.github.io/Logging_0382/knärot/A 56952-2023 karta knärot.png", "A 56952-2023")</f>
        <v/>
      </c>
      <c r="V93">
        <f>HYPERLINK("https://klasma.github.io/Logging_0382/klagomål/A 56952-2023 FSC-klagomål.docx", "A 56952-2023")</f>
        <v/>
      </c>
      <c r="W93">
        <f>HYPERLINK("https://klasma.github.io/Logging_0382/klagomålsmail/A 56952-2023 FSC-klagomål mail.docx", "A 56952-2023")</f>
        <v/>
      </c>
      <c r="X93">
        <f>HYPERLINK("https://klasma.github.io/Logging_0382/tillsyn/A 56952-2023 tillsynsbegäran.docx", "A 56952-2023")</f>
        <v/>
      </c>
      <c r="Y93">
        <f>HYPERLINK("https://klasma.github.io/Logging_0382/tillsynsmail/A 56952-2023 tillsynsbegäran mail.docx", "A 56952-2023")</f>
        <v/>
      </c>
      <c r="Z93">
        <f>HYPERLINK("https://klasma.github.io/Logging_0382/fåglar/A 56952-2023 prioriterade fågelarter.docx", "A 56952-2023")</f>
        <v/>
      </c>
    </row>
    <row r="94" ht="15" customHeight="1">
      <c r="A94" t="inlineStr">
        <is>
          <t>A 21674-2024</t>
        </is>
      </c>
      <c r="B94" s="1" t="n">
        <v>45442</v>
      </c>
      <c r="C94" s="1" t="n">
        <v>45846</v>
      </c>
      <c r="D94" t="inlineStr">
        <is>
          <t>UPPSALA LÄN</t>
        </is>
      </c>
      <c r="E94" t="inlineStr">
        <is>
          <t>UPPSALA</t>
        </is>
      </c>
      <c r="G94" t="n">
        <v>0.9</v>
      </c>
      <c r="H94" t="n">
        <v>8</v>
      </c>
      <c r="I94" t="n">
        <v>0</v>
      </c>
      <c r="J94" t="n">
        <v>4</v>
      </c>
      <c r="K94" t="n">
        <v>1</v>
      </c>
      <c r="L94" t="n">
        <v>2</v>
      </c>
      <c r="M94" t="n">
        <v>0</v>
      </c>
      <c r="N94" t="n">
        <v>0</v>
      </c>
      <c r="O94" t="n">
        <v>7</v>
      </c>
      <c r="P94" t="n">
        <v>3</v>
      </c>
      <c r="Q94" t="n">
        <v>8</v>
      </c>
      <c r="R94" s="2" t="inlineStr">
        <is>
          <t>Grönfink
Tornseglare
Stare
Entita
Gulsparv
Kråka
Svartvit flugsnappare
Sångsvan</t>
        </is>
      </c>
      <c r="S94">
        <f>HYPERLINK("https://klasma.github.io/Logging_0380/artfynd/A 21674-2024 artfynd.xlsx", "A 21674-2024")</f>
        <v/>
      </c>
      <c r="T94">
        <f>HYPERLINK("https://klasma.github.io/Logging_0380/kartor/A 21674-2024 karta.png", "A 21674-2024")</f>
        <v/>
      </c>
      <c r="V94">
        <f>HYPERLINK("https://klasma.github.io/Logging_0380/klagomål/A 21674-2024 FSC-klagomål.docx", "A 21674-2024")</f>
        <v/>
      </c>
      <c r="W94">
        <f>HYPERLINK("https://klasma.github.io/Logging_0380/klagomålsmail/A 21674-2024 FSC-klagomål mail.docx", "A 21674-2024")</f>
        <v/>
      </c>
      <c r="X94">
        <f>HYPERLINK("https://klasma.github.io/Logging_0380/tillsyn/A 21674-2024 tillsynsbegäran.docx", "A 21674-2024")</f>
        <v/>
      </c>
      <c r="Y94">
        <f>HYPERLINK("https://klasma.github.io/Logging_0380/tillsynsmail/A 21674-2024 tillsynsbegäran mail.docx", "A 21674-2024")</f>
        <v/>
      </c>
      <c r="Z94">
        <f>HYPERLINK("https://klasma.github.io/Logging_0380/fåglar/A 21674-2024 prioriterade fågelarter.docx", "A 21674-2024")</f>
        <v/>
      </c>
    </row>
    <row r="95" ht="15" customHeight="1">
      <c r="A95" t="inlineStr">
        <is>
          <t>A 46275-2024</t>
        </is>
      </c>
      <c r="B95" s="1" t="n">
        <v>45581</v>
      </c>
      <c r="C95" s="1" t="n">
        <v>45846</v>
      </c>
      <c r="D95" t="inlineStr">
        <is>
          <t>UPPSALA LÄN</t>
        </is>
      </c>
      <c r="E95" t="inlineStr">
        <is>
          <t>ÄLVKARLEBY</t>
        </is>
      </c>
      <c r="G95" t="n">
        <v>1.9</v>
      </c>
      <c r="H95" t="n">
        <v>2</v>
      </c>
      <c r="I95" t="n">
        <v>5</v>
      </c>
      <c r="J95" t="n">
        <v>2</v>
      </c>
      <c r="K95" t="n">
        <v>1</v>
      </c>
      <c r="L95" t="n">
        <v>0</v>
      </c>
      <c r="M95" t="n">
        <v>0</v>
      </c>
      <c r="N95" t="n">
        <v>0</v>
      </c>
      <c r="O95" t="n">
        <v>3</v>
      </c>
      <c r="P95" t="n">
        <v>1</v>
      </c>
      <c r="Q95" t="n">
        <v>8</v>
      </c>
      <c r="R95" s="2" t="inlineStr">
        <is>
          <t>Violgubbe
Backklöver
Ullticka
Nästrot
Skogsknipprot
Sårläka
Thomsons trägnagare
Vanlig flatbagge</t>
        </is>
      </c>
      <c r="S95">
        <f>HYPERLINK("https://klasma.github.io/Logging_0319/artfynd/A 46275-2024 artfynd.xlsx", "A 46275-2024")</f>
        <v/>
      </c>
      <c r="T95">
        <f>HYPERLINK("https://klasma.github.io/Logging_0319/kartor/A 46275-2024 karta.png", "A 46275-2024")</f>
        <v/>
      </c>
      <c r="V95">
        <f>HYPERLINK("https://klasma.github.io/Logging_0319/klagomål/A 46275-2024 FSC-klagomål.docx", "A 46275-2024")</f>
        <v/>
      </c>
      <c r="W95">
        <f>HYPERLINK("https://klasma.github.io/Logging_0319/klagomålsmail/A 46275-2024 FSC-klagomål mail.docx", "A 46275-2024")</f>
        <v/>
      </c>
      <c r="X95">
        <f>HYPERLINK("https://klasma.github.io/Logging_0319/tillsyn/A 46275-2024 tillsynsbegäran.docx", "A 46275-2024")</f>
        <v/>
      </c>
      <c r="Y95">
        <f>HYPERLINK("https://klasma.github.io/Logging_0319/tillsynsmail/A 46275-2024 tillsynsbegäran mail.docx", "A 46275-2024")</f>
        <v/>
      </c>
    </row>
    <row r="96" ht="15" customHeight="1">
      <c r="A96" t="inlineStr">
        <is>
          <t>A 46741-2024</t>
        </is>
      </c>
      <c r="B96" s="1" t="n">
        <v>45583</v>
      </c>
      <c r="C96" s="1" t="n">
        <v>45846</v>
      </c>
      <c r="D96" t="inlineStr">
        <is>
          <t>UPPSALA LÄN</t>
        </is>
      </c>
      <c r="E96" t="inlineStr">
        <is>
          <t>UPPSALA</t>
        </is>
      </c>
      <c r="F96" t="inlineStr">
        <is>
          <t>Sveaskog</t>
        </is>
      </c>
      <c r="G96" t="n">
        <v>5.1</v>
      </c>
      <c r="H96" t="n">
        <v>2</v>
      </c>
      <c r="I96" t="n">
        <v>3</v>
      </c>
      <c r="J96" t="n">
        <v>3</v>
      </c>
      <c r="K96" t="n">
        <v>1</v>
      </c>
      <c r="L96" t="n">
        <v>0</v>
      </c>
      <c r="M96" t="n">
        <v>0</v>
      </c>
      <c r="N96" t="n">
        <v>0</v>
      </c>
      <c r="O96" t="n">
        <v>4</v>
      </c>
      <c r="P96" t="n">
        <v>1</v>
      </c>
      <c r="Q96" t="n">
        <v>8</v>
      </c>
      <c r="R96" s="2" t="inlineStr">
        <is>
          <t>Knärot
Granticka
Lunglav
Vedtrappmossa
Barkkornlav
Lönnlav
Vedticka
Vanlig padda</t>
        </is>
      </c>
      <c r="S96">
        <f>HYPERLINK("https://klasma.github.io/Logging_0380/artfynd/A 46741-2024 artfynd.xlsx", "A 46741-2024")</f>
        <v/>
      </c>
      <c r="T96">
        <f>HYPERLINK("https://klasma.github.io/Logging_0380/kartor/A 46741-2024 karta.png", "A 46741-2024")</f>
        <v/>
      </c>
      <c r="U96">
        <f>HYPERLINK("https://klasma.github.io/Logging_0380/knärot/A 46741-2024 karta knärot.png", "A 46741-2024")</f>
        <v/>
      </c>
      <c r="V96">
        <f>HYPERLINK("https://klasma.github.io/Logging_0380/klagomål/A 46741-2024 FSC-klagomål.docx", "A 46741-2024")</f>
        <v/>
      </c>
      <c r="W96">
        <f>HYPERLINK("https://klasma.github.io/Logging_0380/klagomålsmail/A 46741-2024 FSC-klagomål mail.docx", "A 46741-2024")</f>
        <v/>
      </c>
      <c r="X96">
        <f>HYPERLINK("https://klasma.github.io/Logging_0380/tillsyn/A 46741-2024 tillsynsbegäran.docx", "A 46741-2024")</f>
        <v/>
      </c>
      <c r="Y96">
        <f>HYPERLINK("https://klasma.github.io/Logging_0380/tillsynsmail/A 46741-2024 tillsynsbegäran mail.docx", "A 46741-2024")</f>
        <v/>
      </c>
    </row>
    <row r="97" ht="15" customHeight="1">
      <c r="A97" t="inlineStr">
        <is>
          <t>A 55518-2024</t>
        </is>
      </c>
      <c r="B97" s="1" t="n">
        <v>45622</v>
      </c>
      <c r="C97" s="1" t="n">
        <v>45846</v>
      </c>
      <c r="D97" t="inlineStr">
        <is>
          <t>UPPSALA LÄN</t>
        </is>
      </c>
      <c r="E97" t="inlineStr">
        <is>
          <t>ÖSTHAMMAR</t>
        </is>
      </c>
      <c r="F97" t="inlineStr">
        <is>
          <t>Bergvik skog öst AB</t>
        </is>
      </c>
      <c r="G97" t="n">
        <v>9.5</v>
      </c>
      <c r="H97" t="n">
        <v>4</v>
      </c>
      <c r="I97" t="n">
        <v>2</v>
      </c>
      <c r="J97" t="n">
        <v>4</v>
      </c>
      <c r="K97" t="n">
        <v>1</v>
      </c>
      <c r="L97" t="n">
        <v>0</v>
      </c>
      <c r="M97" t="n">
        <v>0</v>
      </c>
      <c r="N97" t="n">
        <v>0</v>
      </c>
      <c r="O97" t="n">
        <v>5</v>
      </c>
      <c r="P97" t="n">
        <v>1</v>
      </c>
      <c r="Q97" t="n">
        <v>8</v>
      </c>
      <c r="R97" s="2" t="inlineStr">
        <is>
          <t>Knärot
Spillkråka
Talltita
Ullticka
Vedtrappmossa
Gullgröppa
Rödgul trumpetsvamp
Blåsippa</t>
        </is>
      </c>
      <c r="S97">
        <f>HYPERLINK("https://klasma.github.io/Logging_0382/artfynd/A 55518-2024 artfynd.xlsx", "A 55518-2024")</f>
        <v/>
      </c>
      <c r="T97">
        <f>HYPERLINK("https://klasma.github.io/Logging_0382/kartor/A 55518-2024 karta.png", "A 55518-2024")</f>
        <v/>
      </c>
      <c r="U97">
        <f>HYPERLINK("https://klasma.github.io/Logging_0382/knärot/A 55518-2024 karta knärot.png", "A 55518-2024")</f>
        <v/>
      </c>
      <c r="V97">
        <f>HYPERLINK("https://klasma.github.io/Logging_0382/klagomål/A 55518-2024 FSC-klagomål.docx", "A 55518-2024")</f>
        <v/>
      </c>
      <c r="W97">
        <f>HYPERLINK("https://klasma.github.io/Logging_0382/klagomålsmail/A 55518-2024 FSC-klagomål mail.docx", "A 55518-2024")</f>
        <v/>
      </c>
      <c r="X97">
        <f>HYPERLINK("https://klasma.github.io/Logging_0382/tillsyn/A 55518-2024 tillsynsbegäran.docx", "A 55518-2024")</f>
        <v/>
      </c>
      <c r="Y97">
        <f>HYPERLINK("https://klasma.github.io/Logging_0382/tillsynsmail/A 55518-2024 tillsynsbegäran mail.docx", "A 55518-2024")</f>
        <v/>
      </c>
      <c r="Z97">
        <f>HYPERLINK("https://klasma.github.io/Logging_0382/fåglar/A 55518-2024 prioriterade fågelarter.docx", "A 55518-2024")</f>
        <v/>
      </c>
    </row>
    <row r="98" ht="15" customHeight="1">
      <c r="A98" t="inlineStr">
        <is>
          <t>A 9406-2025</t>
        </is>
      </c>
      <c r="B98" s="1" t="n">
        <v>45715</v>
      </c>
      <c r="C98" s="1" t="n">
        <v>45846</v>
      </c>
      <c r="D98" t="inlineStr">
        <is>
          <t>UPPSALA LÄN</t>
        </is>
      </c>
      <c r="E98" t="inlineStr">
        <is>
          <t>UPPSALA</t>
        </is>
      </c>
      <c r="G98" t="n">
        <v>1.5</v>
      </c>
      <c r="H98" t="n">
        <v>5</v>
      </c>
      <c r="I98" t="n">
        <v>2</v>
      </c>
      <c r="J98" t="n">
        <v>4</v>
      </c>
      <c r="K98" t="n">
        <v>0</v>
      </c>
      <c r="L98" t="n">
        <v>0</v>
      </c>
      <c r="M98" t="n">
        <v>0</v>
      </c>
      <c r="N98" t="n">
        <v>0</v>
      </c>
      <c r="O98" t="n">
        <v>4</v>
      </c>
      <c r="P98" t="n">
        <v>0</v>
      </c>
      <c r="Q98" t="n">
        <v>8</v>
      </c>
      <c r="R98" s="2" t="inlineStr">
        <is>
          <t>Fyrflikig jordstjärna
Skrattmås
Svartvit flugsnappare
Sävsparv
Papegojvaxskivling/rödgrön vaxskivling
Trådticka
Vanlig snok
Blåsippa</t>
        </is>
      </c>
      <c r="S98">
        <f>HYPERLINK("https://klasma.github.io/Logging_030380/artfynd/A 9406-2025 artfynd.xlsx", "A 9406-2025")</f>
        <v/>
      </c>
      <c r="T98">
        <f>HYPERLINK("https://klasma.github.io/Logging_030380/kartor/A 9406-2025 karta.png", "A 9406-2025")</f>
        <v/>
      </c>
      <c r="V98">
        <f>HYPERLINK("https://klasma.github.io/Logging_030380/klagomål/A 9406-2025 FSC-klagomål.docx", "A 9406-2025")</f>
        <v/>
      </c>
      <c r="W98">
        <f>HYPERLINK("https://klasma.github.io/Logging_030380/klagomålsmail/A 9406-2025 FSC-klagomål mail.docx", "A 9406-2025")</f>
        <v/>
      </c>
      <c r="X98">
        <f>HYPERLINK("https://klasma.github.io/Logging_030380/tillsyn/A 9406-2025 tillsynsbegäran.docx", "A 9406-2025")</f>
        <v/>
      </c>
      <c r="Y98">
        <f>HYPERLINK("https://klasma.github.io/Logging_030380/tillsynsmail/A 9406-2025 tillsynsbegäran mail.docx", "A 9406-2025")</f>
        <v/>
      </c>
      <c r="Z98">
        <f>HYPERLINK("https://klasma.github.io/Logging_030380/fåglar/A 9406-2025 prioriterade fågelarter.docx", "A 9406-2025")</f>
        <v/>
      </c>
    </row>
    <row r="99" ht="15" customHeight="1">
      <c r="A99" t="inlineStr">
        <is>
          <t>A 33313-2019</t>
        </is>
      </c>
      <c r="B99" s="1" t="n">
        <v>43650</v>
      </c>
      <c r="C99" s="1" t="n">
        <v>45846</v>
      </c>
      <c r="D99" t="inlineStr">
        <is>
          <t>UPPSALA LÄN</t>
        </is>
      </c>
      <c r="E99" t="inlineStr">
        <is>
          <t>ENKÖPING</t>
        </is>
      </c>
      <c r="G99" t="n">
        <v>2.1</v>
      </c>
      <c r="H99" t="n">
        <v>0</v>
      </c>
      <c r="I99" t="n">
        <v>6</v>
      </c>
      <c r="J99" t="n">
        <v>1</v>
      </c>
      <c r="K99" t="n">
        <v>0</v>
      </c>
      <c r="L99" t="n">
        <v>0</v>
      </c>
      <c r="M99" t="n">
        <v>0</v>
      </c>
      <c r="N99" t="n">
        <v>0</v>
      </c>
      <c r="O99" t="n">
        <v>1</v>
      </c>
      <c r="P99" t="n">
        <v>0</v>
      </c>
      <c r="Q99" t="n">
        <v>7</v>
      </c>
      <c r="R99" s="2" t="inlineStr">
        <is>
          <t>Grynig filtlav
Barkticka
Hasselticka
Platt fjädermossa
Rävticka
Stor aspticka
Trubbfjädermossa</t>
        </is>
      </c>
      <c r="S99">
        <f>HYPERLINK("https://klasma.github.io/Logging_0381/artfynd/A 33313-2019 artfynd.xlsx", "A 33313-2019")</f>
        <v/>
      </c>
      <c r="T99">
        <f>HYPERLINK("https://klasma.github.io/Logging_0381/kartor/A 33313-2019 karta.png", "A 33313-2019")</f>
        <v/>
      </c>
      <c r="V99">
        <f>HYPERLINK("https://klasma.github.io/Logging_0381/klagomål/A 33313-2019 FSC-klagomål.docx", "A 33313-2019")</f>
        <v/>
      </c>
      <c r="W99">
        <f>HYPERLINK("https://klasma.github.io/Logging_0381/klagomålsmail/A 33313-2019 FSC-klagomål mail.docx", "A 33313-2019")</f>
        <v/>
      </c>
      <c r="X99">
        <f>HYPERLINK("https://klasma.github.io/Logging_0381/tillsyn/A 33313-2019 tillsynsbegäran.docx", "A 33313-2019")</f>
        <v/>
      </c>
      <c r="Y99">
        <f>HYPERLINK("https://klasma.github.io/Logging_0381/tillsynsmail/A 33313-2019 tillsynsbegäran mail.docx", "A 33313-2019")</f>
        <v/>
      </c>
    </row>
    <row r="100" ht="15" customHeight="1">
      <c r="A100" t="inlineStr">
        <is>
          <t>A 65970-2019</t>
        </is>
      </c>
      <c r="B100" s="1" t="n">
        <v>43805</v>
      </c>
      <c r="C100" s="1" t="n">
        <v>45846</v>
      </c>
      <c r="D100" t="inlineStr">
        <is>
          <t>UPPSALA LÄN</t>
        </is>
      </c>
      <c r="E100" t="inlineStr">
        <is>
          <t>HEBY</t>
        </is>
      </c>
      <c r="G100" t="n">
        <v>12.7</v>
      </c>
      <c r="H100" t="n">
        <v>2</v>
      </c>
      <c r="I100" t="n">
        <v>3</v>
      </c>
      <c r="J100" t="n">
        <v>1</v>
      </c>
      <c r="K100" t="n">
        <v>3</v>
      </c>
      <c r="L100" t="n">
        <v>0</v>
      </c>
      <c r="M100" t="n">
        <v>0</v>
      </c>
      <c r="N100" t="n">
        <v>0</v>
      </c>
      <c r="O100" t="n">
        <v>4</v>
      </c>
      <c r="P100" t="n">
        <v>3</v>
      </c>
      <c r="Q100" t="n">
        <v>7</v>
      </c>
      <c r="R100" s="2" t="inlineStr">
        <is>
          <t>Bombmurkla
Knärot
Rynkskinn
Ullticka
Bronshjon
Thomsons trägnagare
Vågbandad barkbock</t>
        </is>
      </c>
      <c r="S100">
        <f>HYPERLINK("https://klasma.github.io/Logging_0331/artfynd/A 65970-2019 artfynd.xlsx", "A 65970-2019")</f>
        <v/>
      </c>
      <c r="T100">
        <f>HYPERLINK("https://klasma.github.io/Logging_0331/kartor/A 65970-2019 karta.png", "A 65970-2019")</f>
        <v/>
      </c>
      <c r="U100">
        <f>HYPERLINK("https://klasma.github.io/Logging_0331/knärot/A 65970-2019 karta knärot.png", "A 65970-2019")</f>
        <v/>
      </c>
      <c r="V100">
        <f>HYPERLINK("https://klasma.github.io/Logging_0331/klagomål/A 65970-2019 FSC-klagomål.docx", "A 65970-2019")</f>
        <v/>
      </c>
      <c r="W100">
        <f>HYPERLINK("https://klasma.github.io/Logging_0331/klagomålsmail/A 65970-2019 FSC-klagomål mail.docx", "A 65970-2019")</f>
        <v/>
      </c>
      <c r="X100">
        <f>HYPERLINK("https://klasma.github.io/Logging_0331/tillsyn/A 65970-2019 tillsynsbegäran.docx", "A 65970-2019")</f>
        <v/>
      </c>
      <c r="Y100">
        <f>HYPERLINK("https://klasma.github.io/Logging_0331/tillsynsmail/A 65970-2019 tillsynsbegäran mail.docx", "A 65970-2019")</f>
        <v/>
      </c>
    </row>
    <row r="101" ht="15" customHeight="1">
      <c r="A101" t="inlineStr">
        <is>
          <t>A 1030-2021</t>
        </is>
      </c>
      <c r="B101" s="1" t="n">
        <v>44206</v>
      </c>
      <c r="C101" s="1" t="n">
        <v>45846</v>
      </c>
      <c r="D101" t="inlineStr">
        <is>
          <t>UPPSALA LÄN</t>
        </is>
      </c>
      <c r="E101" t="inlineStr">
        <is>
          <t>KNIVSTA</t>
        </is>
      </c>
      <c r="G101" t="n">
        <v>4.4</v>
      </c>
      <c r="H101" t="n">
        <v>2</v>
      </c>
      <c r="I101" t="n">
        <v>0</v>
      </c>
      <c r="J101" t="n">
        <v>5</v>
      </c>
      <c r="K101" t="n">
        <v>0</v>
      </c>
      <c r="L101" t="n">
        <v>0</v>
      </c>
      <c r="M101" t="n">
        <v>1</v>
      </c>
      <c r="N101" t="n">
        <v>0</v>
      </c>
      <c r="O101" t="n">
        <v>6</v>
      </c>
      <c r="P101" t="n">
        <v>1</v>
      </c>
      <c r="Q101" t="n">
        <v>7</v>
      </c>
      <c r="R101" s="2" t="inlineStr">
        <is>
          <t>Skogsalm
Backklöver
Duvhök
Sexfläckig bastardsvärmare
Solvända
Svartpälsbi
Blåsippa</t>
        </is>
      </c>
      <c r="S101">
        <f>HYPERLINK("https://klasma.github.io/Logging_0330/artfynd/A 1030-2021 artfynd.xlsx", "A 1030-2021")</f>
        <v/>
      </c>
      <c r="T101">
        <f>HYPERLINK("https://klasma.github.io/Logging_0330/kartor/A 1030-2021 karta.png", "A 1030-2021")</f>
        <v/>
      </c>
      <c r="V101">
        <f>HYPERLINK("https://klasma.github.io/Logging_0330/klagomål/A 1030-2021 FSC-klagomål.docx", "A 1030-2021")</f>
        <v/>
      </c>
      <c r="W101">
        <f>HYPERLINK("https://klasma.github.io/Logging_0330/klagomålsmail/A 1030-2021 FSC-klagomål mail.docx", "A 1030-2021")</f>
        <v/>
      </c>
      <c r="X101">
        <f>HYPERLINK("https://klasma.github.io/Logging_0330/tillsyn/A 1030-2021 tillsynsbegäran.docx", "A 1030-2021")</f>
        <v/>
      </c>
      <c r="Y101">
        <f>HYPERLINK("https://klasma.github.io/Logging_0330/tillsynsmail/A 1030-2021 tillsynsbegäran mail.docx", "A 1030-2021")</f>
        <v/>
      </c>
      <c r="Z101">
        <f>HYPERLINK("https://klasma.github.io/Logging_0330/fåglar/A 1030-2021 prioriterade fågelarter.docx", "A 1030-2021")</f>
        <v/>
      </c>
    </row>
    <row r="102" ht="15" customHeight="1">
      <c r="A102" t="inlineStr">
        <is>
          <t>A 19544-2021</t>
        </is>
      </c>
      <c r="B102" s="1" t="n">
        <v>44312</v>
      </c>
      <c r="C102" s="1" t="n">
        <v>45846</v>
      </c>
      <c r="D102" t="inlineStr">
        <is>
          <t>UPPSALA LÄN</t>
        </is>
      </c>
      <c r="E102" t="inlineStr">
        <is>
          <t>ÖSTHAMMAR</t>
        </is>
      </c>
      <c r="G102" t="n">
        <v>11.1</v>
      </c>
      <c r="H102" t="n">
        <v>0</v>
      </c>
      <c r="I102" t="n">
        <v>5</v>
      </c>
      <c r="J102" t="n">
        <v>0</v>
      </c>
      <c r="K102" t="n">
        <v>2</v>
      </c>
      <c r="L102" t="n">
        <v>0</v>
      </c>
      <c r="M102" t="n">
        <v>0</v>
      </c>
      <c r="N102" t="n">
        <v>0</v>
      </c>
      <c r="O102" t="n">
        <v>2</v>
      </c>
      <c r="P102" t="n">
        <v>2</v>
      </c>
      <c r="Q102" t="n">
        <v>7</v>
      </c>
      <c r="R102" s="2" t="inlineStr">
        <is>
          <t>Bullspindling
Gul lammticka
Anisspindling
Olivspindling
Rödgul trumpetsvamp
Strimspindling
Svavelriska</t>
        </is>
      </c>
      <c r="S102">
        <f>HYPERLINK("https://klasma.github.io/Logging_0382/artfynd/A 19544-2021 artfynd.xlsx", "A 19544-2021")</f>
        <v/>
      </c>
      <c r="T102">
        <f>HYPERLINK("https://klasma.github.io/Logging_0382/kartor/A 19544-2021 karta.png", "A 19544-2021")</f>
        <v/>
      </c>
      <c r="V102">
        <f>HYPERLINK("https://klasma.github.io/Logging_0382/klagomål/A 19544-2021 FSC-klagomål.docx", "A 19544-2021")</f>
        <v/>
      </c>
      <c r="W102">
        <f>HYPERLINK("https://klasma.github.io/Logging_0382/klagomålsmail/A 19544-2021 FSC-klagomål mail.docx", "A 19544-2021")</f>
        <v/>
      </c>
      <c r="X102">
        <f>HYPERLINK("https://klasma.github.io/Logging_0382/tillsyn/A 19544-2021 tillsynsbegäran.docx", "A 19544-2021")</f>
        <v/>
      </c>
      <c r="Y102">
        <f>HYPERLINK("https://klasma.github.io/Logging_0382/tillsynsmail/A 19544-2021 tillsynsbegäran mail.docx", "A 19544-2021")</f>
        <v/>
      </c>
    </row>
    <row r="103" ht="15" customHeight="1">
      <c r="A103" t="inlineStr">
        <is>
          <t>A 23874-2021</t>
        </is>
      </c>
      <c r="B103" s="1" t="n">
        <v>44335</v>
      </c>
      <c r="C103" s="1" t="n">
        <v>45846</v>
      </c>
      <c r="D103" t="inlineStr">
        <is>
          <t>UPPSALA LÄN</t>
        </is>
      </c>
      <c r="E103" t="inlineStr">
        <is>
          <t>ÖSTHAMMAR</t>
        </is>
      </c>
      <c r="G103" t="n">
        <v>6</v>
      </c>
      <c r="H103" t="n">
        <v>2</v>
      </c>
      <c r="I103" t="n">
        <v>4</v>
      </c>
      <c r="J103" t="n">
        <v>1</v>
      </c>
      <c r="K103" t="n">
        <v>1</v>
      </c>
      <c r="L103" t="n">
        <v>0</v>
      </c>
      <c r="M103" t="n">
        <v>0</v>
      </c>
      <c r="N103" t="n">
        <v>0</v>
      </c>
      <c r="O103" t="n">
        <v>2</v>
      </c>
      <c r="P103" t="n">
        <v>1</v>
      </c>
      <c r="Q103" t="n">
        <v>7</v>
      </c>
      <c r="R103" s="2" t="inlineStr">
        <is>
          <t>Aspgelélav
Havsörn
Granbarkgnagare
Kattfotslav
Skinnlav
Tibast
Blåsippa</t>
        </is>
      </c>
      <c r="S103">
        <f>HYPERLINK("https://klasma.github.io/Logging_0382/artfynd/A 23874-2021 artfynd.xlsx", "A 23874-2021")</f>
        <v/>
      </c>
      <c r="T103">
        <f>HYPERLINK("https://klasma.github.io/Logging_0382/kartor/A 23874-2021 karta.png", "A 23874-2021")</f>
        <v/>
      </c>
      <c r="V103">
        <f>HYPERLINK("https://klasma.github.io/Logging_0382/klagomål/A 23874-2021 FSC-klagomål.docx", "A 23874-2021")</f>
        <v/>
      </c>
      <c r="W103">
        <f>HYPERLINK("https://klasma.github.io/Logging_0382/klagomålsmail/A 23874-2021 FSC-klagomål mail.docx", "A 23874-2021")</f>
        <v/>
      </c>
      <c r="X103">
        <f>HYPERLINK("https://klasma.github.io/Logging_0382/tillsyn/A 23874-2021 tillsynsbegäran.docx", "A 23874-2021")</f>
        <v/>
      </c>
      <c r="Y103">
        <f>HYPERLINK("https://klasma.github.io/Logging_0382/tillsynsmail/A 23874-2021 tillsynsbegäran mail.docx", "A 23874-2021")</f>
        <v/>
      </c>
      <c r="Z103">
        <f>HYPERLINK("https://klasma.github.io/Logging_0382/fåglar/A 23874-2021 prioriterade fågelarter.docx", "A 23874-2021")</f>
        <v/>
      </c>
    </row>
    <row r="104" ht="15" customHeight="1">
      <c r="A104" t="inlineStr">
        <is>
          <t>A 33012-2021</t>
        </is>
      </c>
      <c r="B104" s="1" t="n">
        <v>44376</v>
      </c>
      <c r="C104" s="1" t="n">
        <v>45846</v>
      </c>
      <c r="D104" t="inlineStr">
        <is>
          <t>UPPSALA LÄN</t>
        </is>
      </c>
      <c r="E104" t="inlineStr">
        <is>
          <t>UPPSALA</t>
        </is>
      </c>
      <c r="F104" t="inlineStr">
        <is>
          <t>Holmen skog AB</t>
        </is>
      </c>
      <c r="G104" t="n">
        <v>10.9</v>
      </c>
      <c r="H104" t="n">
        <v>4</v>
      </c>
      <c r="I104" t="n">
        <v>4</v>
      </c>
      <c r="J104" t="n">
        <v>0</v>
      </c>
      <c r="K104" t="n">
        <v>1</v>
      </c>
      <c r="L104" t="n">
        <v>0</v>
      </c>
      <c r="M104" t="n">
        <v>0</v>
      </c>
      <c r="N104" t="n">
        <v>0</v>
      </c>
      <c r="O104" t="n">
        <v>1</v>
      </c>
      <c r="P104" t="n">
        <v>1</v>
      </c>
      <c r="Q104" t="n">
        <v>7</v>
      </c>
      <c r="R104" s="2" t="inlineStr">
        <is>
          <t>Knärot
Grön sköldmossa
Grönpyrola
Källpraktmossa
Skogshakmossa
Blåsippa
Revlummer</t>
        </is>
      </c>
      <c r="S104">
        <f>HYPERLINK("https://klasma.github.io/Logging_0380/artfynd/A 33012-2021 artfynd.xlsx", "A 33012-2021")</f>
        <v/>
      </c>
      <c r="T104">
        <f>HYPERLINK("https://klasma.github.io/Logging_0380/kartor/A 33012-2021 karta.png", "A 33012-2021")</f>
        <v/>
      </c>
      <c r="U104">
        <f>HYPERLINK("https://klasma.github.io/Logging_0380/knärot/A 33012-2021 karta knärot.png", "A 33012-2021")</f>
        <v/>
      </c>
      <c r="V104">
        <f>HYPERLINK("https://klasma.github.io/Logging_0380/klagomål/A 33012-2021 FSC-klagomål.docx", "A 33012-2021")</f>
        <v/>
      </c>
      <c r="W104">
        <f>HYPERLINK("https://klasma.github.io/Logging_0380/klagomålsmail/A 33012-2021 FSC-klagomål mail.docx", "A 33012-2021")</f>
        <v/>
      </c>
      <c r="X104">
        <f>HYPERLINK("https://klasma.github.io/Logging_0380/tillsyn/A 33012-2021 tillsynsbegäran.docx", "A 33012-2021")</f>
        <v/>
      </c>
      <c r="Y104">
        <f>HYPERLINK("https://klasma.github.io/Logging_0380/tillsynsmail/A 33012-2021 tillsynsbegäran mail.docx", "A 33012-2021")</f>
        <v/>
      </c>
    </row>
    <row r="105" ht="15" customHeight="1">
      <c r="A105" t="inlineStr">
        <is>
          <t>A 1760-2023</t>
        </is>
      </c>
      <c r="B105" s="1" t="n">
        <v>44938</v>
      </c>
      <c r="C105" s="1" t="n">
        <v>45846</v>
      </c>
      <c r="D105" t="inlineStr">
        <is>
          <t>UPPSALA LÄN</t>
        </is>
      </c>
      <c r="E105" t="inlineStr">
        <is>
          <t>UPPSALA</t>
        </is>
      </c>
      <c r="F105" t="inlineStr">
        <is>
          <t>Holmen skog AB</t>
        </is>
      </c>
      <c r="G105" t="n">
        <v>2.1</v>
      </c>
      <c r="H105" t="n">
        <v>2</v>
      </c>
      <c r="I105" t="n">
        <v>2</v>
      </c>
      <c r="J105" t="n">
        <v>3</v>
      </c>
      <c r="K105" t="n">
        <v>0</v>
      </c>
      <c r="L105" t="n">
        <v>0</v>
      </c>
      <c r="M105" t="n">
        <v>0</v>
      </c>
      <c r="N105" t="n">
        <v>0</v>
      </c>
      <c r="O105" t="n">
        <v>3</v>
      </c>
      <c r="P105" t="n">
        <v>0</v>
      </c>
      <c r="Q105" t="n">
        <v>7</v>
      </c>
      <c r="R105" s="2" t="inlineStr">
        <is>
          <t>Lunglav
Ullticka
Vippärt
Svart trolldruva
Vårärt
Skogsödla
Gullviva</t>
        </is>
      </c>
      <c r="S105">
        <f>HYPERLINK("https://klasma.github.io/Logging_0380/artfynd/A 1760-2023 artfynd.xlsx", "A 1760-2023")</f>
        <v/>
      </c>
      <c r="T105">
        <f>HYPERLINK("https://klasma.github.io/Logging_0380/kartor/A 1760-2023 karta.png", "A 1760-2023")</f>
        <v/>
      </c>
      <c r="V105">
        <f>HYPERLINK("https://klasma.github.io/Logging_0380/klagomål/A 1760-2023 FSC-klagomål.docx", "A 1760-2023")</f>
        <v/>
      </c>
      <c r="W105">
        <f>HYPERLINK("https://klasma.github.io/Logging_0380/klagomålsmail/A 1760-2023 FSC-klagomål mail.docx", "A 1760-2023")</f>
        <v/>
      </c>
      <c r="X105">
        <f>HYPERLINK("https://klasma.github.io/Logging_0380/tillsyn/A 1760-2023 tillsynsbegäran.docx", "A 1760-2023")</f>
        <v/>
      </c>
      <c r="Y105">
        <f>HYPERLINK("https://klasma.github.io/Logging_0380/tillsynsmail/A 1760-2023 tillsynsbegäran mail.docx", "A 1760-2023")</f>
        <v/>
      </c>
    </row>
    <row r="106" ht="15" customHeight="1">
      <c r="A106" t="inlineStr">
        <is>
          <t>A 14836-2023</t>
        </is>
      </c>
      <c r="B106" s="1" t="n">
        <v>45013</v>
      </c>
      <c r="C106" s="1" t="n">
        <v>45846</v>
      </c>
      <c r="D106" t="inlineStr">
        <is>
          <t>UPPSALA LÄN</t>
        </is>
      </c>
      <c r="E106" t="inlineStr">
        <is>
          <t>UPPSALA</t>
        </is>
      </c>
      <c r="G106" t="n">
        <v>8.199999999999999</v>
      </c>
      <c r="H106" t="n">
        <v>5</v>
      </c>
      <c r="I106" t="n">
        <v>2</v>
      </c>
      <c r="J106" t="n">
        <v>3</v>
      </c>
      <c r="K106" t="n">
        <v>1</v>
      </c>
      <c r="L106" t="n">
        <v>0</v>
      </c>
      <c r="M106" t="n">
        <v>0</v>
      </c>
      <c r="N106" t="n">
        <v>0</v>
      </c>
      <c r="O106" t="n">
        <v>4</v>
      </c>
      <c r="P106" t="n">
        <v>1</v>
      </c>
      <c r="Q106" t="n">
        <v>7</v>
      </c>
      <c r="R106" s="2" t="inlineStr">
        <is>
          <t>Kricka
Entita
Gulsparv
Rödvingetrast
Björksplintborre
Jättesvampmal
Nötkråka</t>
        </is>
      </c>
      <c r="S106">
        <f>HYPERLINK("https://klasma.github.io/Logging_0380/artfynd/A 14836-2023 artfynd.xlsx", "A 14836-2023")</f>
        <v/>
      </c>
      <c r="T106">
        <f>HYPERLINK("https://klasma.github.io/Logging_0380/kartor/A 14836-2023 karta.png", "A 14836-2023")</f>
        <v/>
      </c>
      <c r="V106">
        <f>HYPERLINK("https://klasma.github.io/Logging_0380/klagomål/A 14836-2023 FSC-klagomål.docx", "A 14836-2023")</f>
        <v/>
      </c>
      <c r="W106">
        <f>HYPERLINK("https://klasma.github.io/Logging_0380/klagomålsmail/A 14836-2023 FSC-klagomål mail.docx", "A 14836-2023")</f>
        <v/>
      </c>
      <c r="X106">
        <f>HYPERLINK("https://klasma.github.io/Logging_0380/tillsyn/A 14836-2023 tillsynsbegäran.docx", "A 14836-2023")</f>
        <v/>
      </c>
      <c r="Y106">
        <f>HYPERLINK("https://klasma.github.io/Logging_0380/tillsynsmail/A 14836-2023 tillsynsbegäran mail.docx", "A 14836-2023")</f>
        <v/>
      </c>
      <c r="Z106">
        <f>HYPERLINK("https://klasma.github.io/Logging_0380/fåglar/A 14836-2023 prioriterade fågelarter.docx", "A 14836-2023")</f>
        <v/>
      </c>
    </row>
    <row r="107" ht="15" customHeight="1">
      <c r="A107" t="inlineStr">
        <is>
          <t>A 21038-2023</t>
        </is>
      </c>
      <c r="B107" s="1" t="n">
        <v>45061</v>
      </c>
      <c r="C107" s="1" t="n">
        <v>45846</v>
      </c>
      <c r="D107" t="inlineStr">
        <is>
          <t>UPPSALA LÄN</t>
        </is>
      </c>
      <c r="E107" t="inlineStr">
        <is>
          <t>TIERP</t>
        </is>
      </c>
      <c r="F107" t="inlineStr">
        <is>
          <t>Bergvik skog öst AB</t>
        </is>
      </c>
      <c r="G107" t="n">
        <v>7.8</v>
      </c>
      <c r="H107" t="n">
        <v>0</v>
      </c>
      <c r="I107" t="n">
        <v>5</v>
      </c>
      <c r="J107" t="n">
        <v>2</v>
      </c>
      <c r="K107" t="n">
        <v>0</v>
      </c>
      <c r="L107" t="n">
        <v>0</v>
      </c>
      <c r="M107" t="n">
        <v>0</v>
      </c>
      <c r="N107" t="n">
        <v>0</v>
      </c>
      <c r="O107" t="n">
        <v>2</v>
      </c>
      <c r="P107" t="n">
        <v>0</v>
      </c>
      <c r="Q107" t="n">
        <v>7</v>
      </c>
      <c r="R107" s="2" t="inlineStr">
        <is>
          <t>Orange taggsvamp
Ullticka
Fjällig taggsvamp s.str.
Grönpyrola
Rödgul trumpetsvamp
Skarp dropptaggsvamp
Skogshakmossa</t>
        </is>
      </c>
      <c r="S107">
        <f>HYPERLINK("https://klasma.github.io/Logging_0360/artfynd/A 21038-2023 artfynd.xlsx", "A 21038-2023")</f>
        <v/>
      </c>
      <c r="T107">
        <f>HYPERLINK("https://klasma.github.io/Logging_0360/kartor/A 21038-2023 karta.png", "A 21038-2023")</f>
        <v/>
      </c>
      <c r="U107">
        <f>HYPERLINK("https://klasma.github.io/Logging_0360/knärot/A 21038-2023 karta knärot.png", "A 21038-2023")</f>
        <v/>
      </c>
      <c r="V107">
        <f>HYPERLINK("https://klasma.github.io/Logging_0360/klagomål/A 21038-2023 FSC-klagomål.docx", "A 21038-2023")</f>
        <v/>
      </c>
      <c r="W107">
        <f>HYPERLINK("https://klasma.github.io/Logging_0360/klagomålsmail/A 21038-2023 FSC-klagomål mail.docx", "A 21038-2023")</f>
        <v/>
      </c>
      <c r="X107">
        <f>HYPERLINK("https://klasma.github.io/Logging_0360/tillsyn/A 21038-2023 tillsynsbegäran.docx", "A 21038-2023")</f>
        <v/>
      </c>
      <c r="Y107">
        <f>HYPERLINK("https://klasma.github.io/Logging_0360/tillsynsmail/A 21038-2023 tillsynsbegäran mail.docx", "A 21038-2023")</f>
        <v/>
      </c>
    </row>
    <row r="108" ht="15" customHeight="1">
      <c r="A108" t="inlineStr">
        <is>
          <t>A 31018-2023</t>
        </is>
      </c>
      <c r="B108" s="1" t="n">
        <v>45113</v>
      </c>
      <c r="C108" s="1" t="n">
        <v>45846</v>
      </c>
      <c r="D108" t="inlineStr">
        <is>
          <t>UPPSALA LÄN</t>
        </is>
      </c>
      <c r="E108" t="inlineStr">
        <is>
          <t>HEBY</t>
        </is>
      </c>
      <c r="G108" t="n">
        <v>11</v>
      </c>
      <c r="H108" t="n">
        <v>5</v>
      </c>
      <c r="I108" t="n">
        <v>2</v>
      </c>
      <c r="J108" t="n">
        <v>1</v>
      </c>
      <c r="K108" t="n">
        <v>1</v>
      </c>
      <c r="L108" t="n">
        <v>0</v>
      </c>
      <c r="M108" t="n">
        <v>0</v>
      </c>
      <c r="N108" t="n">
        <v>0</v>
      </c>
      <c r="O108" t="n">
        <v>2</v>
      </c>
      <c r="P108" t="n">
        <v>1</v>
      </c>
      <c r="Q108" t="n">
        <v>7</v>
      </c>
      <c r="R108" s="2" t="inlineStr">
        <is>
          <t>Knärot
Talltita
Grönpyrola
Rödgul trumpetsvamp
Fläcknycklar
Mattlummer
Revlummer</t>
        </is>
      </c>
      <c r="S108">
        <f>HYPERLINK("https://klasma.github.io/Logging_0331/artfynd/A 31018-2023 artfynd.xlsx", "A 31018-2023")</f>
        <v/>
      </c>
      <c r="T108">
        <f>HYPERLINK("https://klasma.github.io/Logging_0331/kartor/A 31018-2023 karta.png", "A 31018-2023")</f>
        <v/>
      </c>
      <c r="U108">
        <f>HYPERLINK("https://klasma.github.io/Logging_0331/knärot/A 31018-2023 karta knärot.png", "A 31018-2023")</f>
        <v/>
      </c>
      <c r="V108">
        <f>HYPERLINK("https://klasma.github.io/Logging_0331/klagomål/A 31018-2023 FSC-klagomål.docx", "A 31018-2023")</f>
        <v/>
      </c>
      <c r="W108">
        <f>HYPERLINK("https://klasma.github.io/Logging_0331/klagomålsmail/A 31018-2023 FSC-klagomål mail.docx", "A 31018-2023")</f>
        <v/>
      </c>
      <c r="X108">
        <f>HYPERLINK("https://klasma.github.io/Logging_0331/tillsyn/A 31018-2023 tillsynsbegäran.docx", "A 31018-2023")</f>
        <v/>
      </c>
      <c r="Y108">
        <f>HYPERLINK("https://klasma.github.io/Logging_0331/tillsynsmail/A 31018-2023 tillsynsbegäran mail.docx", "A 31018-2023")</f>
        <v/>
      </c>
      <c r="Z108">
        <f>HYPERLINK("https://klasma.github.io/Logging_0331/fåglar/A 31018-2023 prioriterade fågelarter.docx", "A 31018-2023")</f>
        <v/>
      </c>
    </row>
    <row r="109" ht="15" customHeight="1">
      <c r="A109" t="inlineStr">
        <is>
          <t>A 31628-2023</t>
        </is>
      </c>
      <c r="B109" s="1" t="n">
        <v>45117</v>
      </c>
      <c r="C109" s="1" t="n">
        <v>45846</v>
      </c>
      <c r="D109" t="inlineStr">
        <is>
          <t>UPPSALA LÄN</t>
        </is>
      </c>
      <c r="E109" t="inlineStr">
        <is>
          <t>UPPSALA</t>
        </is>
      </c>
      <c r="G109" t="n">
        <v>15</v>
      </c>
      <c r="H109" t="n">
        <v>2</v>
      </c>
      <c r="I109" t="n">
        <v>2</v>
      </c>
      <c r="J109" t="n">
        <v>4</v>
      </c>
      <c r="K109" t="n">
        <v>1</v>
      </c>
      <c r="L109" t="n">
        <v>0</v>
      </c>
      <c r="M109" t="n">
        <v>0</v>
      </c>
      <c r="N109" t="n">
        <v>0</v>
      </c>
      <c r="O109" t="n">
        <v>5</v>
      </c>
      <c r="P109" t="n">
        <v>1</v>
      </c>
      <c r="Q109" t="n">
        <v>7</v>
      </c>
      <c r="R109" s="2" t="inlineStr">
        <is>
          <t>Knärot
Skogsklocka
Spillkråka
Tallticka
Vedtrappmossa
Grönpyrola
Stubbspretmossa</t>
        </is>
      </c>
      <c r="S109">
        <f>HYPERLINK("https://klasma.github.io/Logging_0380/artfynd/A 31628-2023 artfynd.xlsx", "A 31628-2023")</f>
        <v/>
      </c>
      <c r="T109">
        <f>HYPERLINK("https://klasma.github.io/Logging_0380/kartor/A 31628-2023 karta.png", "A 31628-2023")</f>
        <v/>
      </c>
      <c r="U109">
        <f>HYPERLINK("https://klasma.github.io/Logging_0380/knärot/A 31628-2023 karta knärot.png", "A 31628-2023")</f>
        <v/>
      </c>
      <c r="V109">
        <f>HYPERLINK("https://klasma.github.io/Logging_0380/klagomål/A 31628-2023 FSC-klagomål.docx", "A 31628-2023")</f>
        <v/>
      </c>
      <c r="W109">
        <f>HYPERLINK("https://klasma.github.io/Logging_0380/klagomålsmail/A 31628-2023 FSC-klagomål mail.docx", "A 31628-2023")</f>
        <v/>
      </c>
      <c r="X109">
        <f>HYPERLINK("https://klasma.github.io/Logging_0380/tillsyn/A 31628-2023 tillsynsbegäran.docx", "A 31628-2023")</f>
        <v/>
      </c>
      <c r="Y109">
        <f>HYPERLINK("https://klasma.github.io/Logging_0380/tillsynsmail/A 31628-2023 tillsynsbegäran mail.docx", "A 31628-2023")</f>
        <v/>
      </c>
      <c r="Z109">
        <f>HYPERLINK("https://klasma.github.io/Logging_0380/fåglar/A 31628-2023 prioriterade fågelarter.docx", "A 31628-2023")</f>
        <v/>
      </c>
    </row>
    <row r="110" ht="15" customHeight="1">
      <c r="A110" t="inlineStr">
        <is>
          <t>A 46533-2023</t>
        </is>
      </c>
      <c r="B110" s="1" t="n">
        <v>45197</v>
      </c>
      <c r="C110" s="1" t="n">
        <v>45846</v>
      </c>
      <c r="D110" t="inlineStr">
        <is>
          <t>UPPSALA LÄN</t>
        </is>
      </c>
      <c r="E110" t="inlineStr">
        <is>
          <t>UPPSALA</t>
        </is>
      </c>
      <c r="F110" t="inlineStr">
        <is>
          <t>Allmännings- och besparingsskogar</t>
        </is>
      </c>
      <c r="G110" t="n">
        <v>11.5</v>
      </c>
      <c r="H110" t="n">
        <v>3</v>
      </c>
      <c r="I110" t="n">
        <v>1</v>
      </c>
      <c r="J110" t="n">
        <v>4</v>
      </c>
      <c r="K110" t="n">
        <v>1</v>
      </c>
      <c r="L110" t="n">
        <v>0</v>
      </c>
      <c r="M110" t="n">
        <v>0</v>
      </c>
      <c r="N110" t="n">
        <v>0</v>
      </c>
      <c r="O110" t="n">
        <v>5</v>
      </c>
      <c r="P110" t="n">
        <v>1</v>
      </c>
      <c r="Q110" t="n">
        <v>7</v>
      </c>
      <c r="R110" s="2" t="inlineStr">
        <is>
          <t>Knärot
Lunglav
Tallticka
Talltita
Vedskivlav
Korallblylav
Tjäder</t>
        </is>
      </c>
      <c r="S110">
        <f>HYPERLINK("https://klasma.github.io/Logging_0380/artfynd/A 46533-2023 artfynd.xlsx", "A 46533-2023")</f>
        <v/>
      </c>
      <c r="T110">
        <f>HYPERLINK("https://klasma.github.io/Logging_0380/kartor/A 46533-2023 karta.png", "A 46533-2023")</f>
        <v/>
      </c>
      <c r="U110">
        <f>HYPERLINK("https://klasma.github.io/Logging_0380/knärot/A 46533-2023 karta knärot.png", "A 46533-2023")</f>
        <v/>
      </c>
      <c r="V110">
        <f>HYPERLINK("https://klasma.github.io/Logging_0380/klagomål/A 46533-2023 FSC-klagomål.docx", "A 46533-2023")</f>
        <v/>
      </c>
      <c r="W110">
        <f>HYPERLINK("https://klasma.github.io/Logging_0380/klagomålsmail/A 46533-2023 FSC-klagomål mail.docx", "A 46533-2023")</f>
        <v/>
      </c>
      <c r="X110">
        <f>HYPERLINK("https://klasma.github.io/Logging_0380/tillsyn/A 46533-2023 tillsynsbegäran.docx", "A 46533-2023")</f>
        <v/>
      </c>
      <c r="Y110">
        <f>HYPERLINK("https://klasma.github.io/Logging_0380/tillsynsmail/A 46533-2023 tillsynsbegäran mail.docx", "A 46533-2023")</f>
        <v/>
      </c>
      <c r="Z110">
        <f>HYPERLINK("https://klasma.github.io/Logging_0380/fåglar/A 46533-2023 prioriterade fågelarter.docx", "A 46533-2023")</f>
        <v/>
      </c>
    </row>
    <row r="111" ht="15" customHeight="1">
      <c r="A111" t="inlineStr">
        <is>
          <t>A 57663-2023</t>
        </is>
      </c>
      <c r="B111" s="1" t="n">
        <v>45246</v>
      </c>
      <c r="C111" s="1" t="n">
        <v>45846</v>
      </c>
      <c r="D111" t="inlineStr">
        <is>
          <t>UPPSALA LÄN</t>
        </is>
      </c>
      <c r="E111" t="inlineStr">
        <is>
          <t>ÖSTHAMMAR</t>
        </is>
      </c>
      <c r="F111" t="inlineStr">
        <is>
          <t>Bergvik skog öst AB</t>
        </is>
      </c>
      <c r="G111" t="n">
        <v>17.4</v>
      </c>
      <c r="H111" t="n">
        <v>2</v>
      </c>
      <c r="I111" t="n">
        <v>6</v>
      </c>
      <c r="J111" t="n">
        <v>1</v>
      </c>
      <c r="K111" t="n">
        <v>0</v>
      </c>
      <c r="L111" t="n">
        <v>0</v>
      </c>
      <c r="M111" t="n">
        <v>0</v>
      </c>
      <c r="N111" t="n">
        <v>0</v>
      </c>
      <c r="O111" t="n">
        <v>1</v>
      </c>
      <c r="P111" t="n">
        <v>0</v>
      </c>
      <c r="Q111" t="n">
        <v>7</v>
      </c>
      <c r="R111" s="2" t="inlineStr">
        <is>
          <t>Slåtterfibbla
Fjällig taggsvamp s.str.
Nästrot
Skogsknipprot
Strimspindling
Svavelriska
Tibast</t>
        </is>
      </c>
      <c r="S111">
        <f>HYPERLINK("https://klasma.github.io/Logging_0382/artfynd/A 57663-2023 artfynd.xlsx", "A 57663-2023")</f>
        <v/>
      </c>
      <c r="T111">
        <f>HYPERLINK("https://klasma.github.io/Logging_0382/kartor/A 57663-2023 karta.png", "A 57663-2023")</f>
        <v/>
      </c>
      <c r="V111">
        <f>HYPERLINK("https://klasma.github.io/Logging_0382/klagomål/A 57663-2023 FSC-klagomål.docx", "A 57663-2023")</f>
        <v/>
      </c>
      <c r="W111">
        <f>HYPERLINK("https://klasma.github.io/Logging_0382/klagomålsmail/A 57663-2023 FSC-klagomål mail.docx", "A 57663-2023")</f>
        <v/>
      </c>
      <c r="X111">
        <f>HYPERLINK("https://klasma.github.io/Logging_0382/tillsyn/A 57663-2023 tillsynsbegäran.docx", "A 57663-2023")</f>
        <v/>
      </c>
      <c r="Y111">
        <f>HYPERLINK("https://klasma.github.io/Logging_0382/tillsynsmail/A 57663-2023 tillsynsbegäran mail.docx", "A 57663-2023")</f>
        <v/>
      </c>
    </row>
    <row r="112" ht="15" customHeight="1">
      <c r="A112" t="inlineStr">
        <is>
          <t>A 31073-2024</t>
        </is>
      </c>
      <c r="B112" s="1" t="n">
        <v>45502</v>
      </c>
      <c r="C112" s="1" t="n">
        <v>45846</v>
      </c>
      <c r="D112" t="inlineStr">
        <is>
          <t>UPPSALA LÄN</t>
        </is>
      </c>
      <c r="E112" t="inlineStr">
        <is>
          <t>UPPSALA</t>
        </is>
      </c>
      <c r="G112" t="n">
        <v>12.9</v>
      </c>
      <c r="H112" t="n">
        <v>1</v>
      </c>
      <c r="I112" t="n">
        <v>4</v>
      </c>
      <c r="J112" t="n">
        <v>2</v>
      </c>
      <c r="K112" t="n">
        <v>1</v>
      </c>
      <c r="L112" t="n">
        <v>0</v>
      </c>
      <c r="M112" t="n">
        <v>0</v>
      </c>
      <c r="N112" t="n">
        <v>0</v>
      </c>
      <c r="O112" t="n">
        <v>3</v>
      </c>
      <c r="P112" t="n">
        <v>1</v>
      </c>
      <c r="Q112" t="n">
        <v>7</v>
      </c>
      <c r="R112" s="2" t="inlineStr">
        <is>
          <t>Knärot
Gul taggsvamp
Orange taggsvamp
Brandticka
Mandelriska
Rödgul trumpetsvamp
Rökmusseron</t>
        </is>
      </c>
      <c r="S112">
        <f>HYPERLINK("https://klasma.github.io/Logging_0380/artfynd/A 31073-2024 artfynd.xlsx", "A 31073-2024")</f>
        <v/>
      </c>
      <c r="T112">
        <f>HYPERLINK("https://klasma.github.io/Logging_0380/kartor/A 31073-2024 karta.png", "A 31073-2024")</f>
        <v/>
      </c>
      <c r="U112">
        <f>HYPERLINK("https://klasma.github.io/Logging_0380/knärot/A 31073-2024 karta knärot.png", "A 31073-2024")</f>
        <v/>
      </c>
      <c r="V112">
        <f>HYPERLINK("https://klasma.github.io/Logging_0380/klagomål/A 31073-2024 FSC-klagomål.docx", "A 31073-2024")</f>
        <v/>
      </c>
      <c r="W112">
        <f>HYPERLINK("https://klasma.github.io/Logging_0380/klagomålsmail/A 31073-2024 FSC-klagomål mail.docx", "A 31073-2024")</f>
        <v/>
      </c>
      <c r="X112">
        <f>HYPERLINK("https://klasma.github.io/Logging_0380/tillsyn/A 31073-2024 tillsynsbegäran.docx", "A 31073-2024")</f>
        <v/>
      </c>
      <c r="Y112">
        <f>HYPERLINK("https://klasma.github.io/Logging_0380/tillsynsmail/A 31073-2024 tillsynsbegäran mail.docx", "A 31073-2024")</f>
        <v/>
      </c>
    </row>
    <row r="113" ht="15" customHeight="1">
      <c r="A113" t="inlineStr">
        <is>
          <t>A 42231-2024</t>
        </is>
      </c>
      <c r="B113" s="1" t="n">
        <v>45562</v>
      </c>
      <c r="C113" s="1" t="n">
        <v>45846</v>
      </c>
      <c r="D113" t="inlineStr">
        <is>
          <t>UPPSALA LÄN</t>
        </is>
      </c>
      <c r="E113" t="inlineStr">
        <is>
          <t>TIERP</t>
        </is>
      </c>
      <c r="F113" t="inlineStr">
        <is>
          <t>Bergvik skog öst AB</t>
        </is>
      </c>
      <c r="G113" t="n">
        <v>17.1</v>
      </c>
      <c r="H113" t="n">
        <v>4</v>
      </c>
      <c r="I113" t="n">
        <v>4</v>
      </c>
      <c r="J113" t="n">
        <v>1</v>
      </c>
      <c r="K113" t="n">
        <v>1</v>
      </c>
      <c r="L113" t="n">
        <v>0</v>
      </c>
      <c r="M113" t="n">
        <v>0</v>
      </c>
      <c r="N113" t="n">
        <v>0</v>
      </c>
      <c r="O113" t="n">
        <v>2</v>
      </c>
      <c r="P113" t="n">
        <v>1</v>
      </c>
      <c r="Q113" t="n">
        <v>7</v>
      </c>
      <c r="R113" s="2" t="inlineStr">
        <is>
          <t>Väddnätfjäril
Slåtterfibbla
Guckusko
Nästrot
Tibast
Underviol
Revlummer</t>
        </is>
      </c>
      <c r="S113">
        <f>HYPERLINK("https://klasma.github.io/Logging_0360/artfynd/A 42231-2024 artfynd.xlsx", "A 42231-2024")</f>
        <v/>
      </c>
      <c r="T113">
        <f>HYPERLINK("https://klasma.github.io/Logging_0360/kartor/A 42231-2024 karta.png", "A 42231-2024")</f>
        <v/>
      </c>
      <c r="V113">
        <f>HYPERLINK("https://klasma.github.io/Logging_0360/klagomål/A 42231-2024 FSC-klagomål.docx", "A 42231-2024")</f>
        <v/>
      </c>
      <c r="W113">
        <f>HYPERLINK("https://klasma.github.io/Logging_0360/klagomålsmail/A 42231-2024 FSC-klagomål mail.docx", "A 42231-2024")</f>
        <v/>
      </c>
      <c r="X113">
        <f>HYPERLINK("https://klasma.github.io/Logging_0360/tillsyn/A 42231-2024 tillsynsbegäran.docx", "A 42231-2024")</f>
        <v/>
      </c>
      <c r="Y113">
        <f>HYPERLINK("https://klasma.github.io/Logging_0360/tillsynsmail/A 42231-2024 tillsynsbegäran mail.docx", "A 42231-2024")</f>
        <v/>
      </c>
    </row>
    <row r="114" ht="15" customHeight="1">
      <c r="A114" t="inlineStr">
        <is>
          <t>A 55561-2024</t>
        </is>
      </c>
      <c r="B114" s="1" t="n">
        <v>45622</v>
      </c>
      <c r="C114" s="1" t="n">
        <v>45846</v>
      </c>
      <c r="D114" t="inlineStr">
        <is>
          <t>UPPSALA LÄN</t>
        </is>
      </c>
      <c r="E114" t="inlineStr">
        <is>
          <t>ÄLVKARLEBY</t>
        </is>
      </c>
      <c r="F114" t="inlineStr">
        <is>
          <t>Bergvik skog väst AB</t>
        </is>
      </c>
      <c r="G114" t="n">
        <v>2.5</v>
      </c>
      <c r="H114" t="n">
        <v>3</v>
      </c>
      <c r="I114" t="n">
        <v>2</v>
      </c>
      <c r="J114" t="n">
        <v>3</v>
      </c>
      <c r="K114" t="n">
        <v>1</v>
      </c>
      <c r="L114" t="n">
        <v>0</v>
      </c>
      <c r="M114" t="n">
        <v>0</v>
      </c>
      <c r="N114" t="n">
        <v>0</v>
      </c>
      <c r="O114" t="n">
        <v>4</v>
      </c>
      <c r="P114" t="n">
        <v>1</v>
      </c>
      <c r="Q114" t="n">
        <v>7</v>
      </c>
      <c r="R114" s="2" t="inlineStr">
        <is>
          <t>Knärot
Brunpudrad nållav
Gränsticka
Vedtrappmossa
Grön sköldmossa
Grönpyrola
Sparvuggla</t>
        </is>
      </c>
      <c r="S114">
        <f>HYPERLINK("https://klasma.github.io/Logging_0319/artfynd/A 55561-2024 artfynd.xlsx", "A 55561-2024")</f>
        <v/>
      </c>
      <c r="T114">
        <f>HYPERLINK("https://klasma.github.io/Logging_0319/kartor/A 55561-2024 karta.png", "A 55561-2024")</f>
        <v/>
      </c>
      <c r="U114">
        <f>HYPERLINK("https://klasma.github.io/Logging_0319/knärot/A 55561-2024 karta knärot.png", "A 55561-2024")</f>
        <v/>
      </c>
      <c r="V114">
        <f>HYPERLINK("https://klasma.github.io/Logging_0319/klagomål/A 55561-2024 FSC-klagomål.docx", "A 55561-2024")</f>
        <v/>
      </c>
      <c r="W114">
        <f>HYPERLINK("https://klasma.github.io/Logging_0319/klagomålsmail/A 55561-2024 FSC-klagomål mail.docx", "A 55561-2024")</f>
        <v/>
      </c>
      <c r="X114">
        <f>HYPERLINK("https://klasma.github.io/Logging_0319/tillsyn/A 55561-2024 tillsynsbegäran.docx", "A 55561-2024")</f>
        <v/>
      </c>
      <c r="Y114">
        <f>HYPERLINK("https://klasma.github.io/Logging_0319/tillsynsmail/A 55561-2024 tillsynsbegäran mail.docx", "A 55561-2024")</f>
        <v/>
      </c>
      <c r="Z114">
        <f>HYPERLINK("https://klasma.github.io/Logging_0319/fåglar/A 55561-2024 prioriterade fågelarter.docx", "A 55561-2024")</f>
        <v/>
      </c>
    </row>
    <row r="115" ht="15" customHeight="1">
      <c r="A115" t="inlineStr">
        <is>
          <t>A 58432-2024</t>
        </is>
      </c>
      <c r="B115" s="1" t="n">
        <v>45634</v>
      </c>
      <c r="C115" s="1" t="n">
        <v>45846</v>
      </c>
      <c r="D115" t="inlineStr">
        <is>
          <t>UPPSALA LÄN</t>
        </is>
      </c>
      <c r="E115" t="inlineStr">
        <is>
          <t>ÖSTHAMMAR</t>
        </is>
      </c>
      <c r="G115" t="n">
        <v>8.4</v>
      </c>
      <c r="H115" t="n">
        <v>7</v>
      </c>
      <c r="I115" t="n">
        <v>0</v>
      </c>
      <c r="J115" t="n">
        <v>6</v>
      </c>
      <c r="K115" t="n">
        <v>1</v>
      </c>
      <c r="L115" t="n">
        <v>0</v>
      </c>
      <c r="M115" t="n">
        <v>0</v>
      </c>
      <c r="N115" t="n">
        <v>0</v>
      </c>
      <c r="O115" t="n">
        <v>7</v>
      </c>
      <c r="P115" t="n">
        <v>1</v>
      </c>
      <c r="Q115" t="n">
        <v>7</v>
      </c>
      <c r="R115" s="2" t="inlineStr">
        <is>
          <t>Stare
Buskskvätta
Rosenfink
Rödvingetrast
Spillkråka
Svartvit flugsnappare
Ärtsångare</t>
        </is>
      </c>
      <c r="S115">
        <f>HYPERLINK("https://klasma.github.io/Logging_0382/artfynd/A 58432-2024 artfynd.xlsx", "A 58432-2024")</f>
        <v/>
      </c>
      <c r="T115">
        <f>HYPERLINK("https://klasma.github.io/Logging_0382/kartor/A 58432-2024 karta.png", "A 58432-2024")</f>
        <v/>
      </c>
      <c r="V115">
        <f>HYPERLINK("https://klasma.github.io/Logging_0382/klagomål/A 58432-2024 FSC-klagomål.docx", "A 58432-2024")</f>
        <v/>
      </c>
      <c r="W115">
        <f>HYPERLINK("https://klasma.github.io/Logging_0382/klagomålsmail/A 58432-2024 FSC-klagomål mail.docx", "A 58432-2024")</f>
        <v/>
      </c>
      <c r="X115">
        <f>HYPERLINK("https://klasma.github.io/Logging_0382/tillsyn/A 58432-2024 tillsynsbegäran.docx", "A 58432-2024")</f>
        <v/>
      </c>
      <c r="Y115">
        <f>HYPERLINK("https://klasma.github.io/Logging_0382/tillsynsmail/A 58432-2024 tillsynsbegäran mail.docx", "A 58432-2024")</f>
        <v/>
      </c>
      <c r="Z115">
        <f>HYPERLINK("https://klasma.github.io/Logging_0382/fåglar/A 58432-2024 prioriterade fågelarter.docx", "A 58432-2024")</f>
        <v/>
      </c>
    </row>
    <row r="116" ht="15" customHeight="1">
      <c r="A116" t="inlineStr">
        <is>
          <t>A 3954-2025</t>
        </is>
      </c>
      <c r="B116" s="1" t="n">
        <v>45684</v>
      </c>
      <c r="C116" s="1" t="n">
        <v>45846</v>
      </c>
      <c r="D116" t="inlineStr">
        <is>
          <t>UPPSALA LÄN</t>
        </is>
      </c>
      <c r="E116" t="inlineStr">
        <is>
          <t>ÄLVKARLEBY</t>
        </is>
      </c>
      <c r="G116" t="n">
        <v>5.5</v>
      </c>
      <c r="H116" t="n">
        <v>1</v>
      </c>
      <c r="I116" t="n">
        <v>1</v>
      </c>
      <c r="J116" t="n">
        <v>5</v>
      </c>
      <c r="K116" t="n">
        <v>0</v>
      </c>
      <c r="L116" t="n">
        <v>0</v>
      </c>
      <c r="M116" t="n">
        <v>0</v>
      </c>
      <c r="N116" t="n">
        <v>0</v>
      </c>
      <c r="O116" t="n">
        <v>5</v>
      </c>
      <c r="P116" t="n">
        <v>0</v>
      </c>
      <c r="Q116" t="n">
        <v>7</v>
      </c>
      <c r="R116" s="2" t="inlineStr">
        <is>
          <t>Backklöver
Flentimotej
Sandviol
Slåtterfibbla
Vanlig sandviol
Igelkottsröksvamp
Revlummer</t>
        </is>
      </c>
      <c r="S116">
        <f>HYPERLINK("https://klasma.github.io/Logging_0319/artfynd/A 3954-2025 artfynd.xlsx", "A 3954-2025")</f>
        <v/>
      </c>
      <c r="T116">
        <f>HYPERLINK("https://klasma.github.io/Logging_0319/kartor/A 3954-2025 karta.png", "A 3954-2025")</f>
        <v/>
      </c>
      <c r="V116">
        <f>HYPERLINK("https://klasma.github.io/Logging_0319/klagomål/A 3954-2025 FSC-klagomål.docx", "A 3954-2025")</f>
        <v/>
      </c>
      <c r="W116">
        <f>HYPERLINK("https://klasma.github.io/Logging_0319/klagomålsmail/A 3954-2025 FSC-klagomål mail.docx", "A 3954-2025")</f>
        <v/>
      </c>
      <c r="X116">
        <f>HYPERLINK("https://klasma.github.io/Logging_0319/tillsyn/A 3954-2025 tillsynsbegäran.docx", "A 3954-2025")</f>
        <v/>
      </c>
      <c r="Y116">
        <f>HYPERLINK("https://klasma.github.io/Logging_0319/tillsynsmail/A 3954-2025 tillsynsbegäran mail.docx", "A 3954-2025")</f>
        <v/>
      </c>
    </row>
    <row r="117" ht="15" customHeight="1">
      <c r="A117" t="inlineStr">
        <is>
          <t>A 16242-2025</t>
        </is>
      </c>
      <c r="B117" s="1" t="n">
        <v>45746</v>
      </c>
      <c r="C117" s="1" t="n">
        <v>45846</v>
      </c>
      <c r="D117" t="inlineStr">
        <is>
          <t>UPPSALA LÄN</t>
        </is>
      </c>
      <c r="E117" t="inlineStr">
        <is>
          <t>ÖSTHAMMAR</t>
        </is>
      </c>
      <c r="G117" t="n">
        <v>28</v>
      </c>
      <c r="H117" t="n">
        <v>3</v>
      </c>
      <c r="I117" t="n">
        <v>3</v>
      </c>
      <c r="J117" t="n">
        <v>3</v>
      </c>
      <c r="K117" t="n">
        <v>0</v>
      </c>
      <c r="L117" t="n">
        <v>0</v>
      </c>
      <c r="M117" t="n">
        <v>0</v>
      </c>
      <c r="N117" t="n">
        <v>0</v>
      </c>
      <c r="O117" t="n">
        <v>3</v>
      </c>
      <c r="P117" t="n">
        <v>0</v>
      </c>
      <c r="Q117" t="n">
        <v>7</v>
      </c>
      <c r="R117" s="2" t="inlineStr">
        <is>
          <t>Spillkråka
Ullticka
Vedtrappmossa
Grön sköldmossa
Jättesvampmal
Vågbandad barkbock
Blåsippa</t>
        </is>
      </c>
      <c r="S117">
        <f>HYPERLINK("https://klasma.github.io/Logging_030382/artfynd/A 16242-2025 artfynd.xlsx", "A 16242-2025")</f>
        <v/>
      </c>
      <c r="T117">
        <f>HYPERLINK("https://klasma.github.io/Logging_030382/kartor/A 16242-2025 karta.png", "A 16242-2025")</f>
        <v/>
      </c>
      <c r="V117">
        <f>HYPERLINK("https://klasma.github.io/Logging_030382/klagomål/A 16242-2025 FSC-klagomål.docx", "A 16242-2025")</f>
        <v/>
      </c>
      <c r="W117">
        <f>HYPERLINK("https://klasma.github.io/Logging_030382/klagomålsmail/A 16242-2025 FSC-klagomål mail.docx", "A 16242-2025")</f>
        <v/>
      </c>
      <c r="X117">
        <f>HYPERLINK("https://klasma.github.io/Logging_030382/tillsyn/A 16242-2025 tillsynsbegäran.docx", "A 16242-2025")</f>
        <v/>
      </c>
      <c r="Y117">
        <f>HYPERLINK("https://klasma.github.io/Logging_030382/tillsynsmail/A 16242-2025 tillsynsbegäran mail.docx", "A 16242-2025")</f>
        <v/>
      </c>
      <c r="Z117">
        <f>HYPERLINK("https://klasma.github.io/Logging_030382/fåglar/A 16242-2025 prioriterade fågelarter.docx", "A 16242-2025")</f>
        <v/>
      </c>
    </row>
    <row r="118" ht="15" customHeight="1">
      <c r="A118" t="inlineStr">
        <is>
          <t>A 16239-2025</t>
        </is>
      </c>
      <c r="B118" s="1" t="n">
        <v>45746</v>
      </c>
      <c r="C118" s="1" t="n">
        <v>45846</v>
      </c>
      <c r="D118" t="inlineStr">
        <is>
          <t>UPPSALA LÄN</t>
        </is>
      </c>
      <c r="E118" t="inlineStr">
        <is>
          <t>ÖSTHAMMAR</t>
        </is>
      </c>
      <c r="G118" t="n">
        <v>6.9</v>
      </c>
      <c r="H118" t="n">
        <v>5</v>
      </c>
      <c r="I118" t="n">
        <v>3</v>
      </c>
      <c r="J118" t="n">
        <v>2</v>
      </c>
      <c r="K118" t="n">
        <v>1</v>
      </c>
      <c r="L118" t="n">
        <v>0</v>
      </c>
      <c r="M118" t="n">
        <v>0</v>
      </c>
      <c r="N118" t="n">
        <v>0</v>
      </c>
      <c r="O118" t="n">
        <v>3</v>
      </c>
      <c r="P118" t="n">
        <v>1</v>
      </c>
      <c r="Q118" t="n">
        <v>7</v>
      </c>
      <c r="R118" s="2" t="inlineStr">
        <is>
          <t>Knärot
Talltita
Ullticka
Grön sköldmossa
Grönpyrola
Nästrot
Blåsippa</t>
        </is>
      </c>
      <c r="S118">
        <f>HYPERLINK("https://klasma.github.io/Logging_030382/artfynd/A 16239-2025 artfynd.xlsx", "A 16239-2025")</f>
        <v/>
      </c>
      <c r="T118">
        <f>HYPERLINK("https://klasma.github.io/Logging_030382/kartor/A 16239-2025 karta.png", "A 16239-2025")</f>
        <v/>
      </c>
      <c r="U118">
        <f>HYPERLINK("https://klasma.github.io/Logging_030382/knärot/A 16239-2025 karta knärot.png", "A 16239-2025")</f>
        <v/>
      </c>
      <c r="V118">
        <f>HYPERLINK("https://klasma.github.io/Logging_030382/klagomål/A 16239-2025 FSC-klagomål.docx", "A 16239-2025")</f>
        <v/>
      </c>
      <c r="W118">
        <f>HYPERLINK("https://klasma.github.io/Logging_030382/klagomålsmail/A 16239-2025 FSC-klagomål mail.docx", "A 16239-2025")</f>
        <v/>
      </c>
      <c r="X118">
        <f>HYPERLINK("https://klasma.github.io/Logging_030382/tillsyn/A 16239-2025 tillsynsbegäran.docx", "A 16239-2025")</f>
        <v/>
      </c>
      <c r="Y118">
        <f>HYPERLINK("https://klasma.github.io/Logging_030382/tillsynsmail/A 16239-2025 tillsynsbegäran mail.docx", "A 16239-2025")</f>
        <v/>
      </c>
      <c r="Z118">
        <f>HYPERLINK("https://klasma.github.io/Logging_030382/fåglar/A 16239-2025 prioriterade fågelarter.docx", "A 16239-2025")</f>
        <v/>
      </c>
    </row>
    <row r="119" ht="15" customHeight="1">
      <c r="A119" t="inlineStr">
        <is>
          <t>A 20993-2025</t>
        </is>
      </c>
      <c r="B119" s="1" t="n">
        <v>45777</v>
      </c>
      <c r="C119" s="1" t="n">
        <v>45846</v>
      </c>
      <c r="D119" t="inlineStr">
        <is>
          <t>UPPSALA LÄN</t>
        </is>
      </c>
      <c r="E119" t="inlineStr">
        <is>
          <t>HEBY</t>
        </is>
      </c>
      <c r="G119" t="n">
        <v>10.6</v>
      </c>
      <c r="H119" t="n">
        <v>3</v>
      </c>
      <c r="I119" t="n">
        <v>3</v>
      </c>
      <c r="J119" t="n">
        <v>2</v>
      </c>
      <c r="K119" t="n">
        <v>1</v>
      </c>
      <c r="L119" t="n">
        <v>0</v>
      </c>
      <c r="M119" t="n">
        <v>0</v>
      </c>
      <c r="N119" t="n">
        <v>0</v>
      </c>
      <c r="O119" t="n">
        <v>3</v>
      </c>
      <c r="P119" t="n">
        <v>1</v>
      </c>
      <c r="Q119" t="n">
        <v>7</v>
      </c>
      <c r="R119" s="2" t="inlineStr">
        <is>
          <t>Knärot
Talltita
Ullticka
Flagellkvastmossa
Grönpyrola
Kattfotslav
Tjäder</t>
        </is>
      </c>
      <c r="S119">
        <f>HYPERLINK("https://klasma.github.io/Logging_030331/artfynd/A 20993-2025 artfynd.xlsx", "A 20993-2025")</f>
        <v/>
      </c>
      <c r="T119">
        <f>HYPERLINK("https://klasma.github.io/Logging_030331/kartor/A 20993-2025 karta.png", "A 20993-2025")</f>
        <v/>
      </c>
      <c r="U119">
        <f>HYPERLINK("https://klasma.github.io/Logging_030331/knärot/A 20993-2025 karta knärot.png", "A 20993-2025")</f>
        <v/>
      </c>
      <c r="V119">
        <f>HYPERLINK("https://klasma.github.io/Logging_030331/klagomål/A 20993-2025 FSC-klagomål.docx", "A 20993-2025")</f>
        <v/>
      </c>
      <c r="W119">
        <f>HYPERLINK("https://klasma.github.io/Logging_030331/klagomålsmail/A 20993-2025 FSC-klagomål mail.docx", "A 20993-2025")</f>
        <v/>
      </c>
      <c r="X119">
        <f>HYPERLINK("https://klasma.github.io/Logging_030331/tillsyn/A 20993-2025 tillsynsbegäran.docx", "A 20993-2025")</f>
        <v/>
      </c>
      <c r="Y119">
        <f>HYPERLINK("https://klasma.github.io/Logging_030331/tillsynsmail/A 20993-2025 tillsynsbegäran mail.docx", "A 20993-2025")</f>
        <v/>
      </c>
      <c r="Z119">
        <f>HYPERLINK("https://klasma.github.io/Logging_030331/fåglar/A 20993-2025 prioriterade fågelarter.docx", "A 20993-2025")</f>
        <v/>
      </c>
    </row>
    <row r="120" ht="15" customHeight="1">
      <c r="A120" t="inlineStr">
        <is>
          <t>A 20980-2025</t>
        </is>
      </c>
      <c r="B120" s="1" t="n">
        <v>45777</v>
      </c>
      <c r="C120" s="1" t="n">
        <v>45846</v>
      </c>
      <c r="D120" t="inlineStr">
        <is>
          <t>UPPSALA LÄN</t>
        </is>
      </c>
      <c r="E120" t="inlineStr">
        <is>
          <t>HEBY</t>
        </is>
      </c>
      <c r="G120" t="n">
        <v>10.6</v>
      </c>
      <c r="H120" t="n">
        <v>3</v>
      </c>
      <c r="I120" t="n">
        <v>3</v>
      </c>
      <c r="J120" t="n">
        <v>2</v>
      </c>
      <c r="K120" t="n">
        <v>1</v>
      </c>
      <c r="L120" t="n">
        <v>0</v>
      </c>
      <c r="M120" t="n">
        <v>0</v>
      </c>
      <c r="N120" t="n">
        <v>0</v>
      </c>
      <c r="O120" t="n">
        <v>3</v>
      </c>
      <c r="P120" t="n">
        <v>1</v>
      </c>
      <c r="Q120" t="n">
        <v>7</v>
      </c>
      <c r="R120" s="2" t="inlineStr">
        <is>
          <t>Knärot
Talltita
Ullticka
Flagellkvastmossa
Grönpyrola
Kattfotslav
Tjäder</t>
        </is>
      </c>
      <c r="S120">
        <f>HYPERLINK("https://klasma.github.io/Logging_030331/artfynd/A 20980-2025 artfynd.xlsx", "A 20980-2025")</f>
        <v/>
      </c>
      <c r="T120">
        <f>HYPERLINK("https://klasma.github.io/Logging_030331/kartor/A 20980-2025 karta.png", "A 20980-2025")</f>
        <v/>
      </c>
      <c r="U120">
        <f>HYPERLINK("https://klasma.github.io/Logging_030331/knärot/A 20980-2025 karta knärot.png", "A 20980-2025")</f>
        <v/>
      </c>
      <c r="V120">
        <f>HYPERLINK("https://klasma.github.io/Logging_030331/klagomål/A 20980-2025 FSC-klagomål.docx", "A 20980-2025")</f>
        <v/>
      </c>
      <c r="W120">
        <f>HYPERLINK("https://klasma.github.io/Logging_030331/klagomålsmail/A 20980-2025 FSC-klagomål mail.docx", "A 20980-2025")</f>
        <v/>
      </c>
      <c r="X120">
        <f>HYPERLINK("https://klasma.github.io/Logging_030331/tillsyn/A 20980-2025 tillsynsbegäran.docx", "A 20980-2025")</f>
        <v/>
      </c>
      <c r="Y120">
        <f>HYPERLINK("https://klasma.github.io/Logging_030331/tillsynsmail/A 20980-2025 tillsynsbegäran mail.docx", "A 20980-2025")</f>
        <v/>
      </c>
      <c r="Z120">
        <f>HYPERLINK("https://klasma.github.io/Logging_030331/fåglar/A 20980-2025 prioriterade fågelarter.docx", "A 20980-2025")</f>
        <v/>
      </c>
    </row>
    <row r="121" ht="15" customHeight="1">
      <c r="A121" t="inlineStr">
        <is>
          <t>A 24987-2025</t>
        </is>
      </c>
      <c r="B121" s="1" t="n">
        <v>45799</v>
      </c>
      <c r="C121" s="1" t="n">
        <v>45846</v>
      </c>
      <c r="D121" t="inlineStr">
        <is>
          <t>UPPSALA LÄN</t>
        </is>
      </c>
      <c r="E121" t="inlineStr">
        <is>
          <t>UPPSALA</t>
        </is>
      </c>
      <c r="G121" t="n">
        <v>2.6</v>
      </c>
      <c r="H121" t="n">
        <v>1</v>
      </c>
      <c r="I121" t="n">
        <v>3</v>
      </c>
      <c r="J121" t="n">
        <v>3</v>
      </c>
      <c r="K121" t="n">
        <v>0</v>
      </c>
      <c r="L121" t="n">
        <v>0</v>
      </c>
      <c r="M121" t="n">
        <v>0</v>
      </c>
      <c r="N121" t="n">
        <v>0</v>
      </c>
      <c r="O121" t="n">
        <v>3</v>
      </c>
      <c r="P121" t="n">
        <v>0</v>
      </c>
      <c r="Q121" t="n">
        <v>7</v>
      </c>
      <c r="R121" s="2" t="inlineStr">
        <is>
          <t>Bronspraktbagge
Fyrflikig jordstjärna
Mindre timmerman
Fjällig taggsvamp s.str.
Skarp dropptaggsvamp
Svavelriska
Blåsippa</t>
        </is>
      </c>
      <c r="S121">
        <f>HYPERLINK("https://klasma.github.io/Logging_030380/artfynd/A 24987-2025 artfynd.xlsx", "A 24987-2025")</f>
        <v/>
      </c>
      <c r="T121">
        <f>HYPERLINK("https://klasma.github.io/Logging_030380/kartor/A 24987-2025 karta.png", "A 24987-2025")</f>
        <v/>
      </c>
      <c r="V121">
        <f>HYPERLINK("https://klasma.github.io/Logging_030380/klagomål/A 24987-2025 FSC-klagomål.docx", "A 24987-2025")</f>
        <v/>
      </c>
      <c r="W121">
        <f>HYPERLINK("https://klasma.github.io/Logging_030380/klagomålsmail/A 24987-2025 FSC-klagomål mail.docx", "A 24987-2025")</f>
        <v/>
      </c>
      <c r="X121">
        <f>HYPERLINK("https://klasma.github.io/Logging_030380/tillsyn/A 24987-2025 tillsynsbegäran.docx", "A 24987-2025")</f>
        <v/>
      </c>
      <c r="Y121">
        <f>HYPERLINK("https://klasma.github.io/Logging_030380/tillsynsmail/A 24987-2025 tillsynsbegäran mail.docx", "A 24987-2025")</f>
        <v/>
      </c>
    </row>
    <row r="122" ht="15" customHeight="1">
      <c r="A122" t="inlineStr">
        <is>
          <t>A 25604-2025</t>
        </is>
      </c>
      <c r="B122" s="1" t="n">
        <v>45803</v>
      </c>
      <c r="C122" s="1" t="n">
        <v>45846</v>
      </c>
      <c r="D122" t="inlineStr">
        <is>
          <t>UPPSALA LÄN</t>
        </is>
      </c>
      <c r="E122" t="inlineStr">
        <is>
          <t>UPPSALA</t>
        </is>
      </c>
      <c r="F122" t="inlineStr">
        <is>
          <t>Holmen skog AB</t>
        </is>
      </c>
      <c r="G122" t="n">
        <v>4.7</v>
      </c>
      <c r="H122" t="n">
        <v>7</v>
      </c>
      <c r="I122" t="n">
        <v>0</v>
      </c>
      <c r="J122" t="n">
        <v>2</v>
      </c>
      <c r="K122" t="n">
        <v>1</v>
      </c>
      <c r="L122" t="n">
        <v>0</v>
      </c>
      <c r="M122" t="n">
        <v>0</v>
      </c>
      <c r="N122" t="n">
        <v>0</v>
      </c>
      <c r="O122" t="n">
        <v>3</v>
      </c>
      <c r="P122" t="n">
        <v>1</v>
      </c>
      <c r="Q122" t="n">
        <v>7</v>
      </c>
      <c r="R122" s="2" t="inlineStr">
        <is>
          <t>Tallbit
Spillkråka
Talltita
Grönsiska
Kungsfågel
Kopparödla
Blåsippa</t>
        </is>
      </c>
      <c r="S122">
        <f>HYPERLINK("https://klasma.github.io/Logging_030380/artfynd/A 25604-2025 artfynd.xlsx", "A 25604-2025")</f>
        <v/>
      </c>
      <c r="T122">
        <f>HYPERLINK("https://klasma.github.io/Logging_030380/kartor/A 25604-2025 karta.png", "A 25604-2025")</f>
        <v/>
      </c>
      <c r="V122">
        <f>HYPERLINK("https://klasma.github.io/Logging_030380/klagomål/A 25604-2025 FSC-klagomål.docx", "A 25604-2025")</f>
        <v/>
      </c>
      <c r="W122">
        <f>HYPERLINK("https://klasma.github.io/Logging_030380/klagomålsmail/A 25604-2025 FSC-klagomål mail.docx", "A 25604-2025")</f>
        <v/>
      </c>
      <c r="X122">
        <f>HYPERLINK("https://klasma.github.io/Logging_030380/tillsyn/A 25604-2025 tillsynsbegäran.docx", "A 25604-2025")</f>
        <v/>
      </c>
      <c r="Y122">
        <f>HYPERLINK("https://klasma.github.io/Logging_030380/tillsynsmail/A 25604-2025 tillsynsbegäran mail.docx", "A 25604-2025")</f>
        <v/>
      </c>
      <c r="Z122">
        <f>HYPERLINK("https://klasma.github.io/Logging_030380/fåglar/A 25604-2025 prioriterade fågelarter.docx", "A 25604-2025")</f>
        <v/>
      </c>
    </row>
    <row r="123" ht="15" customHeight="1">
      <c r="A123" t="inlineStr">
        <is>
          <t>A 30443-2025</t>
        </is>
      </c>
      <c r="B123" s="1" t="n">
        <v>45827</v>
      </c>
      <c r="C123" s="1" t="n">
        <v>45846</v>
      </c>
      <c r="D123" t="inlineStr">
        <is>
          <t>UPPSALA LÄN</t>
        </is>
      </c>
      <c r="E123" t="inlineStr">
        <is>
          <t>UPPSALA</t>
        </is>
      </c>
      <c r="G123" t="n">
        <v>10.4</v>
      </c>
      <c r="H123" t="n">
        <v>0</v>
      </c>
      <c r="I123" t="n">
        <v>3</v>
      </c>
      <c r="J123" t="n">
        <v>3</v>
      </c>
      <c r="K123" t="n">
        <v>1</v>
      </c>
      <c r="L123" t="n">
        <v>0</v>
      </c>
      <c r="M123" t="n">
        <v>0</v>
      </c>
      <c r="N123" t="n">
        <v>0</v>
      </c>
      <c r="O123" t="n">
        <v>4</v>
      </c>
      <c r="P123" t="n">
        <v>1</v>
      </c>
      <c r="Q123" t="n">
        <v>7</v>
      </c>
      <c r="R123" s="2" t="inlineStr">
        <is>
          <t>Grangråticka
Dofttaggsvamp
Gultoppig fingersvamp
Orange taggsvamp
Granbarkgnagare
Guldkremla
Korallblylav</t>
        </is>
      </c>
      <c r="S123">
        <f>HYPERLINK("https://klasma.github.io/Logging_030380/artfynd/A 30443-2025 artfynd.xlsx", "A 30443-2025")</f>
        <v/>
      </c>
      <c r="T123">
        <f>HYPERLINK("https://klasma.github.io/Logging_030380/kartor/A 30443-2025 karta.png", "A 30443-2025")</f>
        <v/>
      </c>
      <c r="V123">
        <f>HYPERLINK("https://klasma.github.io/Logging_030380/klagomål/A 30443-2025 FSC-klagomål.docx", "A 30443-2025")</f>
        <v/>
      </c>
      <c r="W123">
        <f>HYPERLINK("https://klasma.github.io/Logging_030380/klagomålsmail/A 30443-2025 FSC-klagomål mail.docx", "A 30443-2025")</f>
        <v/>
      </c>
      <c r="X123">
        <f>HYPERLINK("https://klasma.github.io/Logging_030380/tillsyn/A 30443-2025 tillsynsbegäran.docx", "A 30443-2025")</f>
        <v/>
      </c>
      <c r="Y123">
        <f>HYPERLINK("https://klasma.github.io/Logging_030380/tillsynsmail/A 30443-2025 tillsynsbegäran mail.docx", "A 30443-2025")</f>
        <v/>
      </c>
    </row>
    <row r="124" ht="15" customHeight="1">
      <c r="A124" t="inlineStr">
        <is>
          <t>A 39073-2019</t>
        </is>
      </c>
      <c r="B124" s="1" t="n">
        <v>43689</v>
      </c>
      <c r="C124" s="1" t="n">
        <v>45846</v>
      </c>
      <c r="D124" t="inlineStr">
        <is>
          <t>UPPSALA LÄN</t>
        </is>
      </c>
      <c r="E124" t="inlineStr">
        <is>
          <t>HEBY</t>
        </is>
      </c>
      <c r="G124" t="n">
        <v>4.8</v>
      </c>
      <c r="H124" t="n">
        <v>1</v>
      </c>
      <c r="I124" t="n">
        <v>3</v>
      </c>
      <c r="J124" t="n">
        <v>1</v>
      </c>
      <c r="K124" t="n">
        <v>2</v>
      </c>
      <c r="L124" t="n">
        <v>0</v>
      </c>
      <c r="M124" t="n">
        <v>0</v>
      </c>
      <c r="N124" t="n">
        <v>0</v>
      </c>
      <c r="O124" t="n">
        <v>3</v>
      </c>
      <c r="P124" t="n">
        <v>2</v>
      </c>
      <c r="Q124" t="n">
        <v>6</v>
      </c>
      <c r="R124" s="2" t="inlineStr">
        <is>
          <t>Knärot
Rynkskinn
Ullticka
Bronshjon
Thomsons trägnagare
Vedticka</t>
        </is>
      </c>
      <c r="S124">
        <f>HYPERLINK("https://klasma.github.io/Logging_0331/artfynd/A 39073-2019 artfynd.xlsx", "A 39073-2019")</f>
        <v/>
      </c>
      <c r="T124">
        <f>HYPERLINK("https://klasma.github.io/Logging_0331/kartor/A 39073-2019 karta.png", "A 39073-2019")</f>
        <v/>
      </c>
      <c r="U124">
        <f>HYPERLINK("https://klasma.github.io/Logging_0331/knärot/A 39073-2019 karta knärot.png", "A 39073-2019")</f>
        <v/>
      </c>
      <c r="V124">
        <f>HYPERLINK("https://klasma.github.io/Logging_0331/klagomål/A 39073-2019 FSC-klagomål.docx", "A 39073-2019")</f>
        <v/>
      </c>
      <c r="W124">
        <f>HYPERLINK("https://klasma.github.io/Logging_0331/klagomålsmail/A 39073-2019 FSC-klagomål mail.docx", "A 39073-2019")</f>
        <v/>
      </c>
      <c r="X124">
        <f>HYPERLINK("https://klasma.github.io/Logging_0331/tillsyn/A 39073-2019 tillsynsbegäran.docx", "A 39073-2019")</f>
        <v/>
      </c>
      <c r="Y124">
        <f>HYPERLINK("https://klasma.github.io/Logging_0331/tillsynsmail/A 39073-2019 tillsynsbegäran mail.docx", "A 39073-2019")</f>
        <v/>
      </c>
    </row>
    <row r="125" ht="15" customHeight="1">
      <c r="A125" t="inlineStr">
        <is>
          <t>A 33087-2020</t>
        </is>
      </c>
      <c r="B125" s="1" t="n">
        <v>44021</v>
      </c>
      <c r="C125" s="1" t="n">
        <v>45846</v>
      </c>
      <c r="D125" t="inlineStr">
        <is>
          <t>UPPSALA LÄN</t>
        </is>
      </c>
      <c r="E125" t="inlineStr">
        <is>
          <t>ÖSTHAMMAR</t>
        </is>
      </c>
      <c r="G125" t="n">
        <v>5.5</v>
      </c>
      <c r="H125" t="n">
        <v>2</v>
      </c>
      <c r="I125" t="n">
        <v>1</v>
      </c>
      <c r="J125" t="n">
        <v>3</v>
      </c>
      <c r="K125" t="n">
        <v>2</v>
      </c>
      <c r="L125" t="n">
        <v>0</v>
      </c>
      <c r="M125" t="n">
        <v>0</v>
      </c>
      <c r="N125" t="n">
        <v>0</v>
      </c>
      <c r="O125" t="n">
        <v>5</v>
      </c>
      <c r="P125" t="n">
        <v>2</v>
      </c>
      <c r="Q125" t="n">
        <v>6</v>
      </c>
      <c r="R125" s="2" t="inlineStr">
        <is>
          <t>Knärot
Violgubbe
Dofttaggsvamp
Gultoppig fingersvamp
Orange taggsvamp
Skogsknipprot</t>
        </is>
      </c>
      <c r="S125">
        <f>HYPERLINK("https://klasma.github.io/Logging_0382/artfynd/A 33087-2020 artfynd.xlsx", "A 33087-2020")</f>
        <v/>
      </c>
      <c r="T125">
        <f>HYPERLINK("https://klasma.github.io/Logging_0382/kartor/A 33087-2020 karta.png", "A 33087-2020")</f>
        <v/>
      </c>
      <c r="U125">
        <f>HYPERLINK("https://klasma.github.io/Logging_0382/knärot/A 33087-2020 karta knärot.png", "A 33087-2020")</f>
        <v/>
      </c>
      <c r="V125">
        <f>HYPERLINK("https://klasma.github.io/Logging_0382/klagomål/A 33087-2020 FSC-klagomål.docx", "A 33087-2020")</f>
        <v/>
      </c>
      <c r="W125">
        <f>HYPERLINK("https://klasma.github.io/Logging_0382/klagomålsmail/A 33087-2020 FSC-klagomål mail.docx", "A 33087-2020")</f>
        <v/>
      </c>
      <c r="X125">
        <f>HYPERLINK("https://klasma.github.io/Logging_0382/tillsyn/A 33087-2020 tillsynsbegäran.docx", "A 33087-2020")</f>
        <v/>
      </c>
      <c r="Y125">
        <f>HYPERLINK("https://klasma.github.io/Logging_0382/tillsynsmail/A 33087-2020 tillsynsbegäran mail.docx", "A 33087-2020")</f>
        <v/>
      </c>
    </row>
    <row r="126" ht="15" customHeight="1">
      <c r="A126" t="inlineStr">
        <is>
          <t>A 52838-2020</t>
        </is>
      </c>
      <c r="B126" s="1" t="n">
        <v>44119</v>
      </c>
      <c r="C126" s="1" t="n">
        <v>45846</v>
      </c>
      <c r="D126" t="inlineStr">
        <is>
          <t>UPPSALA LÄN</t>
        </is>
      </c>
      <c r="E126" t="inlineStr">
        <is>
          <t>UPPSALA</t>
        </is>
      </c>
      <c r="G126" t="n">
        <v>4.8</v>
      </c>
      <c r="H126" t="n">
        <v>3</v>
      </c>
      <c r="I126" t="n">
        <v>3</v>
      </c>
      <c r="J126" t="n">
        <v>2</v>
      </c>
      <c r="K126" t="n">
        <v>0</v>
      </c>
      <c r="L126" t="n">
        <v>0</v>
      </c>
      <c r="M126" t="n">
        <v>0</v>
      </c>
      <c r="N126" t="n">
        <v>0</v>
      </c>
      <c r="O126" t="n">
        <v>2</v>
      </c>
      <c r="P126" t="n">
        <v>0</v>
      </c>
      <c r="Q126" t="n">
        <v>6</v>
      </c>
      <c r="R126" s="2" t="inlineStr">
        <is>
          <t>Spillkråka
Ärtsångare
Bronshjon
Fjällig taggsvamp s.str.
Thomsons trägnagare
Blåsippa</t>
        </is>
      </c>
      <c r="S126">
        <f>HYPERLINK("https://klasma.github.io/Logging_0380/artfynd/A 52838-2020 artfynd.xlsx", "A 52838-2020")</f>
        <v/>
      </c>
      <c r="T126">
        <f>HYPERLINK("https://klasma.github.io/Logging_0380/kartor/A 52838-2020 karta.png", "A 52838-2020")</f>
        <v/>
      </c>
      <c r="V126">
        <f>HYPERLINK("https://klasma.github.io/Logging_0380/klagomål/A 52838-2020 FSC-klagomål.docx", "A 52838-2020")</f>
        <v/>
      </c>
      <c r="W126">
        <f>HYPERLINK("https://klasma.github.io/Logging_0380/klagomålsmail/A 52838-2020 FSC-klagomål mail.docx", "A 52838-2020")</f>
        <v/>
      </c>
      <c r="X126">
        <f>HYPERLINK("https://klasma.github.io/Logging_0380/tillsyn/A 52838-2020 tillsynsbegäran.docx", "A 52838-2020")</f>
        <v/>
      </c>
      <c r="Y126">
        <f>HYPERLINK("https://klasma.github.io/Logging_0380/tillsynsmail/A 52838-2020 tillsynsbegäran mail.docx", "A 52838-2020")</f>
        <v/>
      </c>
      <c r="Z126">
        <f>HYPERLINK("https://klasma.github.io/Logging_0380/fåglar/A 52838-2020 prioriterade fågelarter.docx", "A 52838-2020")</f>
        <v/>
      </c>
    </row>
    <row r="127" ht="15" customHeight="1">
      <c r="A127" t="inlineStr">
        <is>
          <t>A 18037-2021</t>
        </is>
      </c>
      <c r="B127" s="1" t="n">
        <v>44301</v>
      </c>
      <c r="C127" s="1" t="n">
        <v>45846</v>
      </c>
      <c r="D127" t="inlineStr">
        <is>
          <t>UPPSALA LÄN</t>
        </is>
      </c>
      <c r="E127" t="inlineStr">
        <is>
          <t>ENKÖPING</t>
        </is>
      </c>
      <c r="G127" t="n">
        <v>17.2</v>
      </c>
      <c r="H127" t="n">
        <v>1</v>
      </c>
      <c r="I127" t="n">
        <v>1</v>
      </c>
      <c r="J127" t="n">
        <v>2</v>
      </c>
      <c r="K127" t="n">
        <v>2</v>
      </c>
      <c r="L127" t="n">
        <v>1</v>
      </c>
      <c r="M127" t="n">
        <v>0</v>
      </c>
      <c r="N127" t="n">
        <v>0</v>
      </c>
      <c r="O127" t="n">
        <v>5</v>
      </c>
      <c r="P127" t="n">
        <v>3</v>
      </c>
      <c r="Q127" t="n">
        <v>6</v>
      </c>
      <c r="R127" s="2" t="inlineStr">
        <is>
          <t>Ask
Gulvit blekspik
Rynkskinn
Spillkråka
Tallticka
Lönnlav</t>
        </is>
      </c>
      <c r="S127">
        <f>HYPERLINK("https://klasma.github.io/Logging_0381/artfynd/A 18037-2021 artfynd.xlsx", "A 18037-2021")</f>
        <v/>
      </c>
      <c r="T127">
        <f>HYPERLINK("https://klasma.github.io/Logging_0381/kartor/A 18037-2021 karta.png", "A 18037-2021")</f>
        <v/>
      </c>
      <c r="V127">
        <f>HYPERLINK("https://klasma.github.io/Logging_0381/klagomål/A 18037-2021 FSC-klagomål.docx", "A 18037-2021")</f>
        <v/>
      </c>
      <c r="W127">
        <f>HYPERLINK("https://klasma.github.io/Logging_0381/klagomålsmail/A 18037-2021 FSC-klagomål mail.docx", "A 18037-2021")</f>
        <v/>
      </c>
      <c r="X127">
        <f>HYPERLINK("https://klasma.github.io/Logging_0381/tillsyn/A 18037-2021 tillsynsbegäran.docx", "A 18037-2021")</f>
        <v/>
      </c>
      <c r="Y127">
        <f>HYPERLINK("https://klasma.github.io/Logging_0381/tillsynsmail/A 18037-2021 tillsynsbegäran mail.docx", "A 18037-2021")</f>
        <v/>
      </c>
      <c r="Z127">
        <f>HYPERLINK("https://klasma.github.io/Logging_0381/fåglar/A 18037-2021 prioriterade fågelarter.docx", "A 18037-2021")</f>
        <v/>
      </c>
    </row>
    <row r="128" ht="15" customHeight="1">
      <c r="A128" t="inlineStr">
        <is>
          <t>A 28577-2021</t>
        </is>
      </c>
      <c r="B128" s="1" t="n">
        <v>44356</v>
      </c>
      <c r="C128" s="1" t="n">
        <v>45846</v>
      </c>
      <c r="D128" t="inlineStr">
        <is>
          <t>UPPSALA LÄN</t>
        </is>
      </c>
      <c r="E128" t="inlineStr">
        <is>
          <t>UPPSALA</t>
        </is>
      </c>
      <c r="G128" t="n">
        <v>13.1</v>
      </c>
      <c r="H128" t="n">
        <v>2</v>
      </c>
      <c r="I128" t="n">
        <v>3</v>
      </c>
      <c r="J128" t="n">
        <v>2</v>
      </c>
      <c r="K128" t="n">
        <v>0</v>
      </c>
      <c r="L128" t="n">
        <v>0</v>
      </c>
      <c r="M128" t="n">
        <v>0</v>
      </c>
      <c r="N128" t="n">
        <v>0</v>
      </c>
      <c r="O128" t="n">
        <v>2</v>
      </c>
      <c r="P128" t="n">
        <v>0</v>
      </c>
      <c r="Q128" t="n">
        <v>6</v>
      </c>
      <c r="R128" s="2" t="inlineStr">
        <is>
          <t>Spillkråka
Ullticka
Bronshjon
Korallblylav
Thomsons trägnagare
Blåsippa</t>
        </is>
      </c>
      <c r="S128">
        <f>HYPERLINK("https://klasma.github.io/Logging_0380/artfynd/A 28577-2021 artfynd.xlsx", "A 28577-2021")</f>
        <v/>
      </c>
      <c r="T128">
        <f>HYPERLINK("https://klasma.github.io/Logging_0380/kartor/A 28577-2021 karta.png", "A 28577-2021")</f>
        <v/>
      </c>
      <c r="V128">
        <f>HYPERLINK("https://klasma.github.io/Logging_0380/klagomål/A 28577-2021 FSC-klagomål.docx", "A 28577-2021")</f>
        <v/>
      </c>
      <c r="W128">
        <f>HYPERLINK("https://klasma.github.io/Logging_0380/klagomålsmail/A 28577-2021 FSC-klagomål mail.docx", "A 28577-2021")</f>
        <v/>
      </c>
      <c r="X128">
        <f>HYPERLINK("https://klasma.github.io/Logging_0380/tillsyn/A 28577-2021 tillsynsbegäran.docx", "A 28577-2021")</f>
        <v/>
      </c>
      <c r="Y128">
        <f>HYPERLINK("https://klasma.github.io/Logging_0380/tillsynsmail/A 28577-2021 tillsynsbegäran mail.docx", "A 28577-2021")</f>
        <v/>
      </c>
      <c r="Z128">
        <f>HYPERLINK("https://klasma.github.io/Logging_0380/fåglar/A 28577-2021 prioriterade fågelarter.docx", "A 28577-2021")</f>
        <v/>
      </c>
    </row>
    <row r="129" ht="15" customHeight="1">
      <c r="A129" t="inlineStr">
        <is>
          <t>A 35911-2021</t>
        </is>
      </c>
      <c r="B129" s="1" t="n">
        <v>44387</v>
      </c>
      <c r="C129" s="1" t="n">
        <v>45846</v>
      </c>
      <c r="D129" t="inlineStr">
        <is>
          <t>UPPSALA LÄN</t>
        </is>
      </c>
      <c r="E129" t="inlineStr">
        <is>
          <t>ÖSTHAMMAR</t>
        </is>
      </c>
      <c r="F129" t="inlineStr">
        <is>
          <t>Sveaskog</t>
        </is>
      </c>
      <c r="G129" t="n">
        <v>5.5</v>
      </c>
      <c r="H129" t="n">
        <v>3</v>
      </c>
      <c r="I129" t="n">
        <v>2</v>
      </c>
      <c r="J129" t="n">
        <v>3</v>
      </c>
      <c r="K129" t="n">
        <v>0</v>
      </c>
      <c r="L129" t="n">
        <v>0</v>
      </c>
      <c r="M129" t="n">
        <v>0</v>
      </c>
      <c r="N129" t="n">
        <v>0</v>
      </c>
      <c r="O129" t="n">
        <v>3</v>
      </c>
      <c r="P129" t="n">
        <v>0</v>
      </c>
      <c r="Q129" t="n">
        <v>6</v>
      </c>
      <c r="R129" s="2" t="inlineStr">
        <is>
          <t>Gulsparv
Lunglav
Mindre hackspett
Lönnlav
Tibast
Blåsippa</t>
        </is>
      </c>
      <c r="S129">
        <f>HYPERLINK("https://klasma.github.io/Logging_0382/artfynd/A 35911-2021 artfynd.xlsx", "A 35911-2021")</f>
        <v/>
      </c>
      <c r="T129">
        <f>HYPERLINK("https://klasma.github.io/Logging_0382/kartor/A 35911-2021 karta.png", "A 35911-2021")</f>
        <v/>
      </c>
      <c r="V129">
        <f>HYPERLINK("https://klasma.github.io/Logging_0382/klagomål/A 35911-2021 FSC-klagomål.docx", "A 35911-2021")</f>
        <v/>
      </c>
      <c r="W129">
        <f>HYPERLINK("https://klasma.github.io/Logging_0382/klagomålsmail/A 35911-2021 FSC-klagomål mail.docx", "A 35911-2021")</f>
        <v/>
      </c>
      <c r="X129">
        <f>HYPERLINK("https://klasma.github.io/Logging_0382/tillsyn/A 35911-2021 tillsynsbegäran.docx", "A 35911-2021")</f>
        <v/>
      </c>
      <c r="Y129">
        <f>HYPERLINK("https://klasma.github.io/Logging_0382/tillsynsmail/A 35911-2021 tillsynsbegäran mail.docx", "A 35911-2021")</f>
        <v/>
      </c>
      <c r="Z129">
        <f>HYPERLINK("https://klasma.github.io/Logging_0382/fåglar/A 35911-2021 prioriterade fågelarter.docx", "A 35911-2021")</f>
        <v/>
      </c>
    </row>
    <row r="130" ht="15" customHeight="1">
      <c r="A130" t="inlineStr">
        <is>
          <t>A 32140-2022</t>
        </is>
      </c>
      <c r="B130" s="1" t="n">
        <v>44779</v>
      </c>
      <c r="C130" s="1" t="n">
        <v>45846</v>
      </c>
      <c r="D130" t="inlineStr">
        <is>
          <t>UPPSALA LÄN</t>
        </is>
      </c>
      <c r="E130" t="inlineStr">
        <is>
          <t>ÖSTHAMMAR</t>
        </is>
      </c>
      <c r="G130" t="n">
        <v>1.7</v>
      </c>
      <c r="H130" t="n">
        <v>3</v>
      </c>
      <c r="I130" t="n">
        <v>3</v>
      </c>
      <c r="J130" t="n">
        <v>1</v>
      </c>
      <c r="K130" t="n">
        <v>1</v>
      </c>
      <c r="L130" t="n">
        <v>0</v>
      </c>
      <c r="M130" t="n">
        <v>0</v>
      </c>
      <c r="N130" t="n">
        <v>0</v>
      </c>
      <c r="O130" t="n">
        <v>2</v>
      </c>
      <c r="P130" t="n">
        <v>1</v>
      </c>
      <c r="Q130" t="n">
        <v>6</v>
      </c>
      <c r="R130" s="2" t="inlineStr">
        <is>
          <t>Knärot
Spillkråka
Fjällig taggsvamp s.str.
Skarp dropptaggsvamp
Svavelriska
Blåsippa</t>
        </is>
      </c>
      <c r="S130">
        <f>HYPERLINK("https://klasma.github.io/Logging_0382/artfynd/A 32140-2022 artfynd.xlsx", "A 32140-2022")</f>
        <v/>
      </c>
      <c r="T130">
        <f>HYPERLINK("https://klasma.github.io/Logging_0382/kartor/A 32140-2022 karta.png", "A 32140-2022")</f>
        <v/>
      </c>
      <c r="U130">
        <f>HYPERLINK("https://klasma.github.io/Logging_0382/knärot/A 32140-2022 karta knärot.png", "A 32140-2022")</f>
        <v/>
      </c>
      <c r="V130">
        <f>HYPERLINK("https://klasma.github.io/Logging_0382/klagomål/A 32140-2022 FSC-klagomål.docx", "A 32140-2022")</f>
        <v/>
      </c>
      <c r="W130">
        <f>HYPERLINK("https://klasma.github.io/Logging_0382/klagomålsmail/A 32140-2022 FSC-klagomål mail.docx", "A 32140-2022")</f>
        <v/>
      </c>
      <c r="X130">
        <f>HYPERLINK("https://klasma.github.io/Logging_0382/tillsyn/A 32140-2022 tillsynsbegäran.docx", "A 32140-2022")</f>
        <v/>
      </c>
      <c r="Y130">
        <f>HYPERLINK("https://klasma.github.io/Logging_0382/tillsynsmail/A 32140-2022 tillsynsbegäran mail.docx", "A 32140-2022")</f>
        <v/>
      </c>
      <c r="Z130">
        <f>HYPERLINK("https://klasma.github.io/Logging_0382/fåglar/A 32140-2022 prioriterade fågelarter.docx", "A 32140-2022")</f>
        <v/>
      </c>
    </row>
    <row r="131" ht="15" customHeight="1">
      <c r="A131" t="inlineStr">
        <is>
          <t>A 34459-2022</t>
        </is>
      </c>
      <c r="B131" s="1" t="n">
        <v>44792</v>
      </c>
      <c r="C131" s="1" t="n">
        <v>45846</v>
      </c>
      <c r="D131" t="inlineStr">
        <is>
          <t>UPPSALA LÄN</t>
        </is>
      </c>
      <c r="E131" t="inlineStr">
        <is>
          <t>UPPSALA</t>
        </is>
      </c>
      <c r="F131" t="inlineStr">
        <is>
          <t>Kommuner</t>
        </is>
      </c>
      <c r="G131" t="n">
        <v>2.6</v>
      </c>
      <c r="H131" t="n">
        <v>5</v>
      </c>
      <c r="I131" t="n">
        <v>1</v>
      </c>
      <c r="J131" t="n">
        <v>0</v>
      </c>
      <c r="K131" t="n">
        <v>0</v>
      </c>
      <c r="L131" t="n">
        <v>1</v>
      </c>
      <c r="M131" t="n">
        <v>0</v>
      </c>
      <c r="N131" t="n">
        <v>0</v>
      </c>
      <c r="O131" t="n">
        <v>1</v>
      </c>
      <c r="P131" t="n">
        <v>1</v>
      </c>
      <c r="Q131" t="n">
        <v>6</v>
      </c>
      <c r="R131" s="2" t="inlineStr">
        <is>
          <t>Cinnoberbagge
Svart trolldruva
Åkergroda
Huggorm
Vanlig padda
Vanlig snok</t>
        </is>
      </c>
      <c r="S131">
        <f>HYPERLINK("https://klasma.github.io/Logging_0380/artfynd/A 34459-2022 artfynd.xlsx", "A 34459-2022")</f>
        <v/>
      </c>
      <c r="T131">
        <f>HYPERLINK("https://klasma.github.io/Logging_0380/kartor/A 34459-2022 karta.png", "A 34459-2022")</f>
        <v/>
      </c>
      <c r="V131">
        <f>HYPERLINK("https://klasma.github.io/Logging_0380/klagomål/A 34459-2022 FSC-klagomål.docx", "A 34459-2022")</f>
        <v/>
      </c>
      <c r="W131">
        <f>HYPERLINK("https://klasma.github.io/Logging_0380/klagomålsmail/A 34459-2022 FSC-klagomål mail.docx", "A 34459-2022")</f>
        <v/>
      </c>
      <c r="X131">
        <f>HYPERLINK("https://klasma.github.io/Logging_0380/tillsyn/A 34459-2022 tillsynsbegäran.docx", "A 34459-2022")</f>
        <v/>
      </c>
      <c r="Y131">
        <f>HYPERLINK("https://klasma.github.io/Logging_0380/tillsynsmail/A 34459-2022 tillsynsbegäran mail.docx", "A 34459-2022")</f>
        <v/>
      </c>
    </row>
    <row r="132" ht="15" customHeight="1">
      <c r="A132" t="inlineStr">
        <is>
          <t>A 41020-2022</t>
        </is>
      </c>
      <c r="B132" s="1" t="n">
        <v>44824</v>
      </c>
      <c r="C132" s="1" t="n">
        <v>45846</v>
      </c>
      <c r="D132" t="inlineStr">
        <is>
          <t>UPPSALA LÄN</t>
        </is>
      </c>
      <c r="E132" t="inlineStr">
        <is>
          <t>HEBY</t>
        </is>
      </c>
      <c r="F132" t="inlineStr">
        <is>
          <t>Bergvik skog väst AB</t>
        </is>
      </c>
      <c r="G132" t="n">
        <v>32.8</v>
      </c>
      <c r="H132" t="n">
        <v>3</v>
      </c>
      <c r="I132" t="n">
        <v>2</v>
      </c>
      <c r="J132" t="n">
        <v>2</v>
      </c>
      <c r="K132" t="n">
        <v>1</v>
      </c>
      <c r="L132" t="n">
        <v>0</v>
      </c>
      <c r="M132" t="n">
        <v>0</v>
      </c>
      <c r="N132" t="n">
        <v>0</v>
      </c>
      <c r="O132" t="n">
        <v>3</v>
      </c>
      <c r="P132" t="n">
        <v>1</v>
      </c>
      <c r="Q132" t="n">
        <v>6</v>
      </c>
      <c r="R132" s="2" t="inlineStr">
        <is>
          <t>Knärot
Garnlav
Motaggsvamp
Grönpyrola
Plattlummer
Fläcknycklar</t>
        </is>
      </c>
      <c r="S132">
        <f>HYPERLINK("https://klasma.github.io/Logging_0331/artfynd/A 41020-2022 artfynd.xlsx", "A 41020-2022")</f>
        <v/>
      </c>
      <c r="T132">
        <f>HYPERLINK("https://klasma.github.io/Logging_0331/kartor/A 41020-2022 karta.png", "A 41020-2022")</f>
        <v/>
      </c>
      <c r="U132">
        <f>HYPERLINK("https://klasma.github.io/Logging_0331/knärot/A 41020-2022 karta knärot.png", "A 41020-2022")</f>
        <v/>
      </c>
      <c r="V132">
        <f>HYPERLINK("https://klasma.github.io/Logging_0331/klagomål/A 41020-2022 FSC-klagomål.docx", "A 41020-2022")</f>
        <v/>
      </c>
      <c r="W132">
        <f>HYPERLINK("https://klasma.github.io/Logging_0331/klagomålsmail/A 41020-2022 FSC-klagomål mail.docx", "A 41020-2022")</f>
        <v/>
      </c>
      <c r="X132">
        <f>HYPERLINK("https://klasma.github.io/Logging_0331/tillsyn/A 41020-2022 tillsynsbegäran.docx", "A 41020-2022")</f>
        <v/>
      </c>
      <c r="Y132">
        <f>HYPERLINK("https://klasma.github.io/Logging_0331/tillsynsmail/A 41020-2022 tillsynsbegäran mail.docx", "A 41020-2022")</f>
        <v/>
      </c>
    </row>
    <row r="133" ht="15" customHeight="1">
      <c r="A133" t="inlineStr">
        <is>
          <t>A 62137-2022</t>
        </is>
      </c>
      <c r="B133" s="1" t="n">
        <v>44914</v>
      </c>
      <c r="C133" s="1" t="n">
        <v>45846</v>
      </c>
      <c r="D133" t="inlineStr">
        <is>
          <t>UPPSALA LÄN</t>
        </is>
      </c>
      <c r="E133" t="inlineStr">
        <is>
          <t>HEBY</t>
        </is>
      </c>
      <c r="G133" t="n">
        <v>5.3</v>
      </c>
      <c r="H133" t="n">
        <v>1</v>
      </c>
      <c r="I133" t="n">
        <v>4</v>
      </c>
      <c r="J133" t="n">
        <v>1</v>
      </c>
      <c r="K133" t="n">
        <v>1</v>
      </c>
      <c r="L133" t="n">
        <v>0</v>
      </c>
      <c r="M133" t="n">
        <v>0</v>
      </c>
      <c r="N133" t="n">
        <v>0</v>
      </c>
      <c r="O133" t="n">
        <v>2</v>
      </c>
      <c r="P133" t="n">
        <v>1</v>
      </c>
      <c r="Q133" t="n">
        <v>6</v>
      </c>
      <c r="R133" s="2" t="inlineStr">
        <is>
          <t>Knärot
Ullticka
Grovticka
Grönpyrola
Trådticka
Vedticka</t>
        </is>
      </c>
      <c r="S133">
        <f>HYPERLINK("https://klasma.github.io/Logging_0331/artfynd/A 62137-2022 artfynd.xlsx", "A 62137-2022")</f>
        <v/>
      </c>
      <c r="T133">
        <f>HYPERLINK("https://klasma.github.io/Logging_0331/kartor/A 62137-2022 karta.png", "A 62137-2022")</f>
        <v/>
      </c>
      <c r="U133">
        <f>HYPERLINK("https://klasma.github.io/Logging_0331/knärot/A 62137-2022 karta knärot.png", "A 62137-2022")</f>
        <v/>
      </c>
      <c r="V133">
        <f>HYPERLINK("https://klasma.github.io/Logging_0331/klagomål/A 62137-2022 FSC-klagomål.docx", "A 62137-2022")</f>
        <v/>
      </c>
      <c r="W133">
        <f>HYPERLINK("https://klasma.github.io/Logging_0331/klagomålsmail/A 62137-2022 FSC-klagomål mail.docx", "A 62137-2022")</f>
        <v/>
      </c>
      <c r="X133">
        <f>HYPERLINK("https://klasma.github.io/Logging_0331/tillsyn/A 62137-2022 tillsynsbegäran.docx", "A 62137-2022")</f>
        <v/>
      </c>
      <c r="Y133">
        <f>HYPERLINK("https://klasma.github.io/Logging_0331/tillsynsmail/A 62137-2022 tillsynsbegäran mail.docx", "A 62137-2022")</f>
        <v/>
      </c>
    </row>
    <row r="134" ht="15" customHeight="1">
      <c r="A134" t="inlineStr">
        <is>
          <t>A 8507-2023</t>
        </is>
      </c>
      <c r="B134" s="1" t="n">
        <v>44977</v>
      </c>
      <c r="C134" s="1" t="n">
        <v>45846</v>
      </c>
      <c r="D134" t="inlineStr">
        <is>
          <t>UPPSALA LÄN</t>
        </is>
      </c>
      <c r="E134" t="inlineStr">
        <is>
          <t>TIERP</t>
        </is>
      </c>
      <c r="F134" t="inlineStr">
        <is>
          <t>Bergvik skog väst AB</t>
        </is>
      </c>
      <c r="G134" t="n">
        <v>7.6</v>
      </c>
      <c r="H134" t="n">
        <v>1</v>
      </c>
      <c r="I134" t="n">
        <v>1</v>
      </c>
      <c r="J134" t="n">
        <v>4</v>
      </c>
      <c r="K134" t="n">
        <v>1</v>
      </c>
      <c r="L134" t="n">
        <v>0</v>
      </c>
      <c r="M134" t="n">
        <v>0</v>
      </c>
      <c r="N134" t="n">
        <v>0</v>
      </c>
      <c r="O134" t="n">
        <v>5</v>
      </c>
      <c r="P134" t="n">
        <v>1</v>
      </c>
      <c r="Q134" t="n">
        <v>6</v>
      </c>
      <c r="R134" s="2" t="inlineStr">
        <is>
          <t>Violgubbe
Dofttaggsvamp
Flattoppad klubbsvamp
Orange taggsvamp
Spillkråka
Dropptaggsvamp</t>
        </is>
      </c>
      <c r="S134">
        <f>HYPERLINK("https://klasma.github.io/Logging_0360/artfynd/A 8507-2023 artfynd.xlsx", "A 8507-2023")</f>
        <v/>
      </c>
      <c r="T134">
        <f>HYPERLINK("https://klasma.github.io/Logging_0360/kartor/A 8507-2023 karta.png", "A 8507-2023")</f>
        <v/>
      </c>
      <c r="V134">
        <f>HYPERLINK("https://klasma.github.io/Logging_0360/klagomål/A 8507-2023 FSC-klagomål.docx", "A 8507-2023")</f>
        <v/>
      </c>
      <c r="W134">
        <f>HYPERLINK("https://klasma.github.io/Logging_0360/klagomålsmail/A 8507-2023 FSC-klagomål mail.docx", "A 8507-2023")</f>
        <v/>
      </c>
      <c r="X134">
        <f>HYPERLINK("https://klasma.github.io/Logging_0360/tillsyn/A 8507-2023 tillsynsbegäran.docx", "A 8507-2023")</f>
        <v/>
      </c>
      <c r="Y134">
        <f>HYPERLINK("https://klasma.github.io/Logging_0360/tillsynsmail/A 8507-2023 tillsynsbegäran mail.docx", "A 8507-2023")</f>
        <v/>
      </c>
      <c r="Z134">
        <f>HYPERLINK("https://klasma.github.io/Logging_0360/fåglar/A 8507-2023 prioriterade fågelarter.docx", "A 8507-2023")</f>
        <v/>
      </c>
    </row>
    <row r="135" ht="15" customHeight="1">
      <c r="A135" t="inlineStr">
        <is>
          <t>A 9126-2023</t>
        </is>
      </c>
      <c r="B135" s="1" t="n">
        <v>44980</v>
      </c>
      <c r="C135" s="1" t="n">
        <v>45846</v>
      </c>
      <c r="D135" t="inlineStr">
        <is>
          <t>UPPSALA LÄN</t>
        </is>
      </c>
      <c r="E135" t="inlineStr">
        <is>
          <t>TIERP</t>
        </is>
      </c>
      <c r="F135" t="inlineStr">
        <is>
          <t>Bergvik skog öst AB</t>
        </is>
      </c>
      <c r="G135" t="n">
        <v>21.8</v>
      </c>
      <c r="H135" t="n">
        <v>6</v>
      </c>
      <c r="I135" t="n">
        <v>0</v>
      </c>
      <c r="J135" t="n">
        <v>1</v>
      </c>
      <c r="K135" t="n">
        <v>1</v>
      </c>
      <c r="L135" t="n">
        <v>0</v>
      </c>
      <c r="M135" t="n">
        <v>0</v>
      </c>
      <c r="N135" t="n">
        <v>0</v>
      </c>
      <c r="O135" t="n">
        <v>2</v>
      </c>
      <c r="P135" t="n">
        <v>1</v>
      </c>
      <c r="Q135" t="n">
        <v>6</v>
      </c>
      <c r="R135" s="2" t="inlineStr">
        <is>
          <t>Knärot
Spillkråka
Tjäder
Skogsödla
Blåsippa
Revlummer</t>
        </is>
      </c>
      <c r="S135">
        <f>HYPERLINK("https://klasma.github.io/Logging_0360/artfynd/A 9126-2023 artfynd.xlsx", "A 9126-2023")</f>
        <v/>
      </c>
      <c r="T135">
        <f>HYPERLINK("https://klasma.github.io/Logging_0360/kartor/A 9126-2023 karta.png", "A 9126-2023")</f>
        <v/>
      </c>
      <c r="U135">
        <f>HYPERLINK("https://klasma.github.io/Logging_0360/knärot/A 9126-2023 karta knärot.png", "A 9126-2023")</f>
        <v/>
      </c>
      <c r="V135">
        <f>HYPERLINK("https://klasma.github.io/Logging_0360/klagomål/A 9126-2023 FSC-klagomål.docx", "A 9126-2023")</f>
        <v/>
      </c>
      <c r="W135">
        <f>HYPERLINK("https://klasma.github.io/Logging_0360/klagomålsmail/A 9126-2023 FSC-klagomål mail.docx", "A 9126-2023")</f>
        <v/>
      </c>
      <c r="X135">
        <f>HYPERLINK("https://klasma.github.io/Logging_0360/tillsyn/A 9126-2023 tillsynsbegäran.docx", "A 9126-2023")</f>
        <v/>
      </c>
      <c r="Y135">
        <f>HYPERLINK("https://klasma.github.io/Logging_0360/tillsynsmail/A 9126-2023 tillsynsbegäran mail.docx", "A 9126-2023")</f>
        <v/>
      </c>
      <c r="Z135">
        <f>HYPERLINK("https://klasma.github.io/Logging_0360/fåglar/A 9126-2023 prioriterade fågelarter.docx", "A 9126-2023")</f>
        <v/>
      </c>
    </row>
    <row r="136" ht="15" customHeight="1">
      <c r="A136" t="inlineStr">
        <is>
          <t>A 23496-2023</t>
        </is>
      </c>
      <c r="B136" s="1" t="n">
        <v>45076</v>
      </c>
      <c r="C136" s="1" t="n">
        <v>45846</v>
      </c>
      <c r="D136" t="inlineStr">
        <is>
          <t>UPPSALA LÄN</t>
        </is>
      </c>
      <c r="E136" t="inlineStr">
        <is>
          <t>ÖSTHAMMAR</t>
        </is>
      </c>
      <c r="F136" t="inlineStr">
        <is>
          <t>Sveaskog</t>
        </is>
      </c>
      <c r="G136" t="n">
        <v>2</v>
      </c>
      <c r="H136" t="n">
        <v>6</v>
      </c>
      <c r="I136" t="n">
        <v>0</v>
      </c>
      <c r="J136" t="n">
        <v>4</v>
      </c>
      <c r="K136" t="n">
        <v>0</v>
      </c>
      <c r="L136" t="n">
        <v>2</v>
      </c>
      <c r="M136" t="n">
        <v>0</v>
      </c>
      <c r="N136" t="n">
        <v>0</v>
      </c>
      <c r="O136" t="n">
        <v>6</v>
      </c>
      <c r="P136" t="n">
        <v>2</v>
      </c>
      <c r="Q136" t="n">
        <v>6</v>
      </c>
      <c r="R136" s="2" t="inlineStr">
        <is>
          <t>Grönfink
Tornseglare
Gulsparv
Svartvit flugsnappare
Sävsparv
Talltita</t>
        </is>
      </c>
      <c r="S136">
        <f>HYPERLINK("https://klasma.github.io/Logging_0382/artfynd/A 23496-2023 artfynd.xlsx", "A 23496-2023")</f>
        <v/>
      </c>
      <c r="T136">
        <f>HYPERLINK("https://klasma.github.io/Logging_0382/kartor/A 23496-2023 karta.png", "A 23496-2023")</f>
        <v/>
      </c>
      <c r="V136">
        <f>HYPERLINK("https://klasma.github.io/Logging_0382/klagomål/A 23496-2023 FSC-klagomål.docx", "A 23496-2023")</f>
        <v/>
      </c>
      <c r="W136">
        <f>HYPERLINK("https://klasma.github.io/Logging_0382/klagomålsmail/A 23496-2023 FSC-klagomål mail.docx", "A 23496-2023")</f>
        <v/>
      </c>
      <c r="X136">
        <f>HYPERLINK("https://klasma.github.io/Logging_0382/tillsyn/A 23496-2023 tillsynsbegäran.docx", "A 23496-2023")</f>
        <v/>
      </c>
      <c r="Y136">
        <f>HYPERLINK("https://klasma.github.io/Logging_0382/tillsynsmail/A 23496-2023 tillsynsbegäran mail.docx", "A 23496-2023")</f>
        <v/>
      </c>
      <c r="Z136">
        <f>HYPERLINK("https://klasma.github.io/Logging_0382/fåglar/A 23496-2023 prioriterade fågelarter.docx", "A 23496-2023")</f>
        <v/>
      </c>
    </row>
    <row r="137" ht="15" customHeight="1">
      <c r="A137" t="inlineStr">
        <is>
          <t>A 48277-2023</t>
        </is>
      </c>
      <c r="B137" s="1" t="n">
        <v>45205</v>
      </c>
      <c r="C137" s="1" t="n">
        <v>45846</v>
      </c>
      <c r="D137" t="inlineStr">
        <is>
          <t>UPPSALA LÄN</t>
        </is>
      </c>
      <c r="E137" t="inlineStr">
        <is>
          <t>ÖSTHAMMAR</t>
        </is>
      </c>
      <c r="G137" t="n">
        <v>4.2</v>
      </c>
      <c r="H137" t="n">
        <v>1</v>
      </c>
      <c r="I137" t="n">
        <v>3</v>
      </c>
      <c r="J137" t="n">
        <v>2</v>
      </c>
      <c r="K137" t="n">
        <v>1</v>
      </c>
      <c r="L137" t="n">
        <v>0</v>
      </c>
      <c r="M137" t="n">
        <v>0</v>
      </c>
      <c r="N137" t="n">
        <v>0</v>
      </c>
      <c r="O137" t="n">
        <v>3</v>
      </c>
      <c r="P137" t="n">
        <v>1</v>
      </c>
      <c r="Q137" t="n">
        <v>6</v>
      </c>
      <c r="R137" s="2" t="inlineStr">
        <is>
          <t>Gul lammticka
Odörspindling
Svart taggsvamp
Nästrot
Sårläka
Zontaggsvamp</t>
        </is>
      </c>
      <c r="S137">
        <f>HYPERLINK("https://klasma.github.io/Logging_0382/artfynd/A 48277-2023 artfynd.xlsx", "A 48277-2023")</f>
        <v/>
      </c>
      <c r="T137">
        <f>HYPERLINK("https://klasma.github.io/Logging_0382/kartor/A 48277-2023 karta.png", "A 48277-2023")</f>
        <v/>
      </c>
      <c r="V137">
        <f>HYPERLINK("https://klasma.github.io/Logging_0382/klagomål/A 48277-2023 FSC-klagomål.docx", "A 48277-2023")</f>
        <v/>
      </c>
      <c r="W137">
        <f>HYPERLINK("https://klasma.github.io/Logging_0382/klagomålsmail/A 48277-2023 FSC-klagomål mail.docx", "A 48277-2023")</f>
        <v/>
      </c>
      <c r="X137">
        <f>HYPERLINK("https://klasma.github.io/Logging_0382/tillsyn/A 48277-2023 tillsynsbegäran.docx", "A 48277-2023")</f>
        <v/>
      </c>
      <c r="Y137">
        <f>HYPERLINK("https://klasma.github.io/Logging_0382/tillsynsmail/A 48277-2023 tillsynsbegäran mail.docx", "A 48277-2023")</f>
        <v/>
      </c>
    </row>
    <row r="138" ht="15" customHeight="1">
      <c r="A138" t="inlineStr">
        <is>
          <t>A 56374-2023</t>
        </is>
      </c>
      <c r="B138" s="1" t="n">
        <v>45243</v>
      </c>
      <c r="C138" s="1" t="n">
        <v>45846</v>
      </c>
      <c r="D138" t="inlineStr">
        <is>
          <t>UPPSALA LÄN</t>
        </is>
      </c>
      <c r="E138" t="inlineStr">
        <is>
          <t>HEBY</t>
        </is>
      </c>
      <c r="F138" t="inlineStr">
        <is>
          <t>Allmännings- och besparingsskogar</t>
        </is>
      </c>
      <c r="G138" t="n">
        <v>12.9</v>
      </c>
      <c r="H138" t="n">
        <v>4</v>
      </c>
      <c r="I138" t="n">
        <v>1</v>
      </c>
      <c r="J138" t="n">
        <v>3</v>
      </c>
      <c r="K138" t="n">
        <v>1</v>
      </c>
      <c r="L138" t="n">
        <v>0</v>
      </c>
      <c r="M138" t="n">
        <v>0</v>
      </c>
      <c r="N138" t="n">
        <v>0</v>
      </c>
      <c r="O138" t="n">
        <v>4</v>
      </c>
      <c r="P138" t="n">
        <v>1</v>
      </c>
      <c r="Q138" t="n">
        <v>6</v>
      </c>
      <c r="R138" s="2" t="inlineStr">
        <is>
          <t>Knärot
Spillkråka
Talltita
Ullticka
Grönpyrola
Tjäder</t>
        </is>
      </c>
      <c r="S138">
        <f>HYPERLINK("https://klasma.github.io/Logging_0331/artfynd/A 56374-2023 artfynd.xlsx", "A 56374-2023")</f>
        <v/>
      </c>
      <c r="T138">
        <f>HYPERLINK("https://klasma.github.io/Logging_0331/kartor/A 56374-2023 karta.png", "A 56374-2023")</f>
        <v/>
      </c>
      <c r="U138">
        <f>HYPERLINK("https://klasma.github.io/Logging_0331/knärot/A 56374-2023 karta knärot.png", "A 56374-2023")</f>
        <v/>
      </c>
      <c r="V138">
        <f>HYPERLINK("https://klasma.github.io/Logging_0331/klagomål/A 56374-2023 FSC-klagomål.docx", "A 56374-2023")</f>
        <v/>
      </c>
      <c r="W138">
        <f>HYPERLINK("https://klasma.github.io/Logging_0331/klagomålsmail/A 56374-2023 FSC-klagomål mail.docx", "A 56374-2023")</f>
        <v/>
      </c>
      <c r="X138">
        <f>HYPERLINK("https://klasma.github.io/Logging_0331/tillsyn/A 56374-2023 tillsynsbegäran.docx", "A 56374-2023")</f>
        <v/>
      </c>
      <c r="Y138">
        <f>HYPERLINK("https://klasma.github.io/Logging_0331/tillsynsmail/A 56374-2023 tillsynsbegäran mail.docx", "A 56374-2023")</f>
        <v/>
      </c>
      <c r="Z138">
        <f>HYPERLINK("https://klasma.github.io/Logging_0331/fåglar/A 56374-2023 prioriterade fågelarter.docx", "A 56374-2023")</f>
        <v/>
      </c>
    </row>
    <row r="139" ht="15" customHeight="1">
      <c r="A139" t="inlineStr">
        <is>
          <t>A 58015-2023</t>
        </is>
      </c>
      <c r="B139" s="1" t="n">
        <v>45245</v>
      </c>
      <c r="C139" s="1" t="n">
        <v>45846</v>
      </c>
      <c r="D139" t="inlineStr">
        <is>
          <t>UPPSALA LÄN</t>
        </is>
      </c>
      <c r="E139" t="inlineStr">
        <is>
          <t>UPPSALA</t>
        </is>
      </c>
      <c r="G139" t="n">
        <v>12.8</v>
      </c>
      <c r="H139" t="n">
        <v>0</v>
      </c>
      <c r="I139" t="n">
        <v>4</v>
      </c>
      <c r="J139" t="n">
        <v>2</v>
      </c>
      <c r="K139" t="n">
        <v>0</v>
      </c>
      <c r="L139" t="n">
        <v>0</v>
      </c>
      <c r="M139" t="n">
        <v>0</v>
      </c>
      <c r="N139" t="n">
        <v>0</v>
      </c>
      <c r="O139" t="n">
        <v>2</v>
      </c>
      <c r="P139" t="n">
        <v>0</v>
      </c>
      <c r="Q139" t="n">
        <v>6</v>
      </c>
      <c r="R139" s="2" t="inlineStr">
        <is>
          <t>Kandelabersvamp
Orange taggsvamp
Dropptaggsvamp
Fjällig taggsvamp s.str.
Svavelriska
Trådticka</t>
        </is>
      </c>
      <c r="S139">
        <f>HYPERLINK("https://klasma.github.io/Logging_0380/artfynd/A 58015-2023 artfynd.xlsx", "A 58015-2023")</f>
        <v/>
      </c>
      <c r="T139">
        <f>HYPERLINK("https://klasma.github.io/Logging_0380/kartor/A 58015-2023 karta.png", "A 58015-2023")</f>
        <v/>
      </c>
      <c r="V139">
        <f>HYPERLINK("https://klasma.github.io/Logging_0380/klagomål/A 58015-2023 FSC-klagomål.docx", "A 58015-2023")</f>
        <v/>
      </c>
      <c r="W139">
        <f>HYPERLINK("https://klasma.github.io/Logging_0380/klagomålsmail/A 58015-2023 FSC-klagomål mail.docx", "A 58015-2023")</f>
        <v/>
      </c>
      <c r="X139">
        <f>HYPERLINK("https://klasma.github.io/Logging_0380/tillsyn/A 58015-2023 tillsynsbegäran.docx", "A 58015-2023")</f>
        <v/>
      </c>
      <c r="Y139">
        <f>HYPERLINK("https://klasma.github.io/Logging_0380/tillsynsmail/A 58015-2023 tillsynsbegäran mail.docx", "A 58015-2023")</f>
        <v/>
      </c>
    </row>
    <row r="140" ht="15" customHeight="1">
      <c r="A140" t="inlineStr">
        <is>
          <t>A 58884-2023</t>
        </is>
      </c>
      <c r="B140" s="1" t="n">
        <v>45252</v>
      </c>
      <c r="C140" s="1" t="n">
        <v>45846</v>
      </c>
      <c r="D140" t="inlineStr">
        <is>
          <t>UPPSALA LÄN</t>
        </is>
      </c>
      <c r="E140" t="inlineStr">
        <is>
          <t>TIERP</t>
        </is>
      </c>
      <c r="G140" t="n">
        <v>3.4</v>
      </c>
      <c r="H140" t="n">
        <v>0</v>
      </c>
      <c r="I140" t="n">
        <v>5</v>
      </c>
      <c r="J140" t="n">
        <v>0</v>
      </c>
      <c r="K140" t="n">
        <v>1</v>
      </c>
      <c r="L140" t="n">
        <v>0</v>
      </c>
      <c r="M140" t="n">
        <v>0</v>
      </c>
      <c r="N140" t="n">
        <v>0</v>
      </c>
      <c r="O140" t="n">
        <v>1</v>
      </c>
      <c r="P140" t="n">
        <v>1</v>
      </c>
      <c r="Q140" t="n">
        <v>6</v>
      </c>
      <c r="R140" s="2" t="inlineStr">
        <is>
          <t>Kopparspindling
Anisspindling
Barrfagerspindling
Fjällig taggsvamp s.str.
Olivspindling
Rödgul trumpetsvamp</t>
        </is>
      </c>
      <c r="S140">
        <f>HYPERLINK("https://klasma.github.io/Logging_0360/artfynd/A 58884-2023 artfynd.xlsx", "A 58884-2023")</f>
        <v/>
      </c>
      <c r="T140">
        <f>HYPERLINK("https://klasma.github.io/Logging_0360/kartor/A 58884-2023 karta.png", "A 58884-2023")</f>
        <v/>
      </c>
      <c r="V140">
        <f>HYPERLINK("https://klasma.github.io/Logging_0360/klagomål/A 58884-2023 FSC-klagomål.docx", "A 58884-2023")</f>
        <v/>
      </c>
      <c r="W140">
        <f>HYPERLINK("https://klasma.github.io/Logging_0360/klagomålsmail/A 58884-2023 FSC-klagomål mail.docx", "A 58884-2023")</f>
        <v/>
      </c>
      <c r="X140">
        <f>HYPERLINK("https://klasma.github.io/Logging_0360/tillsyn/A 58884-2023 tillsynsbegäran.docx", "A 58884-2023")</f>
        <v/>
      </c>
      <c r="Y140">
        <f>HYPERLINK("https://klasma.github.io/Logging_0360/tillsynsmail/A 58884-2023 tillsynsbegäran mail.docx", "A 58884-2023")</f>
        <v/>
      </c>
    </row>
    <row r="141" ht="15" customHeight="1">
      <c r="A141" t="inlineStr">
        <is>
          <t>A 1303-2024</t>
        </is>
      </c>
      <c r="B141" s="1" t="n">
        <v>45303</v>
      </c>
      <c r="C141" s="1" t="n">
        <v>45846</v>
      </c>
      <c r="D141" t="inlineStr">
        <is>
          <t>UPPSALA LÄN</t>
        </is>
      </c>
      <c r="E141" t="inlineStr">
        <is>
          <t>ÖSTHAMMAR</t>
        </is>
      </c>
      <c r="F141" t="inlineStr">
        <is>
          <t>Övriga Aktiebolag</t>
        </is>
      </c>
      <c r="G141" t="n">
        <v>19.5</v>
      </c>
      <c r="H141" t="n">
        <v>2</v>
      </c>
      <c r="I141" t="n">
        <v>3</v>
      </c>
      <c r="J141" t="n">
        <v>1</v>
      </c>
      <c r="K141" t="n">
        <v>0</v>
      </c>
      <c r="L141" t="n">
        <v>0</v>
      </c>
      <c r="M141" t="n">
        <v>0</v>
      </c>
      <c r="N141" t="n">
        <v>0</v>
      </c>
      <c r="O141" t="n">
        <v>1</v>
      </c>
      <c r="P141" t="n">
        <v>0</v>
      </c>
      <c r="Q141" t="n">
        <v>6</v>
      </c>
      <c r="R141" s="2" t="inlineStr">
        <is>
          <t>Dofttaggsvamp
Kamjordstjärna
Rödgul trumpetsvamp
Vårärt
Blåsippa
Revlummer</t>
        </is>
      </c>
      <c r="S141">
        <f>HYPERLINK("https://klasma.github.io/Logging_0382/artfynd/A 1303-2024 artfynd.xlsx", "A 1303-2024")</f>
        <v/>
      </c>
      <c r="T141">
        <f>HYPERLINK("https://klasma.github.io/Logging_0382/kartor/A 1303-2024 karta.png", "A 1303-2024")</f>
        <v/>
      </c>
      <c r="V141">
        <f>HYPERLINK("https://klasma.github.io/Logging_0382/klagomål/A 1303-2024 FSC-klagomål.docx", "A 1303-2024")</f>
        <v/>
      </c>
      <c r="W141">
        <f>HYPERLINK("https://klasma.github.io/Logging_0382/klagomålsmail/A 1303-2024 FSC-klagomål mail.docx", "A 1303-2024")</f>
        <v/>
      </c>
      <c r="X141">
        <f>HYPERLINK("https://klasma.github.io/Logging_0382/tillsyn/A 1303-2024 tillsynsbegäran.docx", "A 1303-2024")</f>
        <v/>
      </c>
      <c r="Y141">
        <f>HYPERLINK("https://klasma.github.io/Logging_0382/tillsynsmail/A 1303-2024 tillsynsbegäran mail.docx", "A 1303-2024")</f>
        <v/>
      </c>
    </row>
    <row r="142" ht="15" customHeight="1">
      <c r="A142" t="inlineStr">
        <is>
          <t>A 2163-2024</t>
        </is>
      </c>
      <c r="B142" s="1" t="n">
        <v>45309</v>
      </c>
      <c r="C142" s="1" t="n">
        <v>45846</v>
      </c>
      <c r="D142" t="inlineStr">
        <is>
          <t>UPPSALA LÄN</t>
        </is>
      </c>
      <c r="E142" t="inlineStr">
        <is>
          <t>KNIVSTA</t>
        </is>
      </c>
      <c r="F142" t="inlineStr">
        <is>
          <t>Holmen skog AB</t>
        </is>
      </c>
      <c r="G142" t="n">
        <v>16.4</v>
      </c>
      <c r="H142" t="n">
        <v>0</v>
      </c>
      <c r="I142" t="n">
        <v>4</v>
      </c>
      <c r="J142" t="n">
        <v>2</v>
      </c>
      <c r="K142" t="n">
        <v>0</v>
      </c>
      <c r="L142" t="n">
        <v>0</v>
      </c>
      <c r="M142" t="n">
        <v>0</v>
      </c>
      <c r="N142" t="n">
        <v>0</v>
      </c>
      <c r="O142" t="n">
        <v>2</v>
      </c>
      <c r="P142" t="n">
        <v>0</v>
      </c>
      <c r="Q142" t="n">
        <v>6</v>
      </c>
      <c r="R142" s="2" t="inlineStr">
        <is>
          <t>Tallticka
Vedtrappmossa
Mörk husmossa
Svavelriska
Trind spretmossa
Vedticka</t>
        </is>
      </c>
      <c r="S142">
        <f>HYPERLINK("https://klasma.github.io/Logging_0330/artfynd/A 2163-2024 artfynd.xlsx", "A 2163-2024")</f>
        <v/>
      </c>
      <c r="T142">
        <f>HYPERLINK("https://klasma.github.io/Logging_0330/kartor/A 2163-2024 karta.png", "A 2163-2024")</f>
        <v/>
      </c>
      <c r="V142">
        <f>HYPERLINK("https://klasma.github.io/Logging_0330/klagomål/A 2163-2024 FSC-klagomål.docx", "A 2163-2024")</f>
        <v/>
      </c>
      <c r="W142">
        <f>HYPERLINK("https://klasma.github.io/Logging_0330/klagomålsmail/A 2163-2024 FSC-klagomål mail.docx", "A 2163-2024")</f>
        <v/>
      </c>
      <c r="X142">
        <f>HYPERLINK("https://klasma.github.io/Logging_0330/tillsyn/A 2163-2024 tillsynsbegäran.docx", "A 2163-2024")</f>
        <v/>
      </c>
      <c r="Y142">
        <f>HYPERLINK("https://klasma.github.io/Logging_0330/tillsynsmail/A 2163-2024 tillsynsbegäran mail.docx", "A 2163-2024")</f>
        <v/>
      </c>
    </row>
    <row r="143" ht="15" customHeight="1">
      <c r="A143" t="inlineStr">
        <is>
          <t>A 50464-2024</t>
        </is>
      </c>
      <c r="B143" s="1" t="n">
        <v>45601</v>
      </c>
      <c r="C143" s="1" t="n">
        <v>45846</v>
      </c>
      <c r="D143" t="inlineStr">
        <is>
          <t>UPPSALA LÄN</t>
        </is>
      </c>
      <c r="E143" t="inlineStr">
        <is>
          <t>HEBY</t>
        </is>
      </c>
      <c r="G143" t="n">
        <v>6.8</v>
      </c>
      <c r="H143" t="n">
        <v>3</v>
      </c>
      <c r="I143" t="n">
        <v>2</v>
      </c>
      <c r="J143" t="n">
        <v>2</v>
      </c>
      <c r="K143" t="n">
        <v>1</v>
      </c>
      <c r="L143" t="n">
        <v>0</v>
      </c>
      <c r="M143" t="n">
        <v>0</v>
      </c>
      <c r="N143" t="n">
        <v>0</v>
      </c>
      <c r="O143" t="n">
        <v>3</v>
      </c>
      <c r="P143" t="n">
        <v>1</v>
      </c>
      <c r="Q143" t="n">
        <v>6</v>
      </c>
      <c r="R143" s="2" t="inlineStr">
        <is>
          <t>Knärot
Brunpudrad nållav
Spillkråka
Grönpyrola
Thomsons trägnagare
Revlummer</t>
        </is>
      </c>
      <c r="S143">
        <f>HYPERLINK("https://klasma.github.io/Logging_0331/artfynd/A 50464-2024 artfynd.xlsx", "A 50464-2024")</f>
        <v/>
      </c>
      <c r="T143">
        <f>HYPERLINK("https://klasma.github.io/Logging_0331/kartor/A 50464-2024 karta.png", "A 50464-2024")</f>
        <v/>
      </c>
      <c r="U143">
        <f>HYPERLINK("https://klasma.github.io/Logging_0331/knärot/A 50464-2024 karta knärot.png", "A 50464-2024")</f>
        <v/>
      </c>
      <c r="V143">
        <f>HYPERLINK("https://klasma.github.io/Logging_0331/klagomål/A 50464-2024 FSC-klagomål.docx", "A 50464-2024")</f>
        <v/>
      </c>
      <c r="W143">
        <f>HYPERLINK("https://klasma.github.io/Logging_0331/klagomålsmail/A 50464-2024 FSC-klagomål mail.docx", "A 50464-2024")</f>
        <v/>
      </c>
      <c r="X143">
        <f>HYPERLINK("https://klasma.github.io/Logging_0331/tillsyn/A 50464-2024 tillsynsbegäran.docx", "A 50464-2024")</f>
        <v/>
      </c>
      <c r="Y143">
        <f>HYPERLINK("https://klasma.github.io/Logging_0331/tillsynsmail/A 50464-2024 tillsynsbegäran mail.docx", "A 50464-2024")</f>
        <v/>
      </c>
      <c r="Z143">
        <f>HYPERLINK("https://klasma.github.io/Logging_0331/fåglar/A 50464-2024 prioriterade fågelarter.docx", "A 50464-2024")</f>
        <v/>
      </c>
    </row>
    <row r="144" ht="15" customHeight="1">
      <c r="A144" t="inlineStr">
        <is>
          <t>A 54808-2024</t>
        </is>
      </c>
      <c r="B144" s="1" t="n">
        <v>45618</v>
      </c>
      <c r="C144" s="1" t="n">
        <v>45846</v>
      </c>
      <c r="D144" t="inlineStr">
        <is>
          <t>UPPSALA LÄN</t>
        </is>
      </c>
      <c r="E144" t="inlineStr">
        <is>
          <t>HEBY</t>
        </is>
      </c>
      <c r="G144" t="n">
        <v>3.2</v>
      </c>
      <c r="H144" t="n">
        <v>5</v>
      </c>
      <c r="I144" t="n">
        <v>1</v>
      </c>
      <c r="J144" t="n">
        <v>3</v>
      </c>
      <c r="K144" t="n">
        <v>1</v>
      </c>
      <c r="L144" t="n">
        <v>0</v>
      </c>
      <c r="M144" t="n">
        <v>0</v>
      </c>
      <c r="N144" t="n">
        <v>0</v>
      </c>
      <c r="O144" t="n">
        <v>4</v>
      </c>
      <c r="P144" t="n">
        <v>1</v>
      </c>
      <c r="Q144" t="n">
        <v>6</v>
      </c>
      <c r="R144" s="2" t="inlineStr">
        <is>
          <t>Knärot
Spillkråka
Talltita
Ärtsångare
Flagellkvastmossa
Pärluggla</t>
        </is>
      </c>
      <c r="S144">
        <f>HYPERLINK("https://klasma.github.io/Logging_0331/artfynd/A 54808-2024 artfynd.xlsx", "A 54808-2024")</f>
        <v/>
      </c>
      <c r="T144">
        <f>HYPERLINK("https://klasma.github.io/Logging_0331/kartor/A 54808-2024 karta.png", "A 54808-2024")</f>
        <v/>
      </c>
      <c r="U144">
        <f>HYPERLINK("https://klasma.github.io/Logging_0331/knärot/A 54808-2024 karta knärot.png", "A 54808-2024")</f>
        <v/>
      </c>
      <c r="V144">
        <f>HYPERLINK("https://klasma.github.io/Logging_0331/klagomål/A 54808-2024 FSC-klagomål.docx", "A 54808-2024")</f>
        <v/>
      </c>
      <c r="W144">
        <f>HYPERLINK("https://klasma.github.io/Logging_0331/klagomålsmail/A 54808-2024 FSC-klagomål mail.docx", "A 54808-2024")</f>
        <v/>
      </c>
      <c r="X144">
        <f>HYPERLINK("https://klasma.github.io/Logging_0331/tillsyn/A 54808-2024 tillsynsbegäran.docx", "A 54808-2024")</f>
        <v/>
      </c>
      <c r="Y144">
        <f>HYPERLINK("https://klasma.github.io/Logging_0331/tillsynsmail/A 54808-2024 tillsynsbegäran mail.docx", "A 54808-2024")</f>
        <v/>
      </c>
      <c r="Z144">
        <f>HYPERLINK("https://klasma.github.io/Logging_0331/fåglar/A 54808-2024 prioriterade fågelarter.docx", "A 54808-2024")</f>
        <v/>
      </c>
    </row>
    <row r="145" ht="15" customHeight="1">
      <c r="A145" t="inlineStr">
        <is>
          <t>A 55237-2024</t>
        </is>
      </c>
      <c r="B145" s="1" t="n">
        <v>45621</v>
      </c>
      <c r="C145" s="1" t="n">
        <v>45846</v>
      </c>
      <c r="D145" t="inlineStr">
        <is>
          <t>UPPSALA LÄN</t>
        </is>
      </c>
      <c r="E145" t="inlineStr">
        <is>
          <t>HEBY</t>
        </is>
      </c>
      <c r="G145" t="n">
        <v>5.1</v>
      </c>
      <c r="H145" t="n">
        <v>2</v>
      </c>
      <c r="I145" t="n">
        <v>1</v>
      </c>
      <c r="J145" t="n">
        <v>3</v>
      </c>
      <c r="K145" t="n">
        <v>0</v>
      </c>
      <c r="L145" t="n">
        <v>0</v>
      </c>
      <c r="M145" t="n">
        <v>0</v>
      </c>
      <c r="N145" t="n">
        <v>0</v>
      </c>
      <c r="O145" t="n">
        <v>3</v>
      </c>
      <c r="P145" t="n">
        <v>0</v>
      </c>
      <c r="Q145" t="n">
        <v>6</v>
      </c>
      <c r="R145" s="2" t="inlineStr">
        <is>
          <t>Garnlav
Kolflarnlav
Motaggsvamp
Skarp dropptaggsvamp
Tjäder
Fläcknycklar</t>
        </is>
      </c>
      <c r="S145">
        <f>HYPERLINK("https://klasma.github.io/Logging_0331/artfynd/A 55237-2024 artfynd.xlsx", "A 55237-2024")</f>
        <v/>
      </c>
      <c r="T145">
        <f>HYPERLINK("https://klasma.github.io/Logging_0331/kartor/A 55237-2024 karta.png", "A 55237-2024")</f>
        <v/>
      </c>
      <c r="V145">
        <f>HYPERLINK("https://klasma.github.io/Logging_0331/klagomål/A 55237-2024 FSC-klagomål.docx", "A 55237-2024")</f>
        <v/>
      </c>
      <c r="W145">
        <f>HYPERLINK("https://klasma.github.io/Logging_0331/klagomålsmail/A 55237-2024 FSC-klagomål mail.docx", "A 55237-2024")</f>
        <v/>
      </c>
      <c r="X145">
        <f>HYPERLINK("https://klasma.github.io/Logging_0331/tillsyn/A 55237-2024 tillsynsbegäran.docx", "A 55237-2024")</f>
        <v/>
      </c>
      <c r="Y145">
        <f>HYPERLINK("https://klasma.github.io/Logging_0331/tillsynsmail/A 55237-2024 tillsynsbegäran mail.docx", "A 55237-2024")</f>
        <v/>
      </c>
      <c r="Z145">
        <f>HYPERLINK("https://klasma.github.io/Logging_0331/fåglar/A 55237-2024 prioriterade fågelarter.docx", "A 55237-2024")</f>
        <v/>
      </c>
    </row>
    <row r="146" ht="15" customHeight="1">
      <c r="A146" t="inlineStr">
        <is>
          <t>A 3949-2025</t>
        </is>
      </c>
      <c r="B146" s="1" t="n">
        <v>45684</v>
      </c>
      <c r="C146" s="1" t="n">
        <v>45846</v>
      </c>
      <c r="D146" t="inlineStr">
        <is>
          <t>UPPSALA LÄN</t>
        </is>
      </c>
      <c r="E146" t="inlineStr">
        <is>
          <t>ÄLVKARLEBY</t>
        </is>
      </c>
      <c r="G146" t="n">
        <v>5.2</v>
      </c>
      <c r="H146" t="n">
        <v>6</v>
      </c>
      <c r="I146" t="n">
        <v>2</v>
      </c>
      <c r="J146" t="n">
        <v>0</v>
      </c>
      <c r="K146" t="n">
        <v>0</v>
      </c>
      <c r="L146" t="n">
        <v>0</v>
      </c>
      <c r="M146" t="n">
        <v>0</v>
      </c>
      <c r="N146" t="n">
        <v>0</v>
      </c>
      <c r="O146" t="n">
        <v>0</v>
      </c>
      <c r="P146" t="n">
        <v>0</v>
      </c>
      <c r="Q146" t="n">
        <v>6</v>
      </c>
      <c r="R146" s="2" t="inlineStr">
        <is>
          <t>Skogsknipprot
Tvåblad
Fläcknycklar
Kärrknipprot
Nattviol
Ängsnycklar</t>
        </is>
      </c>
      <c r="S146">
        <f>HYPERLINK("https://klasma.github.io/Logging_0319/artfynd/A 3949-2025 artfynd.xlsx", "A 3949-2025")</f>
        <v/>
      </c>
      <c r="T146">
        <f>HYPERLINK("https://klasma.github.io/Logging_0319/kartor/A 3949-2025 karta.png", "A 3949-2025")</f>
        <v/>
      </c>
      <c r="V146">
        <f>HYPERLINK("https://klasma.github.io/Logging_0319/klagomål/A 3949-2025 FSC-klagomål.docx", "A 3949-2025")</f>
        <v/>
      </c>
      <c r="W146">
        <f>HYPERLINK("https://klasma.github.io/Logging_0319/klagomålsmail/A 3949-2025 FSC-klagomål mail.docx", "A 3949-2025")</f>
        <v/>
      </c>
      <c r="X146">
        <f>HYPERLINK("https://klasma.github.io/Logging_0319/tillsyn/A 3949-2025 tillsynsbegäran.docx", "A 3949-2025")</f>
        <v/>
      </c>
      <c r="Y146">
        <f>HYPERLINK("https://klasma.github.io/Logging_0319/tillsynsmail/A 3949-2025 tillsynsbegäran mail.docx", "A 3949-2025")</f>
        <v/>
      </c>
    </row>
    <row r="147" ht="15" customHeight="1">
      <c r="A147" t="inlineStr">
        <is>
          <t>A 22010-2025</t>
        </is>
      </c>
      <c r="B147" s="1" t="n">
        <v>45784</v>
      </c>
      <c r="C147" s="1" t="n">
        <v>45846</v>
      </c>
      <c r="D147" t="inlineStr">
        <is>
          <t>UPPSALA LÄN</t>
        </is>
      </c>
      <c r="E147" t="inlineStr">
        <is>
          <t>HÅBO</t>
        </is>
      </c>
      <c r="F147" t="inlineStr">
        <is>
          <t>Kyrkan</t>
        </is>
      </c>
      <c r="G147" t="n">
        <v>2.8</v>
      </c>
      <c r="H147" t="n">
        <v>1</v>
      </c>
      <c r="I147" t="n">
        <v>1</v>
      </c>
      <c r="J147" t="n">
        <v>4</v>
      </c>
      <c r="K147" t="n">
        <v>1</v>
      </c>
      <c r="L147" t="n">
        <v>0</v>
      </c>
      <c r="M147" t="n">
        <v>0</v>
      </c>
      <c r="N147" t="n">
        <v>0</v>
      </c>
      <c r="O147" t="n">
        <v>5</v>
      </c>
      <c r="P147" t="n">
        <v>1</v>
      </c>
      <c r="Q147" t="n">
        <v>6</v>
      </c>
      <c r="R147" s="2" t="inlineStr">
        <is>
          <t>Backsippa
Axveronika
Backtimjan
Flentimotej
Sminkrot
Vårärt</t>
        </is>
      </c>
      <c r="S147">
        <f>HYPERLINK("https://klasma.github.io/Logging_030305/artfynd/A 22010-2025 artfynd.xlsx", "A 22010-2025")</f>
        <v/>
      </c>
      <c r="T147">
        <f>HYPERLINK("https://klasma.github.io/Logging_030305/kartor/A 22010-2025 karta.png", "A 22010-2025")</f>
        <v/>
      </c>
      <c r="V147">
        <f>HYPERLINK("https://klasma.github.io/Logging_030305/klagomål/A 22010-2025 FSC-klagomål.docx", "A 22010-2025")</f>
        <v/>
      </c>
      <c r="W147">
        <f>HYPERLINK("https://klasma.github.io/Logging_030305/klagomålsmail/A 22010-2025 FSC-klagomål mail.docx", "A 22010-2025")</f>
        <v/>
      </c>
      <c r="X147">
        <f>HYPERLINK("https://klasma.github.io/Logging_030305/tillsyn/A 22010-2025 tillsynsbegäran.docx", "A 22010-2025")</f>
        <v/>
      </c>
      <c r="Y147">
        <f>HYPERLINK("https://klasma.github.io/Logging_030305/tillsynsmail/A 22010-2025 tillsynsbegäran mail.docx", "A 22010-2025")</f>
        <v/>
      </c>
    </row>
    <row r="148" ht="15" customHeight="1">
      <c r="A148" t="inlineStr">
        <is>
          <t>A 26681-2025</t>
        </is>
      </c>
      <c r="B148" s="1" t="n">
        <v>45810</v>
      </c>
      <c r="C148" s="1" t="n">
        <v>45846</v>
      </c>
      <c r="D148" t="inlineStr">
        <is>
          <t>UPPSALA LÄN</t>
        </is>
      </c>
      <c r="E148" t="inlineStr">
        <is>
          <t>ÄLVKARLEBY</t>
        </is>
      </c>
      <c r="F148" t="inlineStr">
        <is>
          <t>Bergvik skog väst AB</t>
        </is>
      </c>
      <c r="G148" t="n">
        <v>3.4</v>
      </c>
      <c r="H148" t="n">
        <v>4</v>
      </c>
      <c r="I148" t="n">
        <v>4</v>
      </c>
      <c r="J148" t="n">
        <v>0</v>
      </c>
      <c r="K148" t="n">
        <v>0</v>
      </c>
      <c r="L148" t="n">
        <v>1</v>
      </c>
      <c r="M148" t="n">
        <v>0</v>
      </c>
      <c r="N148" t="n">
        <v>0</v>
      </c>
      <c r="O148" t="n">
        <v>1</v>
      </c>
      <c r="P148" t="n">
        <v>1</v>
      </c>
      <c r="Q148" t="n">
        <v>6</v>
      </c>
      <c r="R148" s="2" t="inlineStr">
        <is>
          <t>Ask
Nästrot
Skogsknipprot
Tibast
Tvåblad
Gullviva</t>
        </is>
      </c>
      <c r="S148">
        <f>HYPERLINK("https://klasma.github.io/Logging_030319/artfynd/A 26681-2025 artfynd.xlsx", "A 26681-2025")</f>
        <v/>
      </c>
      <c r="T148">
        <f>HYPERLINK("https://klasma.github.io/Logging_030319/kartor/A 26681-2025 karta.png", "A 26681-2025")</f>
        <v/>
      </c>
      <c r="V148">
        <f>HYPERLINK("https://klasma.github.io/Logging_030319/klagomål/A 26681-2025 FSC-klagomål.docx", "A 26681-2025")</f>
        <v/>
      </c>
      <c r="W148">
        <f>HYPERLINK("https://klasma.github.io/Logging_030319/klagomålsmail/A 26681-2025 FSC-klagomål mail.docx", "A 26681-2025")</f>
        <v/>
      </c>
      <c r="X148">
        <f>HYPERLINK("https://klasma.github.io/Logging_030319/tillsyn/A 26681-2025 tillsynsbegäran.docx", "A 26681-2025")</f>
        <v/>
      </c>
      <c r="Y148">
        <f>HYPERLINK("https://klasma.github.io/Logging_030319/tillsynsmail/A 26681-2025 tillsynsbegäran mail.docx", "A 26681-2025")</f>
        <v/>
      </c>
    </row>
    <row r="149" ht="15" customHeight="1">
      <c r="A149" t="inlineStr">
        <is>
          <t>A 31098-2019</t>
        </is>
      </c>
      <c r="B149" s="1" t="n">
        <v>43635</v>
      </c>
      <c r="C149" s="1" t="n">
        <v>45846</v>
      </c>
      <c r="D149" t="inlineStr">
        <is>
          <t>UPPSALA LÄN</t>
        </is>
      </c>
      <c r="E149" t="inlineStr">
        <is>
          <t>ÖSTHAMMAR</t>
        </is>
      </c>
      <c r="F149" t="inlineStr">
        <is>
          <t>Övriga statliga verk och myndigheter</t>
        </is>
      </c>
      <c r="G149" t="n">
        <v>6.9</v>
      </c>
      <c r="H149" t="n">
        <v>5</v>
      </c>
      <c r="I149" t="n">
        <v>0</v>
      </c>
      <c r="J149" t="n">
        <v>5</v>
      </c>
      <c r="K149" t="n">
        <v>0</v>
      </c>
      <c r="L149" t="n">
        <v>0</v>
      </c>
      <c r="M149" t="n">
        <v>0</v>
      </c>
      <c r="N149" t="n">
        <v>0</v>
      </c>
      <c r="O149" t="n">
        <v>5</v>
      </c>
      <c r="P149" t="n">
        <v>0</v>
      </c>
      <c r="Q149" t="n">
        <v>5</v>
      </c>
      <c r="R149" s="2" t="inlineStr">
        <is>
          <t>Grönsångare
Rödvingetrast
Skrattmås
Svartvit flugsnappare
Ärtsångare</t>
        </is>
      </c>
      <c r="S149">
        <f>HYPERLINK("https://klasma.github.io/Logging_0382/artfynd/A 31098-2019 artfynd.xlsx", "A 31098-2019")</f>
        <v/>
      </c>
      <c r="T149">
        <f>HYPERLINK("https://klasma.github.io/Logging_0382/kartor/A 31098-2019 karta.png", "A 31098-2019")</f>
        <v/>
      </c>
      <c r="V149">
        <f>HYPERLINK("https://klasma.github.io/Logging_0382/klagomål/A 31098-2019 FSC-klagomål.docx", "A 31098-2019")</f>
        <v/>
      </c>
      <c r="W149">
        <f>HYPERLINK("https://klasma.github.io/Logging_0382/klagomålsmail/A 31098-2019 FSC-klagomål mail.docx", "A 31098-2019")</f>
        <v/>
      </c>
      <c r="X149">
        <f>HYPERLINK("https://klasma.github.io/Logging_0382/tillsyn/A 31098-2019 tillsynsbegäran.docx", "A 31098-2019")</f>
        <v/>
      </c>
      <c r="Y149">
        <f>HYPERLINK("https://klasma.github.io/Logging_0382/tillsynsmail/A 31098-2019 tillsynsbegäran mail.docx", "A 31098-2019")</f>
        <v/>
      </c>
      <c r="Z149">
        <f>HYPERLINK("https://klasma.github.io/Logging_0382/fåglar/A 31098-2019 prioriterade fågelarter.docx", "A 31098-2019")</f>
        <v/>
      </c>
    </row>
    <row r="150" ht="15" customHeight="1">
      <c r="A150" t="inlineStr">
        <is>
          <t>A 61354-2019</t>
        </is>
      </c>
      <c r="B150" s="1" t="n">
        <v>43783</v>
      </c>
      <c r="C150" s="1" t="n">
        <v>45846</v>
      </c>
      <c r="D150" t="inlineStr">
        <is>
          <t>UPPSALA LÄN</t>
        </is>
      </c>
      <c r="E150" t="inlineStr">
        <is>
          <t>ÄLVKARLEBY</t>
        </is>
      </c>
      <c r="F150" t="inlineStr">
        <is>
          <t>Bergvik skog väst AB</t>
        </is>
      </c>
      <c r="G150" t="n">
        <v>4.9</v>
      </c>
      <c r="H150" t="n">
        <v>4</v>
      </c>
      <c r="I150" t="n">
        <v>3</v>
      </c>
      <c r="J150" t="n">
        <v>0</v>
      </c>
      <c r="K150" t="n">
        <v>0</v>
      </c>
      <c r="L150" t="n">
        <v>0</v>
      </c>
      <c r="M150" t="n">
        <v>0</v>
      </c>
      <c r="N150" t="n">
        <v>0</v>
      </c>
      <c r="O150" t="n">
        <v>0</v>
      </c>
      <c r="P150" t="n">
        <v>0</v>
      </c>
      <c r="Q150" t="n">
        <v>5</v>
      </c>
      <c r="R150" s="2" t="inlineStr">
        <is>
          <t>Olivspindling
Skogsknipprot
Tvåblad
Dactylorhiza incarnata subsp. incarnata
Fläcknycklar</t>
        </is>
      </c>
      <c r="S150">
        <f>HYPERLINK("https://klasma.github.io/Logging_0319/artfynd/A 61354-2019 artfynd.xlsx", "A 61354-2019")</f>
        <v/>
      </c>
      <c r="T150">
        <f>HYPERLINK("https://klasma.github.io/Logging_0319/kartor/A 61354-2019 karta.png", "A 61354-2019")</f>
        <v/>
      </c>
      <c r="V150">
        <f>HYPERLINK("https://klasma.github.io/Logging_0319/klagomål/A 61354-2019 FSC-klagomål.docx", "A 61354-2019")</f>
        <v/>
      </c>
      <c r="W150">
        <f>HYPERLINK("https://klasma.github.io/Logging_0319/klagomålsmail/A 61354-2019 FSC-klagomål mail.docx", "A 61354-2019")</f>
        <v/>
      </c>
      <c r="X150">
        <f>HYPERLINK("https://klasma.github.io/Logging_0319/tillsyn/A 61354-2019 tillsynsbegäran.docx", "A 61354-2019")</f>
        <v/>
      </c>
      <c r="Y150">
        <f>HYPERLINK("https://klasma.github.io/Logging_0319/tillsynsmail/A 61354-2019 tillsynsbegäran mail.docx", "A 61354-2019")</f>
        <v/>
      </c>
    </row>
    <row r="151" ht="15" customHeight="1">
      <c r="A151" t="inlineStr">
        <is>
          <t>A 67522-2019</t>
        </is>
      </c>
      <c r="B151" s="1" t="n">
        <v>43814</v>
      </c>
      <c r="C151" s="1" t="n">
        <v>45846</v>
      </c>
      <c r="D151" t="inlineStr">
        <is>
          <t>UPPSALA LÄN</t>
        </is>
      </c>
      <c r="E151" t="inlineStr">
        <is>
          <t>UPPSALA</t>
        </is>
      </c>
      <c r="F151" t="inlineStr">
        <is>
          <t>Allmännings- och besparingsskogar</t>
        </is>
      </c>
      <c r="G151" t="n">
        <v>27.9</v>
      </c>
      <c r="H151" t="n">
        <v>0</v>
      </c>
      <c r="I151" t="n">
        <v>3</v>
      </c>
      <c r="J151" t="n">
        <v>2</v>
      </c>
      <c r="K151" t="n">
        <v>0</v>
      </c>
      <c r="L151" t="n">
        <v>0</v>
      </c>
      <c r="M151" t="n">
        <v>0</v>
      </c>
      <c r="N151" t="n">
        <v>0</v>
      </c>
      <c r="O151" t="n">
        <v>2</v>
      </c>
      <c r="P151" t="n">
        <v>0</v>
      </c>
      <c r="Q151" t="n">
        <v>5</v>
      </c>
      <c r="R151" s="2" t="inlineStr">
        <is>
          <t>Större flatbagge
Tallticka
Bronshjon
Granbarkgnagare
Jättesvampmal</t>
        </is>
      </c>
      <c r="S151">
        <f>HYPERLINK("https://klasma.github.io/Logging_0380/artfynd/A 67522-2019 artfynd.xlsx", "A 67522-2019")</f>
        <v/>
      </c>
      <c r="T151">
        <f>HYPERLINK("https://klasma.github.io/Logging_0380/kartor/A 67522-2019 karta.png", "A 67522-2019")</f>
        <v/>
      </c>
      <c r="V151">
        <f>HYPERLINK("https://klasma.github.io/Logging_0380/klagomål/A 67522-2019 FSC-klagomål.docx", "A 67522-2019")</f>
        <v/>
      </c>
      <c r="W151">
        <f>HYPERLINK("https://klasma.github.io/Logging_0380/klagomålsmail/A 67522-2019 FSC-klagomål mail.docx", "A 67522-2019")</f>
        <v/>
      </c>
      <c r="X151">
        <f>HYPERLINK("https://klasma.github.io/Logging_0380/tillsyn/A 67522-2019 tillsynsbegäran.docx", "A 67522-2019")</f>
        <v/>
      </c>
      <c r="Y151">
        <f>HYPERLINK("https://klasma.github.io/Logging_0380/tillsynsmail/A 67522-2019 tillsynsbegäran mail.docx", "A 67522-2019")</f>
        <v/>
      </c>
    </row>
    <row r="152" ht="15" customHeight="1">
      <c r="A152" t="inlineStr">
        <is>
          <t>A 5673-2020</t>
        </is>
      </c>
      <c r="B152" s="1" t="n">
        <v>43861</v>
      </c>
      <c r="C152" s="1" t="n">
        <v>45846</v>
      </c>
      <c r="D152" t="inlineStr">
        <is>
          <t>UPPSALA LÄN</t>
        </is>
      </c>
      <c r="E152" t="inlineStr">
        <is>
          <t>UPPSALA</t>
        </is>
      </c>
      <c r="G152" t="n">
        <v>1.2</v>
      </c>
      <c r="H152" t="n">
        <v>1</v>
      </c>
      <c r="I152" t="n">
        <v>4</v>
      </c>
      <c r="J152" t="n">
        <v>0</v>
      </c>
      <c r="K152" t="n">
        <v>0</v>
      </c>
      <c r="L152" t="n">
        <v>0</v>
      </c>
      <c r="M152" t="n">
        <v>0</v>
      </c>
      <c r="N152" t="n">
        <v>0</v>
      </c>
      <c r="O152" t="n">
        <v>0</v>
      </c>
      <c r="P152" t="n">
        <v>0</v>
      </c>
      <c r="Q152" t="n">
        <v>5</v>
      </c>
      <c r="R152" s="2" t="inlineStr">
        <is>
          <t>Hasselticka
Platt fjädermossa
Trubbfjädermossa
Vedticka
Blåsippa</t>
        </is>
      </c>
      <c r="S152">
        <f>HYPERLINK("https://klasma.github.io/Logging_0380/artfynd/A 5673-2020 artfynd.xlsx", "A 5673-2020")</f>
        <v/>
      </c>
      <c r="T152">
        <f>HYPERLINK("https://klasma.github.io/Logging_0380/kartor/A 5673-2020 karta.png", "A 5673-2020")</f>
        <v/>
      </c>
      <c r="V152">
        <f>HYPERLINK("https://klasma.github.io/Logging_0380/klagomål/A 5673-2020 FSC-klagomål.docx", "A 5673-2020")</f>
        <v/>
      </c>
      <c r="W152">
        <f>HYPERLINK("https://klasma.github.io/Logging_0380/klagomålsmail/A 5673-2020 FSC-klagomål mail.docx", "A 5673-2020")</f>
        <v/>
      </c>
      <c r="X152">
        <f>HYPERLINK("https://klasma.github.io/Logging_0380/tillsyn/A 5673-2020 tillsynsbegäran.docx", "A 5673-2020")</f>
        <v/>
      </c>
      <c r="Y152">
        <f>HYPERLINK("https://klasma.github.io/Logging_0380/tillsynsmail/A 5673-2020 tillsynsbegäran mail.docx", "A 5673-2020")</f>
        <v/>
      </c>
    </row>
    <row r="153" ht="15" customHeight="1">
      <c r="A153" t="inlineStr">
        <is>
          <t>A 33096-2020</t>
        </is>
      </c>
      <c r="B153" s="1" t="n">
        <v>44021</v>
      </c>
      <c r="C153" s="1" t="n">
        <v>45846</v>
      </c>
      <c r="D153" t="inlineStr">
        <is>
          <t>UPPSALA LÄN</t>
        </is>
      </c>
      <c r="E153" t="inlineStr">
        <is>
          <t>ÖSTHAMMAR</t>
        </is>
      </c>
      <c r="G153" t="n">
        <v>1.9</v>
      </c>
      <c r="H153" t="n">
        <v>2</v>
      </c>
      <c r="I153" t="n">
        <v>1</v>
      </c>
      <c r="J153" t="n">
        <v>3</v>
      </c>
      <c r="K153" t="n">
        <v>1</v>
      </c>
      <c r="L153" t="n">
        <v>0</v>
      </c>
      <c r="M153" t="n">
        <v>0</v>
      </c>
      <c r="N153" t="n">
        <v>0</v>
      </c>
      <c r="O153" t="n">
        <v>4</v>
      </c>
      <c r="P153" t="n">
        <v>1</v>
      </c>
      <c r="Q153" t="n">
        <v>5</v>
      </c>
      <c r="R153" s="2" t="inlineStr">
        <is>
          <t>Knärot
Dofttaggsvamp
Gultoppig fingersvamp
Orange taggsvamp
Skogsknipprot</t>
        </is>
      </c>
      <c r="S153">
        <f>HYPERLINK("https://klasma.github.io/Logging_0382/artfynd/A 33096-2020 artfynd.xlsx", "A 33096-2020")</f>
        <v/>
      </c>
      <c r="T153">
        <f>HYPERLINK("https://klasma.github.io/Logging_0382/kartor/A 33096-2020 karta.png", "A 33096-2020")</f>
        <v/>
      </c>
      <c r="U153">
        <f>HYPERLINK("https://klasma.github.io/Logging_0382/knärot/A 33096-2020 karta knärot.png", "A 33096-2020")</f>
        <v/>
      </c>
      <c r="V153">
        <f>HYPERLINK("https://klasma.github.io/Logging_0382/klagomål/A 33096-2020 FSC-klagomål.docx", "A 33096-2020")</f>
        <v/>
      </c>
      <c r="W153">
        <f>HYPERLINK("https://klasma.github.io/Logging_0382/klagomålsmail/A 33096-2020 FSC-klagomål mail.docx", "A 33096-2020")</f>
        <v/>
      </c>
      <c r="X153">
        <f>HYPERLINK("https://klasma.github.io/Logging_0382/tillsyn/A 33096-2020 tillsynsbegäran.docx", "A 33096-2020")</f>
        <v/>
      </c>
      <c r="Y153">
        <f>HYPERLINK("https://klasma.github.io/Logging_0382/tillsynsmail/A 33096-2020 tillsynsbegäran mail.docx", "A 33096-2020")</f>
        <v/>
      </c>
    </row>
    <row r="154" ht="15" customHeight="1">
      <c r="A154" t="inlineStr">
        <is>
          <t>A 27389-2021</t>
        </is>
      </c>
      <c r="B154" s="1" t="n">
        <v>44351</v>
      </c>
      <c r="C154" s="1" t="n">
        <v>45846</v>
      </c>
      <c r="D154" t="inlineStr">
        <is>
          <t>UPPSALA LÄN</t>
        </is>
      </c>
      <c r="E154" t="inlineStr">
        <is>
          <t>UPPSALA</t>
        </is>
      </c>
      <c r="G154" t="n">
        <v>2.9</v>
      </c>
      <c r="H154" t="n">
        <v>1</v>
      </c>
      <c r="I154" t="n">
        <v>2</v>
      </c>
      <c r="J154" t="n">
        <v>2</v>
      </c>
      <c r="K154" t="n">
        <v>1</v>
      </c>
      <c r="L154" t="n">
        <v>0</v>
      </c>
      <c r="M154" t="n">
        <v>0</v>
      </c>
      <c r="N154" t="n">
        <v>0</v>
      </c>
      <c r="O154" t="n">
        <v>3</v>
      </c>
      <c r="P154" t="n">
        <v>1</v>
      </c>
      <c r="Q154" t="n">
        <v>5</v>
      </c>
      <c r="R154" s="2" t="inlineStr">
        <is>
          <t>Knärot
Rutskinn
Vedtrappmossa
Terpentinmossa
Vedticka</t>
        </is>
      </c>
      <c r="S154">
        <f>HYPERLINK("https://klasma.github.io/Logging_0380/artfynd/A 27389-2021 artfynd.xlsx", "A 27389-2021")</f>
        <v/>
      </c>
      <c r="T154">
        <f>HYPERLINK("https://klasma.github.io/Logging_0380/kartor/A 27389-2021 karta.png", "A 27389-2021")</f>
        <v/>
      </c>
      <c r="U154">
        <f>HYPERLINK("https://klasma.github.io/Logging_0380/knärot/A 27389-2021 karta knärot.png", "A 27389-2021")</f>
        <v/>
      </c>
      <c r="V154">
        <f>HYPERLINK("https://klasma.github.io/Logging_0380/klagomål/A 27389-2021 FSC-klagomål.docx", "A 27389-2021")</f>
        <v/>
      </c>
      <c r="W154">
        <f>HYPERLINK("https://klasma.github.io/Logging_0380/klagomålsmail/A 27389-2021 FSC-klagomål mail.docx", "A 27389-2021")</f>
        <v/>
      </c>
      <c r="X154">
        <f>HYPERLINK("https://klasma.github.io/Logging_0380/tillsyn/A 27389-2021 tillsynsbegäran.docx", "A 27389-2021")</f>
        <v/>
      </c>
      <c r="Y154">
        <f>HYPERLINK("https://klasma.github.io/Logging_0380/tillsynsmail/A 27389-2021 tillsynsbegäran mail.docx", "A 27389-2021")</f>
        <v/>
      </c>
    </row>
    <row r="155" ht="15" customHeight="1">
      <c r="A155" t="inlineStr">
        <is>
          <t>A 58656-2021</t>
        </is>
      </c>
      <c r="B155" s="1" t="n">
        <v>44489</v>
      </c>
      <c r="C155" s="1" t="n">
        <v>45846</v>
      </c>
      <c r="D155" t="inlineStr">
        <is>
          <t>UPPSALA LÄN</t>
        </is>
      </c>
      <c r="E155" t="inlineStr">
        <is>
          <t>HEBY</t>
        </is>
      </c>
      <c r="F155" t="inlineStr">
        <is>
          <t>Övriga Aktiebolag</t>
        </is>
      </c>
      <c r="G155" t="n">
        <v>3.4</v>
      </c>
      <c r="H155" t="n">
        <v>2</v>
      </c>
      <c r="I155" t="n">
        <v>2</v>
      </c>
      <c r="J155" t="n">
        <v>1</v>
      </c>
      <c r="K155" t="n">
        <v>0</v>
      </c>
      <c r="L155" t="n">
        <v>0</v>
      </c>
      <c r="M155" t="n">
        <v>0</v>
      </c>
      <c r="N155" t="n">
        <v>0</v>
      </c>
      <c r="O155" t="n">
        <v>1</v>
      </c>
      <c r="P155" t="n">
        <v>0</v>
      </c>
      <c r="Q155" t="n">
        <v>5</v>
      </c>
      <c r="R155" s="2" t="inlineStr">
        <is>
          <t>Ullticka
Bronshjon
Thomsons trägnagare
Käppkrokmossa
Blåsippa</t>
        </is>
      </c>
      <c r="S155">
        <f>HYPERLINK("https://klasma.github.io/Logging_0331/artfynd/A 58656-2021 artfynd.xlsx", "A 58656-2021")</f>
        <v/>
      </c>
      <c r="T155">
        <f>HYPERLINK("https://klasma.github.io/Logging_0331/kartor/A 58656-2021 karta.png", "A 58656-2021")</f>
        <v/>
      </c>
      <c r="V155">
        <f>HYPERLINK("https://klasma.github.io/Logging_0331/klagomål/A 58656-2021 FSC-klagomål.docx", "A 58656-2021")</f>
        <v/>
      </c>
      <c r="W155">
        <f>HYPERLINK("https://klasma.github.io/Logging_0331/klagomålsmail/A 58656-2021 FSC-klagomål mail.docx", "A 58656-2021")</f>
        <v/>
      </c>
      <c r="X155">
        <f>HYPERLINK("https://klasma.github.io/Logging_0331/tillsyn/A 58656-2021 tillsynsbegäran.docx", "A 58656-2021")</f>
        <v/>
      </c>
      <c r="Y155">
        <f>HYPERLINK("https://klasma.github.io/Logging_0331/tillsynsmail/A 58656-2021 tillsynsbegäran mail.docx", "A 58656-2021")</f>
        <v/>
      </c>
    </row>
    <row r="156" ht="15" customHeight="1">
      <c r="A156" t="inlineStr">
        <is>
          <t>A 61388-2021</t>
        </is>
      </c>
      <c r="B156" s="1" t="n">
        <v>44500</v>
      </c>
      <c r="C156" s="1" t="n">
        <v>45846</v>
      </c>
      <c r="D156" t="inlineStr">
        <is>
          <t>UPPSALA LÄN</t>
        </is>
      </c>
      <c r="E156" t="inlineStr">
        <is>
          <t>UPPSALA</t>
        </is>
      </c>
      <c r="G156" t="n">
        <v>4.8</v>
      </c>
      <c r="H156" t="n">
        <v>0</v>
      </c>
      <c r="I156" t="n">
        <v>4</v>
      </c>
      <c r="J156" t="n">
        <v>1</v>
      </c>
      <c r="K156" t="n">
        <v>0</v>
      </c>
      <c r="L156" t="n">
        <v>0</v>
      </c>
      <c r="M156" t="n">
        <v>0</v>
      </c>
      <c r="N156" t="n">
        <v>0</v>
      </c>
      <c r="O156" t="n">
        <v>1</v>
      </c>
      <c r="P156" t="n">
        <v>0</v>
      </c>
      <c r="Q156" t="n">
        <v>5</v>
      </c>
      <c r="R156" s="2" t="inlineStr">
        <is>
          <t>Skogshare
Björksplintborre
Bronshjon
Jättesvampmal
Thomsons trägnagare</t>
        </is>
      </c>
      <c r="S156">
        <f>HYPERLINK("https://klasma.github.io/Logging_0380/artfynd/A 61388-2021 artfynd.xlsx", "A 61388-2021")</f>
        <v/>
      </c>
      <c r="T156">
        <f>HYPERLINK("https://klasma.github.io/Logging_0380/kartor/A 61388-2021 karta.png", "A 61388-2021")</f>
        <v/>
      </c>
      <c r="U156">
        <f>HYPERLINK("https://klasma.github.io/Logging_0380/knärot/A 61388-2021 karta knärot.png", "A 61388-2021")</f>
        <v/>
      </c>
      <c r="V156">
        <f>HYPERLINK("https://klasma.github.io/Logging_0380/klagomål/A 61388-2021 FSC-klagomål.docx", "A 61388-2021")</f>
        <v/>
      </c>
      <c r="W156">
        <f>HYPERLINK("https://klasma.github.io/Logging_0380/klagomålsmail/A 61388-2021 FSC-klagomål mail.docx", "A 61388-2021")</f>
        <v/>
      </c>
      <c r="X156">
        <f>HYPERLINK("https://klasma.github.io/Logging_0380/tillsyn/A 61388-2021 tillsynsbegäran.docx", "A 61388-2021")</f>
        <v/>
      </c>
      <c r="Y156">
        <f>HYPERLINK("https://klasma.github.io/Logging_0380/tillsynsmail/A 61388-2021 tillsynsbegäran mail.docx", "A 61388-2021")</f>
        <v/>
      </c>
    </row>
    <row r="157" ht="15" customHeight="1">
      <c r="A157" t="inlineStr">
        <is>
          <t>A 64564-2021</t>
        </is>
      </c>
      <c r="B157" s="1" t="n">
        <v>44511</v>
      </c>
      <c r="C157" s="1" t="n">
        <v>45846</v>
      </c>
      <c r="D157" t="inlineStr">
        <is>
          <t>UPPSALA LÄN</t>
        </is>
      </c>
      <c r="E157" t="inlineStr">
        <is>
          <t>ÖSTHAMMAR</t>
        </is>
      </c>
      <c r="G157" t="n">
        <v>7.2</v>
      </c>
      <c r="H157" t="n">
        <v>1</v>
      </c>
      <c r="I157" t="n">
        <v>2</v>
      </c>
      <c r="J157" t="n">
        <v>1</v>
      </c>
      <c r="K157" t="n">
        <v>1</v>
      </c>
      <c r="L157" t="n">
        <v>0</v>
      </c>
      <c r="M157" t="n">
        <v>0</v>
      </c>
      <c r="N157" t="n">
        <v>0</v>
      </c>
      <c r="O157" t="n">
        <v>2</v>
      </c>
      <c r="P157" t="n">
        <v>1</v>
      </c>
      <c r="Q157" t="n">
        <v>5</v>
      </c>
      <c r="R157" s="2" t="inlineStr">
        <is>
          <t>Violgubbe
Gultoppig fingersvamp
Kalktallört
Rödgul trumpetsvamp
Tjäder</t>
        </is>
      </c>
      <c r="S157">
        <f>HYPERLINK("https://klasma.github.io/Logging_0382/artfynd/A 64564-2021 artfynd.xlsx", "A 64564-2021")</f>
        <v/>
      </c>
      <c r="T157">
        <f>HYPERLINK("https://klasma.github.io/Logging_0382/kartor/A 64564-2021 karta.png", "A 64564-2021")</f>
        <v/>
      </c>
      <c r="V157">
        <f>HYPERLINK("https://klasma.github.io/Logging_0382/klagomål/A 64564-2021 FSC-klagomål.docx", "A 64564-2021")</f>
        <v/>
      </c>
      <c r="W157">
        <f>HYPERLINK("https://klasma.github.io/Logging_0382/klagomålsmail/A 64564-2021 FSC-klagomål mail.docx", "A 64564-2021")</f>
        <v/>
      </c>
      <c r="X157">
        <f>HYPERLINK("https://klasma.github.io/Logging_0382/tillsyn/A 64564-2021 tillsynsbegäran.docx", "A 64564-2021")</f>
        <v/>
      </c>
      <c r="Y157">
        <f>HYPERLINK("https://klasma.github.io/Logging_0382/tillsynsmail/A 64564-2021 tillsynsbegäran mail.docx", "A 64564-2021")</f>
        <v/>
      </c>
      <c r="Z157">
        <f>HYPERLINK("https://klasma.github.io/Logging_0382/fåglar/A 64564-2021 prioriterade fågelarter.docx", "A 64564-2021")</f>
        <v/>
      </c>
    </row>
    <row r="158" ht="15" customHeight="1">
      <c r="A158" t="inlineStr">
        <is>
          <t>A 72667-2021</t>
        </is>
      </c>
      <c r="B158" s="1" t="n">
        <v>44546</v>
      </c>
      <c r="C158" s="1" t="n">
        <v>45846</v>
      </c>
      <c r="D158" t="inlineStr">
        <is>
          <t>UPPSALA LÄN</t>
        </is>
      </c>
      <c r="E158" t="inlineStr">
        <is>
          <t>ÖSTHAMMAR</t>
        </is>
      </c>
      <c r="G158" t="n">
        <v>1.2</v>
      </c>
      <c r="H158" t="n">
        <v>0</v>
      </c>
      <c r="I158" t="n">
        <v>4</v>
      </c>
      <c r="J158" t="n">
        <v>0</v>
      </c>
      <c r="K158" t="n">
        <v>1</v>
      </c>
      <c r="L158" t="n">
        <v>0</v>
      </c>
      <c r="M158" t="n">
        <v>0</v>
      </c>
      <c r="N158" t="n">
        <v>0</v>
      </c>
      <c r="O158" t="n">
        <v>1</v>
      </c>
      <c r="P158" t="n">
        <v>1</v>
      </c>
      <c r="Q158" t="n">
        <v>5</v>
      </c>
      <c r="R158" s="2" t="inlineStr">
        <is>
          <t>Duvspindling
Anisspindling
Olivspindling
Strimspindling
Svavelriska</t>
        </is>
      </c>
      <c r="S158">
        <f>HYPERLINK("https://klasma.github.io/Logging_0382/artfynd/A 72667-2021 artfynd.xlsx", "A 72667-2021")</f>
        <v/>
      </c>
      <c r="T158">
        <f>HYPERLINK("https://klasma.github.io/Logging_0382/kartor/A 72667-2021 karta.png", "A 72667-2021")</f>
        <v/>
      </c>
      <c r="V158">
        <f>HYPERLINK("https://klasma.github.io/Logging_0382/klagomål/A 72667-2021 FSC-klagomål.docx", "A 72667-2021")</f>
        <v/>
      </c>
      <c r="W158">
        <f>HYPERLINK("https://klasma.github.io/Logging_0382/klagomålsmail/A 72667-2021 FSC-klagomål mail.docx", "A 72667-2021")</f>
        <v/>
      </c>
      <c r="X158">
        <f>HYPERLINK("https://klasma.github.io/Logging_0382/tillsyn/A 72667-2021 tillsynsbegäran.docx", "A 72667-2021")</f>
        <v/>
      </c>
      <c r="Y158">
        <f>HYPERLINK("https://klasma.github.io/Logging_0382/tillsynsmail/A 72667-2021 tillsynsbegäran mail.docx", "A 72667-2021")</f>
        <v/>
      </c>
    </row>
    <row r="159" ht="15" customHeight="1">
      <c r="A159" t="inlineStr">
        <is>
          <t>A 1224-2022</t>
        </is>
      </c>
      <c r="B159" s="1" t="n">
        <v>44572</v>
      </c>
      <c r="C159" s="1" t="n">
        <v>45846</v>
      </c>
      <c r="D159" t="inlineStr">
        <is>
          <t>UPPSALA LÄN</t>
        </is>
      </c>
      <c r="E159" t="inlineStr">
        <is>
          <t>ÖSTHAMMAR</t>
        </is>
      </c>
      <c r="G159" t="n">
        <v>4.7</v>
      </c>
      <c r="H159" t="n">
        <v>2</v>
      </c>
      <c r="I159" t="n">
        <v>4</v>
      </c>
      <c r="J159" t="n">
        <v>0</v>
      </c>
      <c r="K159" t="n">
        <v>0</v>
      </c>
      <c r="L159" t="n">
        <v>0</v>
      </c>
      <c r="M159" t="n">
        <v>0</v>
      </c>
      <c r="N159" t="n">
        <v>0</v>
      </c>
      <c r="O159" t="n">
        <v>0</v>
      </c>
      <c r="P159" t="n">
        <v>0</v>
      </c>
      <c r="Q159" t="n">
        <v>5</v>
      </c>
      <c r="R159" s="2" t="inlineStr">
        <is>
          <t>Skogsknipprot
Svavelriska
Trubbfjädermossa
Vårärt
Blåsippa</t>
        </is>
      </c>
      <c r="S159">
        <f>HYPERLINK("https://klasma.github.io/Logging_0382/artfynd/A 1224-2022 artfynd.xlsx", "A 1224-2022")</f>
        <v/>
      </c>
      <c r="T159">
        <f>HYPERLINK("https://klasma.github.io/Logging_0382/kartor/A 1224-2022 karta.png", "A 1224-2022")</f>
        <v/>
      </c>
      <c r="V159">
        <f>HYPERLINK("https://klasma.github.io/Logging_0382/klagomål/A 1224-2022 FSC-klagomål.docx", "A 1224-2022")</f>
        <v/>
      </c>
      <c r="W159">
        <f>HYPERLINK("https://klasma.github.io/Logging_0382/klagomålsmail/A 1224-2022 FSC-klagomål mail.docx", "A 1224-2022")</f>
        <v/>
      </c>
      <c r="X159">
        <f>HYPERLINK("https://klasma.github.io/Logging_0382/tillsyn/A 1224-2022 tillsynsbegäran.docx", "A 1224-2022")</f>
        <v/>
      </c>
      <c r="Y159">
        <f>HYPERLINK("https://klasma.github.io/Logging_0382/tillsynsmail/A 1224-2022 tillsynsbegäran mail.docx", "A 1224-2022")</f>
        <v/>
      </c>
    </row>
    <row r="160" ht="15" customHeight="1">
      <c r="A160" t="inlineStr">
        <is>
          <t>A 1725-2022</t>
        </is>
      </c>
      <c r="B160" s="1" t="n">
        <v>44574</v>
      </c>
      <c r="C160" s="1" t="n">
        <v>45846</v>
      </c>
      <c r="D160" t="inlineStr">
        <is>
          <t>UPPSALA LÄN</t>
        </is>
      </c>
      <c r="E160" t="inlineStr">
        <is>
          <t>UPPSALA</t>
        </is>
      </c>
      <c r="G160" t="n">
        <v>6.1</v>
      </c>
      <c r="H160" t="n">
        <v>1</v>
      </c>
      <c r="I160" t="n">
        <v>4</v>
      </c>
      <c r="J160" t="n">
        <v>1</v>
      </c>
      <c r="K160" t="n">
        <v>0</v>
      </c>
      <c r="L160" t="n">
        <v>0</v>
      </c>
      <c r="M160" t="n">
        <v>0</v>
      </c>
      <c r="N160" t="n">
        <v>0</v>
      </c>
      <c r="O160" t="n">
        <v>1</v>
      </c>
      <c r="P160" t="n">
        <v>0</v>
      </c>
      <c r="Q160" t="n">
        <v>5</v>
      </c>
      <c r="R160" s="2" t="inlineStr">
        <is>
          <t>Järpe
Fjällig taggsvamp s.str.
Fällmossa
Platt fjädermossa
Stubbspretmossa</t>
        </is>
      </c>
      <c r="S160">
        <f>HYPERLINK("https://klasma.github.io/Logging_0380/artfynd/A 1725-2022 artfynd.xlsx", "A 1725-2022")</f>
        <v/>
      </c>
      <c r="T160">
        <f>HYPERLINK("https://klasma.github.io/Logging_0380/kartor/A 1725-2022 karta.png", "A 1725-2022")</f>
        <v/>
      </c>
      <c r="V160">
        <f>HYPERLINK("https://klasma.github.io/Logging_0380/klagomål/A 1725-2022 FSC-klagomål.docx", "A 1725-2022")</f>
        <v/>
      </c>
      <c r="W160">
        <f>HYPERLINK("https://klasma.github.io/Logging_0380/klagomålsmail/A 1725-2022 FSC-klagomål mail.docx", "A 1725-2022")</f>
        <v/>
      </c>
      <c r="X160">
        <f>HYPERLINK("https://klasma.github.io/Logging_0380/tillsyn/A 1725-2022 tillsynsbegäran.docx", "A 1725-2022")</f>
        <v/>
      </c>
      <c r="Y160">
        <f>HYPERLINK("https://klasma.github.io/Logging_0380/tillsynsmail/A 1725-2022 tillsynsbegäran mail.docx", "A 1725-2022")</f>
        <v/>
      </c>
      <c r="Z160">
        <f>HYPERLINK("https://klasma.github.io/Logging_0380/fåglar/A 1725-2022 prioriterade fågelarter.docx", "A 1725-2022")</f>
        <v/>
      </c>
    </row>
    <row r="161" ht="15" customHeight="1">
      <c r="A161" t="inlineStr">
        <is>
          <t>A 1988-2022</t>
        </is>
      </c>
      <c r="B161" s="1" t="n">
        <v>44575</v>
      </c>
      <c r="C161" s="1" t="n">
        <v>45846</v>
      </c>
      <c r="D161" t="inlineStr">
        <is>
          <t>UPPSALA LÄN</t>
        </is>
      </c>
      <c r="E161" t="inlineStr">
        <is>
          <t>ENKÖPING</t>
        </is>
      </c>
      <c r="G161" t="n">
        <v>5.7</v>
      </c>
      <c r="H161" t="n">
        <v>0</v>
      </c>
      <c r="I161" t="n">
        <v>1</v>
      </c>
      <c r="J161" t="n">
        <v>2</v>
      </c>
      <c r="K161" t="n">
        <v>0</v>
      </c>
      <c r="L161" t="n">
        <v>1</v>
      </c>
      <c r="M161" t="n">
        <v>1</v>
      </c>
      <c r="N161" t="n">
        <v>0</v>
      </c>
      <c r="O161" t="n">
        <v>4</v>
      </c>
      <c r="P161" t="n">
        <v>2</v>
      </c>
      <c r="Q161" t="n">
        <v>5</v>
      </c>
      <c r="R161" s="2" t="inlineStr">
        <is>
          <t>Skogsalm
Ask
Fyrflikig jordstjärna
Ängsskära
Svart trolldruva</t>
        </is>
      </c>
      <c r="S161">
        <f>HYPERLINK("https://klasma.github.io/Logging_0381/artfynd/A 1988-2022 artfynd.xlsx", "A 1988-2022")</f>
        <v/>
      </c>
      <c r="T161">
        <f>HYPERLINK("https://klasma.github.io/Logging_0381/kartor/A 1988-2022 karta.png", "A 1988-2022")</f>
        <v/>
      </c>
      <c r="V161">
        <f>HYPERLINK("https://klasma.github.io/Logging_0381/klagomål/A 1988-2022 FSC-klagomål.docx", "A 1988-2022")</f>
        <v/>
      </c>
      <c r="W161">
        <f>HYPERLINK("https://klasma.github.io/Logging_0381/klagomålsmail/A 1988-2022 FSC-klagomål mail.docx", "A 1988-2022")</f>
        <v/>
      </c>
      <c r="X161">
        <f>HYPERLINK("https://klasma.github.io/Logging_0381/tillsyn/A 1988-2022 tillsynsbegäran.docx", "A 1988-2022")</f>
        <v/>
      </c>
      <c r="Y161">
        <f>HYPERLINK("https://klasma.github.io/Logging_0381/tillsynsmail/A 1988-2022 tillsynsbegäran mail.docx", "A 1988-2022")</f>
        <v/>
      </c>
    </row>
    <row r="162" ht="15" customHeight="1">
      <c r="A162" t="inlineStr">
        <is>
          <t>A 8753-2022</t>
        </is>
      </c>
      <c r="B162" s="1" t="n">
        <v>44614</v>
      </c>
      <c r="C162" s="1" t="n">
        <v>45846</v>
      </c>
      <c r="D162" t="inlineStr">
        <is>
          <t>UPPSALA LÄN</t>
        </is>
      </c>
      <c r="E162" t="inlineStr">
        <is>
          <t>ÖSTHAMMAR</t>
        </is>
      </c>
      <c r="G162" t="n">
        <v>5.3</v>
      </c>
      <c r="H162" t="n">
        <v>0</v>
      </c>
      <c r="I162" t="n">
        <v>3</v>
      </c>
      <c r="J162" t="n">
        <v>0</v>
      </c>
      <c r="K162" t="n">
        <v>2</v>
      </c>
      <c r="L162" t="n">
        <v>0</v>
      </c>
      <c r="M162" t="n">
        <v>0</v>
      </c>
      <c r="N162" t="n">
        <v>0</v>
      </c>
      <c r="O162" t="n">
        <v>2</v>
      </c>
      <c r="P162" t="n">
        <v>2</v>
      </c>
      <c r="Q162" t="n">
        <v>5</v>
      </c>
      <c r="R162" s="2" t="inlineStr">
        <is>
          <t>Gyllenspindling
Spricktaggsvamp
Olivspindling
Skarp dropptaggsvamp
Svavelriska</t>
        </is>
      </c>
      <c r="S162">
        <f>HYPERLINK("https://klasma.github.io/Logging_0382/artfynd/A 8753-2022 artfynd.xlsx", "A 8753-2022")</f>
        <v/>
      </c>
      <c r="T162">
        <f>HYPERLINK("https://klasma.github.io/Logging_0382/kartor/A 8753-2022 karta.png", "A 8753-2022")</f>
        <v/>
      </c>
      <c r="V162">
        <f>HYPERLINK("https://klasma.github.io/Logging_0382/klagomål/A 8753-2022 FSC-klagomål.docx", "A 8753-2022")</f>
        <v/>
      </c>
      <c r="W162">
        <f>HYPERLINK("https://klasma.github.io/Logging_0382/klagomålsmail/A 8753-2022 FSC-klagomål mail.docx", "A 8753-2022")</f>
        <v/>
      </c>
      <c r="X162">
        <f>HYPERLINK("https://klasma.github.io/Logging_0382/tillsyn/A 8753-2022 tillsynsbegäran.docx", "A 8753-2022")</f>
        <v/>
      </c>
      <c r="Y162">
        <f>HYPERLINK("https://klasma.github.io/Logging_0382/tillsynsmail/A 8753-2022 tillsynsbegäran mail.docx", "A 8753-2022")</f>
        <v/>
      </c>
    </row>
    <row r="163" ht="15" customHeight="1">
      <c r="A163" t="inlineStr">
        <is>
          <t>A 15556-2022</t>
        </is>
      </c>
      <c r="B163" s="1" t="n">
        <v>44662</v>
      </c>
      <c r="C163" s="1" t="n">
        <v>45846</v>
      </c>
      <c r="D163" t="inlineStr">
        <is>
          <t>UPPSALA LÄN</t>
        </is>
      </c>
      <c r="E163" t="inlineStr">
        <is>
          <t>ÖSTHAMMAR</t>
        </is>
      </c>
      <c r="G163" t="n">
        <v>9.9</v>
      </c>
      <c r="H163" t="n">
        <v>1</v>
      </c>
      <c r="I163" t="n">
        <v>4</v>
      </c>
      <c r="J163" t="n">
        <v>1</v>
      </c>
      <c r="K163" t="n">
        <v>0</v>
      </c>
      <c r="L163" t="n">
        <v>0</v>
      </c>
      <c r="M163" t="n">
        <v>0</v>
      </c>
      <c r="N163" t="n">
        <v>0</v>
      </c>
      <c r="O163" t="n">
        <v>1</v>
      </c>
      <c r="P163" t="n">
        <v>0</v>
      </c>
      <c r="Q163" t="n">
        <v>5</v>
      </c>
      <c r="R163" s="2" t="inlineStr">
        <is>
          <t>Tallticka
Hasselticka
Skogsknipprot
Svart trolldruva
Tibast</t>
        </is>
      </c>
      <c r="S163">
        <f>HYPERLINK("https://klasma.github.io/Logging_0382/artfynd/A 15556-2022 artfynd.xlsx", "A 15556-2022")</f>
        <v/>
      </c>
      <c r="T163">
        <f>HYPERLINK("https://klasma.github.io/Logging_0382/kartor/A 15556-2022 karta.png", "A 15556-2022")</f>
        <v/>
      </c>
      <c r="V163">
        <f>HYPERLINK("https://klasma.github.io/Logging_0382/klagomål/A 15556-2022 FSC-klagomål.docx", "A 15556-2022")</f>
        <v/>
      </c>
      <c r="W163">
        <f>HYPERLINK("https://klasma.github.io/Logging_0382/klagomålsmail/A 15556-2022 FSC-klagomål mail.docx", "A 15556-2022")</f>
        <v/>
      </c>
      <c r="X163">
        <f>HYPERLINK("https://klasma.github.io/Logging_0382/tillsyn/A 15556-2022 tillsynsbegäran.docx", "A 15556-2022")</f>
        <v/>
      </c>
      <c r="Y163">
        <f>HYPERLINK("https://klasma.github.io/Logging_0382/tillsynsmail/A 15556-2022 tillsynsbegäran mail.docx", "A 15556-2022")</f>
        <v/>
      </c>
    </row>
    <row r="164" ht="15" customHeight="1">
      <c r="A164" t="inlineStr">
        <is>
          <t>A 24563-2022</t>
        </is>
      </c>
      <c r="B164" s="1" t="n">
        <v>44727</v>
      </c>
      <c r="C164" s="1" t="n">
        <v>45846</v>
      </c>
      <c r="D164" t="inlineStr">
        <is>
          <t>UPPSALA LÄN</t>
        </is>
      </c>
      <c r="E164" t="inlineStr">
        <is>
          <t>ÖSTHAMMAR</t>
        </is>
      </c>
      <c r="G164" t="n">
        <v>7.4</v>
      </c>
      <c r="H164" t="n">
        <v>0</v>
      </c>
      <c r="I164" t="n">
        <v>3</v>
      </c>
      <c r="J164" t="n">
        <v>0</v>
      </c>
      <c r="K164" t="n">
        <v>2</v>
      </c>
      <c r="L164" t="n">
        <v>0</v>
      </c>
      <c r="M164" t="n">
        <v>0</v>
      </c>
      <c r="N164" t="n">
        <v>0</v>
      </c>
      <c r="O164" t="n">
        <v>2</v>
      </c>
      <c r="P164" t="n">
        <v>2</v>
      </c>
      <c r="Q164" t="n">
        <v>5</v>
      </c>
      <c r="R164" s="2" t="inlineStr">
        <is>
          <t>Gul lammticka
Koppartaggsvamp
Kamjordstjärna
Olivspindling
Rödgul trumpetsvamp</t>
        </is>
      </c>
      <c r="S164">
        <f>HYPERLINK("https://klasma.github.io/Logging_0382/artfynd/A 24563-2022 artfynd.xlsx", "A 24563-2022")</f>
        <v/>
      </c>
      <c r="T164">
        <f>HYPERLINK("https://klasma.github.io/Logging_0382/kartor/A 24563-2022 karta.png", "A 24563-2022")</f>
        <v/>
      </c>
      <c r="V164">
        <f>HYPERLINK("https://klasma.github.io/Logging_0382/klagomål/A 24563-2022 FSC-klagomål.docx", "A 24563-2022")</f>
        <v/>
      </c>
      <c r="W164">
        <f>HYPERLINK("https://klasma.github.io/Logging_0382/klagomålsmail/A 24563-2022 FSC-klagomål mail.docx", "A 24563-2022")</f>
        <v/>
      </c>
      <c r="X164">
        <f>HYPERLINK("https://klasma.github.io/Logging_0382/tillsyn/A 24563-2022 tillsynsbegäran.docx", "A 24563-2022")</f>
        <v/>
      </c>
      <c r="Y164">
        <f>HYPERLINK("https://klasma.github.io/Logging_0382/tillsynsmail/A 24563-2022 tillsynsbegäran mail.docx", "A 24563-2022")</f>
        <v/>
      </c>
    </row>
    <row r="165" ht="15" customHeight="1">
      <c r="A165" t="inlineStr">
        <is>
          <t>A 39763-2022</t>
        </is>
      </c>
      <c r="B165" s="1" t="n">
        <v>44819</v>
      </c>
      <c r="C165" s="1" t="n">
        <v>45846</v>
      </c>
      <c r="D165" t="inlineStr">
        <is>
          <t>UPPSALA LÄN</t>
        </is>
      </c>
      <c r="E165" t="inlineStr">
        <is>
          <t>ÖSTHAMMAR</t>
        </is>
      </c>
      <c r="G165" t="n">
        <v>7</v>
      </c>
      <c r="H165" t="n">
        <v>1</v>
      </c>
      <c r="I165" t="n">
        <v>1</v>
      </c>
      <c r="J165" t="n">
        <v>2</v>
      </c>
      <c r="K165" t="n">
        <v>2</v>
      </c>
      <c r="L165" t="n">
        <v>0</v>
      </c>
      <c r="M165" t="n">
        <v>0</v>
      </c>
      <c r="N165" t="n">
        <v>0</v>
      </c>
      <c r="O165" t="n">
        <v>4</v>
      </c>
      <c r="P165" t="n">
        <v>2</v>
      </c>
      <c r="Q165" t="n">
        <v>5</v>
      </c>
      <c r="R165" s="2" t="inlineStr">
        <is>
          <t>Knärot
Violgubbe
Blek fingersvamp
Orange taggsvamp
Fjällig taggsvamp s.str.</t>
        </is>
      </c>
      <c r="S165">
        <f>HYPERLINK("https://klasma.github.io/Logging_0382/artfynd/A 39763-2022 artfynd.xlsx", "A 39763-2022")</f>
        <v/>
      </c>
      <c r="T165">
        <f>HYPERLINK("https://klasma.github.io/Logging_0382/kartor/A 39763-2022 karta.png", "A 39763-2022")</f>
        <v/>
      </c>
      <c r="U165">
        <f>HYPERLINK("https://klasma.github.io/Logging_0382/knärot/A 39763-2022 karta knärot.png", "A 39763-2022")</f>
        <v/>
      </c>
      <c r="V165">
        <f>HYPERLINK("https://klasma.github.io/Logging_0382/klagomål/A 39763-2022 FSC-klagomål.docx", "A 39763-2022")</f>
        <v/>
      </c>
      <c r="W165">
        <f>HYPERLINK("https://klasma.github.io/Logging_0382/klagomålsmail/A 39763-2022 FSC-klagomål mail.docx", "A 39763-2022")</f>
        <v/>
      </c>
      <c r="X165">
        <f>HYPERLINK("https://klasma.github.io/Logging_0382/tillsyn/A 39763-2022 tillsynsbegäran.docx", "A 39763-2022")</f>
        <v/>
      </c>
      <c r="Y165">
        <f>HYPERLINK("https://klasma.github.io/Logging_0382/tillsynsmail/A 39763-2022 tillsynsbegäran mail.docx", "A 39763-2022")</f>
        <v/>
      </c>
    </row>
    <row r="166" ht="15" customHeight="1">
      <c r="A166" t="inlineStr">
        <is>
          <t>A 43992-2022</t>
        </is>
      </c>
      <c r="B166" s="1" t="n">
        <v>44837</v>
      </c>
      <c r="C166" s="1" t="n">
        <v>45846</v>
      </c>
      <c r="D166" t="inlineStr">
        <is>
          <t>UPPSALA LÄN</t>
        </is>
      </c>
      <c r="E166" t="inlineStr">
        <is>
          <t>ÖSTHAMMAR</t>
        </is>
      </c>
      <c r="F166" t="inlineStr">
        <is>
          <t>Sveaskog</t>
        </is>
      </c>
      <c r="G166" t="n">
        <v>1.8</v>
      </c>
      <c r="H166" t="n">
        <v>5</v>
      </c>
      <c r="I166" t="n">
        <v>0</v>
      </c>
      <c r="J166" t="n">
        <v>4</v>
      </c>
      <c r="K166" t="n">
        <v>1</v>
      </c>
      <c r="L166" t="n">
        <v>0</v>
      </c>
      <c r="M166" t="n">
        <v>0</v>
      </c>
      <c r="N166" t="n">
        <v>0</v>
      </c>
      <c r="O166" t="n">
        <v>5</v>
      </c>
      <c r="P166" t="n">
        <v>1</v>
      </c>
      <c r="Q166" t="n">
        <v>5</v>
      </c>
      <c r="R166" s="2" t="inlineStr">
        <is>
          <t>Stare
Buskskvätta
Fiskmås
Gulsparv
Svartvit flugsnappare</t>
        </is>
      </c>
      <c r="S166">
        <f>HYPERLINK("https://klasma.github.io/Logging_0382/artfynd/A 43992-2022 artfynd.xlsx", "A 43992-2022")</f>
        <v/>
      </c>
      <c r="T166">
        <f>HYPERLINK("https://klasma.github.io/Logging_0382/kartor/A 43992-2022 karta.png", "A 43992-2022")</f>
        <v/>
      </c>
      <c r="V166">
        <f>HYPERLINK("https://klasma.github.io/Logging_0382/klagomål/A 43992-2022 FSC-klagomål.docx", "A 43992-2022")</f>
        <v/>
      </c>
      <c r="W166">
        <f>HYPERLINK("https://klasma.github.io/Logging_0382/klagomålsmail/A 43992-2022 FSC-klagomål mail.docx", "A 43992-2022")</f>
        <v/>
      </c>
      <c r="X166">
        <f>HYPERLINK("https://klasma.github.io/Logging_0382/tillsyn/A 43992-2022 tillsynsbegäran.docx", "A 43992-2022")</f>
        <v/>
      </c>
      <c r="Y166">
        <f>HYPERLINK("https://klasma.github.io/Logging_0382/tillsynsmail/A 43992-2022 tillsynsbegäran mail.docx", "A 43992-2022")</f>
        <v/>
      </c>
      <c r="Z166">
        <f>HYPERLINK("https://klasma.github.io/Logging_0382/fåglar/A 43992-2022 prioriterade fågelarter.docx", "A 43992-2022")</f>
        <v/>
      </c>
    </row>
    <row r="167" ht="15" customHeight="1">
      <c r="A167" t="inlineStr">
        <is>
          <t>A 53574-2022</t>
        </is>
      </c>
      <c r="B167" s="1" t="n">
        <v>44879</v>
      </c>
      <c r="C167" s="1" t="n">
        <v>45846</v>
      </c>
      <c r="D167" t="inlineStr">
        <is>
          <t>UPPSALA LÄN</t>
        </is>
      </c>
      <c r="E167" t="inlineStr">
        <is>
          <t>UPPSALA</t>
        </is>
      </c>
      <c r="G167" t="n">
        <v>19.2</v>
      </c>
      <c r="H167" t="n">
        <v>1</v>
      </c>
      <c r="I167" t="n">
        <v>4</v>
      </c>
      <c r="J167" t="n">
        <v>1</v>
      </c>
      <c r="K167" t="n">
        <v>0</v>
      </c>
      <c r="L167" t="n">
        <v>0</v>
      </c>
      <c r="M167" t="n">
        <v>0</v>
      </c>
      <c r="N167" t="n">
        <v>0</v>
      </c>
      <c r="O167" t="n">
        <v>1</v>
      </c>
      <c r="P167" t="n">
        <v>0</v>
      </c>
      <c r="Q167" t="n">
        <v>5</v>
      </c>
      <c r="R167" s="2" t="inlineStr">
        <is>
          <t>Ullticka
Fällmossa
Grön sköldmossa
Korallblylav
Stuplav</t>
        </is>
      </c>
      <c r="S167">
        <f>HYPERLINK("https://klasma.github.io/Logging_0380/artfynd/A 53574-2022 artfynd.xlsx", "A 53574-2022")</f>
        <v/>
      </c>
      <c r="T167">
        <f>HYPERLINK("https://klasma.github.io/Logging_0380/kartor/A 53574-2022 karta.png", "A 53574-2022")</f>
        <v/>
      </c>
      <c r="V167">
        <f>HYPERLINK("https://klasma.github.io/Logging_0380/klagomål/A 53574-2022 FSC-klagomål.docx", "A 53574-2022")</f>
        <v/>
      </c>
      <c r="W167">
        <f>HYPERLINK("https://klasma.github.io/Logging_0380/klagomålsmail/A 53574-2022 FSC-klagomål mail.docx", "A 53574-2022")</f>
        <v/>
      </c>
      <c r="X167">
        <f>HYPERLINK("https://klasma.github.io/Logging_0380/tillsyn/A 53574-2022 tillsynsbegäran.docx", "A 53574-2022")</f>
        <v/>
      </c>
      <c r="Y167">
        <f>HYPERLINK("https://klasma.github.io/Logging_0380/tillsynsmail/A 53574-2022 tillsynsbegäran mail.docx", "A 53574-2022")</f>
        <v/>
      </c>
    </row>
    <row r="168" ht="15" customHeight="1">
      <c r="A168" t="inlineStr">
        <is>
          <t>A 60284-2022</t>
        </is>
      </c>
      <c r="B168" s="1" t="n">
        <v>44910</v>
      </c>
      <c r="C168" s="1" t="n">
        <v>45846</v>
      </c>
      <c r="D168" t="inlineStr">
        <is>
          <t>UPPSALA LÄN</t>
        </is>
      </c>
      <c r="E168" t="inlineStr">
        <is>
          <t>ENKÖPING</t>
        </is>
      </c>
      <c r="G168" t="n">
        <v>2.9</v>
      </c>
      <c r="H168" t="n">
        <v>2</v>
      </c>
      <c r="I168" t="n">
        <v>4</v>
      </c>
      <c r="J168" t="n">
        <v>0</v>
      </c>
      <c r="K168" t="n">
        <v>0</v>
      </c>
      <c r="L168" t="n">
        <v>0</v>
      </c>
      <c r="M168" t="n">
        <v>0</v>
      </c>
      <c r="N168" t="n">
        <v>0</v>
      </c>
      <c r="O168" t="n">
        <v>0</v>
      </c>
      <c r="P168" t="n">
        <v>0</v>
      </c>
      <c r="Q168" t="n">
        <v>5</v>
      </c>
      <c r="R168" s="2" t="inlineStr">
        <is>
          <t>Fjällig taggsvamp s.str.
Nästrot
Olivspindling
Strimspindling
Gullviva</t>
        </is>
      </c>
      <c r="S168">
        <f>HYPERLINK("https://klasma.github.io/Logging_0381/artfynd/A 60284-2022 artfynd.xlsx", "A 60284-2022")</f>
        <v/>
      </c>
      <c r="T168">
        <f>HYPERLINK("https://klasma.github.io/Logging_0381/kartor/A 60284-2022 karta.png", "A 60284-2022")</f>
        <v/>
      </c>
      <c r="V168">
        <f>HYPERLINK("https://klasma.github.io/Logging_0381/klagomål/A 60284-2022 FSC-klagomål.docx", "A 60284-2022")</f>
        <v/>
      </c>
      <c r="W168">
        <f>HYPERLINK("https://klasma.github.io/Logging_0381/klagomålsmail/A 60284-2022 FSC-klagomål mail.docx", "A 60284-2022")</f>
        <v/>
      </c>
      <c r="X168">
        <f>HYPERLINK("https://klasma.github.io/Logging_0381/tillsyn/A 60284-2022 tillsynsbegäran.docx", "A 60284-2022")</f>
        <v/>
      </c>
      <c r="Y168">
        <f>HYPERLINK("https://klasma.github.io/Logging_0381/tillsynsmail/A 60284-2022 tillsynsbegäran mail.docx", "A 60284-2022")</f>
        <v/>
      </c>
    </row>
    <row r="169" ht="15" customHeight="1">
      <c r="A169" t="inlineStr">
        <is>
          <t>A 61139-2022</t>
        </is>
      </c>
      <c r="B169" s="1" t="n">
        <v>44915</v>
      </c>
      <c r="C169" s="1" t="n">
        <v>45846</v>
      </c>
      <c r="D169" t="inlineStr">
        <is>
          <t>UPPSALA LÄN</t>
        </is>
      </c>
      <c r="E169" t="inlineStr">
        <is>
          <t>HEBY</t>
        </is>
      </c>
      <c r="G169" t="n">
        <v>2</v>
      </c>
      <c r="H169" t="n">
        <v>1</v>
      </c>
      <c r="I169" t="n">
        <v>3</v>
      </c>
      <c r="J169" t="n">
        <v>1</v>
      </c>
      <c r="K169" t="n">
        <v>0</v>
      </c>
      <c r="L169" t="n">
        <v>0</v>
      </c>
      <c r="M169" t="n">
        <v>0</v>
      </c>
      <c r="N169" t="n">
        <v>0</v>
      </c>
      <c r="O169" t="n">
        <v>1</v>
      </c>
      <c r="P169" t="n">
        <v>0</v>
      </c>
      <c r="Q169" t="n">
        <v>5</v>
      </c>
      <c r="R169" s="2" t="inlineStr">
        <is>
          <t>Grönhjon
Björksplintborre
Jättesvampmal
Noshornsoxe
Blåsippa</t>
        </is>
      </c>
      <c r="S169">
        <f>HYPERLINK("https://klasma.github.io/Logging_0331/artfynd/A 61139-2022 artfynd.xlsx", "A 61139-2022")</f>
        <v/>
      </c>
      <c r="T169">
        <f>HYPERLINK("https://klasma.github.io/Logging_0331/kartor/A 61139-2022 karta.png", "A 61139-2022")</f>
        <v/>
      </c>
      <c r="V169">
        <f>HYPERLINK("https://klasma.github.io/Logging_0331/klagomål/A 61139-2022 FSC-klagomål.docx", "A 61139-2022")</f>
        <v/>
      </c>
      <c r="W169">
        <f>HYPERLINK("https://klasma.github.io/Logging_0331/klagomålsmail/A 61139-2022 FSC-klagomål mail.docx", "A 61139-2022")</f>
        <v/>
      </c>
      <c r="X169">
        <f>HYPERLINK("https://klasma.github.io/Logging_0331/tillsyn/A 61139-2022 tillsynsbegäran.docx", "A 61139-2022")</f>
        <v/>
      </c>
      <c r="Y169">
        <f>HYPERLINK("https://klasma.github.io/Logging_0331/tillsynsmail/A 61139-2022 tillsynsbegäran mail.docx", "A 61139-2022")</f>
        <v/>
      </c>
    </row>
    <row r="170" ht="15" customHeight="1">
      <c r="A170" t="inlineStr">
        <is>
          <t>A 62169-2022</t>
        </is>
      </c>
      <c r="B170" s="1" t="n">
        <v>44922</v>
      </c>
      <c r="C170" s="1" t="n">
        <v>45846</v>
      </c>
      <c r="D170" t="inlineStr">
        <is>
          <t>UPPSALA LÄN</t>
        </is>
      </c>
      <c r="E170" t="inlineStr">
        <is>
          <t>UPPSALA</t>
        </is>
      </c>
      <c r="G170" t="n">
        <v>19.6</v>
      </c>
      <c r="H170" t="n">
        <v>2</v>
      </c>
      <c r="I170" t="n">
        <v>2</v>
      </c>
      <c r="J170" t="n">
        <v>1</v>
      </c>
      <c r="K170" t="n">
        <v>1</v>
      </c>
      <c r="L170" t="n">
        <v>0</v>
      </c>
      <c r="M170" t="n">
        <v>0</v>
      </c>
      <c r="N170" t="n">
        <v>0</v>
      </c>
      <c r="O170" t="n">
        <v>2</v>
      </c>
      <c r="P170" t="n">
        <v>1</v>
      </c>
      <c r="Q170" t="n">
        <v>5</v>
      </c>
      <c r="R170" s="2" t="inlineStr">
        <is>
          <t>Knärot
Tallticka
Björksplintborre
Kamjordstjärna
Revlummer</t>
        </is>
      </c>
      <c r="S170">
        <f>HYPERLINK("https://klasma.github.io/Logging_0380/artfynd/A 62169-2022 artfynd.xlsx", "A 62169-2022")</f>
        <v/>
      </c>
      <c r="T170">
        <f>HYPERLINK("https://klasma.github.io/Logging_0380/kartor/A 62169-2022 karta.png", "A 62169-2022")</f>
        <v/>
      </c>
      <c r="U170">
        <f>HYPERLINK("https://klasma.github.io/Logging_0380/knärot/A 62169-2022 karta knärot.png", "A 62169-2022")</f>
        <v/>
      </c>
      <c r="V170">
        <f>HYPERLINK("https://klasma.github.io/Logging_0380/klagomål/A 62169-2022 FSC-klagomål.docx", "A 62169-2022")</f>
        <v/>
      </c>
      <c r="W170">
        <f>HYPERLINK("https://klasma.github.io/Logging_0380/klagomålsmail/A 62169-2022 FSC-klagomål mail.docx", "A 62169-2022")</f>
        <v/>
      </c>
      <c r="X170">
        <f>HYPERLINK("https://klasma.github.io/Logging_0380/tillsyn/A 62169-2022 tillsynsbegäran.docx", "A 62169-2022")</f>
        <v/>
      </c>
      <c r="Y170">
        <f>HYPERLINK("https://klasma.github.io/Logging_0380/tillsynsmail/A 62169-2022 tillsynsbegäran mail.docx", "A 62169-2022")</f>
        <v/>
      </c>
    </row>
    <row r="171" ht="15" customHeight="1">
      <c r="A171" t="inlineStr">
        <is>
          <t>A 3511-2023</t>
        </is>
      </c>
      <c r="B171" s="1" t="n">
        <v>44950</v>
      </c>
      <c r="C171" s="1" t="n">
        <v>45846</v>
      </c>
      <c r="D171" t="inlineStr">
        <is>
          <t>UPPSALA LÄN</t>
        </is>
      </c>
      <c r="E171" t="inlineStr">
        <is>
          <t>TIERP</t>
        </is>
      </c>
      <c r="F171" t="inlineStr">
        <is>
          <t>Bergvik skog öst AB</t>
        </is>
      </c>
      <c r="G171" t="n">
        <v>20.5</v>
      </c>
      <c r="H171" t="n">
        <v>3</v>
      </c>
      <c r="I171" t="n">
        <v>2</v>
      </c>
      <c r="J171" t="n">
        <v>0</v>
      </c>
      <c r="K171" t="n">
        <v>0</v>
      </c>
      <c r="L171" t="n">
        <v>0</v>
      </c>
      <c r="M171" t="n">
        <v>0</v>
      </c>
      <c r="N171" t="n">
        <v>0</v>
      </c>
      <c r="O171" t="n">
        <v>0</v>
      </c>
      <c r="P171" t="n">
        <v>0</v>
      </c>
      <c r="Q171" t="n">
        <v>5</v>
      </c>
      <c r="R171" s="2" t="inlineStr">
        <is>
          <t>Rödgul trumpetsvamp
Tibast
Tjäder
Blåsippa
Revlummer</t>
        </is>
      </c>
      <c r="S171">
        <f>HYPERLINK("https://klasma.github.io/Logging_0360/artfynd/A 3511-2023 artfynd.xlsx", "A 3511-2023")</f>
        <v/>
      </c>
      <c r="T171">
        <f>HYPERLINK("https://klasma.github.io/Logging_0360/kartor/A 3511-2023 karta.png", "A 3511-2023")</f>
        <v/>
      </c>
      <c r="V171">
        <f>HYPERLINK("https://klasma.github.io/Logging_0360/klagomål/A 3511-2023 FSC-klagomål.docx", "A 3511-2023")</f>
        <v/>
      </c>
      <c r="W171">
        <f>HYPERLINK("https://klasma.github.io/Logging_0360/klagomålsmail/A 3511-2023 FSC-klagomål mail.docx", "A 3511-2023")</f>
        <v/>
      </c>
      <c r="X171">
        <f>HYPERLINK("https://klasma.github.io/Logging_0360/tillsyn/A 3511-2023 tillsynsbegäran.docx", "A 3511-2023")</f>
        <v/>
      </c>
      <c r="Y171">
        <f>HYPERLINK("https://klasma.github.io/Logging_0360/tillsynsmail/A 3511-2023 tillsynsbegäran mail.docx", "A 3511-2023")</f>
        <v/>
      </c>
      <c r="Z171">
        <f>HYPERLINK("https://klasma.github.io/Logging_0360/fåglar/A 3511-2023 prioriterade fågelarter.docx", "A 3511-2023")</f>
        <v/>
      </c>
    </row>
    <row r="172" ht="15" customHeight="1">
      <c r="A172" t="inlineStr">
        <is>
          <t>A 7125-2023</t>
        </is>
      </c>
      <c r="B172" s="1" t="n">
        <v>44970</v>
      </c>
      <c r="C172" s="1" t="n">
        <v>45846</v>
      </c>
      <c r="D172" t="inlineStr">
        <is>
          <t>UPPSALA LÄN</t>
        </is>
      </c>
      <c r="E172" t="inlineStr">
        <is>
          <t>TIERP</t>
        </is>
      </c>
      <c r="F172" t="inlineStr">
        <is>
          <t>Bergvik skog öst AB</t>
        </is>
      </c>
      <c r="G172" t="n">
        <v>23.2</v>
      </c>
      <c r="H172" t="n">
        <v>4</v>
      </c>
      <c r="I172" t="n">
        <v>2</v>
      </c>
      <c r="J172" t="n">
        <v>0</v>
      </c>
      <c r="K172" t="n">
        <v>1</v>
      </c>
      <c r="L172" t="n">
        <v>0</v>
      </c>
      <c r="M172" t="n">
        <v>0</v>
      </c>
      <c r="N172" t="n">
        <v>0</v>
      </c>
      <c r="O172" t="n">
        <v>1</v>
      </c>
      <c r="P172" t="n">
        <v>1</v>
      </c>
      <c r="Q172" t="n">
        <v>5</v>
      </c>
      <c r="R172" s="2" t="inlineStr">
        <is>
          <t>Knärot
Rödgul trumpetsvamp
Skogsknipprot
Blåsippa
Revlummer</t>
        </is>
      </c>
      <c r="S172">
        <f>HYPERLINK("https://klasma.github.io/Logging_0360/artfynd/A 7125-2023 artfynd.xlsx", "A 7125-2023")</f>
        <v/>
      </c>
      <c r="T172">
        <f>HYPERLINK("https://klasma.github.io/Logging_0360/kartor/A 7125-2023 karta.png", "A 7125-2023")</f>
        <v/>
      </c>
      <c r="U172">
        <f>HYPERLINK("https://klasma.github.io/Logging_0360/knärot/A 7125-2023 karta knärot.png", "A 7125-2023")</f>
        <v/>
      </c>
      <c r="V172">
        <f>HYPERLINK("https://klasma.github.io/Logging_0360/klagomål/A 7125-2023 FSC-klagomål.docx", "A 7125-2023")</f>
        <v/>
      </c>
      <c r="W172">
        <f>HYPERLINK("https://klasma.github.io/Logging_0360/klagomålsmail/A 7125-2023 FSC-klagomål mail.docx", "A 7125-2023")</f>
        <v/>
      </c>
      <c r="X172">
        <f>HYPERLINK("https://klasma.github.io/Logging_0360/tillsyn/A 7125-2023 tillsynsbegäran.docx", "A 7125-2023")</f>
        <v/>
      </c>
      <c r="Y172">
        <f>HYPERLINK("https://klasma.github.io/Logging_0360/tillsynsmail/A 7125-2023 tillsynsbegäran mail.docx", "A 7125-2023")</f>
        <v/>
      </c>
    </row>
    <row r="173" ht="15" customHeight="1">
      <c r="A173" t="inlineStr">
        <is>
          <t>A 9422-2023</t>
        </is>
      </c>
      <c r="B173" s="1" t="n">
        <v>44977</v>
      </c>
      <c r="C173" s="1" t="n">
        <v>45846</v>
      </c>
      <c r="D173" t="inlineStr">
        <is>
          <t>UPPSALA LÄN</t>
        </is>
      </c>
      <c r="E173" t="inlineStr">
        <is>
          <t>UPPSALA</t>
        </is>
      </c>
      <c r="G173" t="n">
        <v>4.5</v>
      </c>
      <c r="H173" t="n">
        <v>0</v>
      </c>
      <c r="I173" t="n">
        <v>5</v>
      </c>
      <c r="J173" t="n">
        <v>0</v>
      </c>
      <c r="K173" t="n">
        <v>0</v>
      </c>
      <c r="L173" t="n">
        <v>0</v>
      </c>
      <c r="M173" t="n">
        <v>0</v>
      </c>
      <c r="N173" t="n">
        <v>0</v>
      </c>
      <c r="O173" t="n">
        <v>0</v>
      </c>
      <c r="P173" t="n">
        <v>0</v>
      </c>
      <c r="Q173" t="n">
        <v>5</v>
      </c>
      <c r="R173" s="2" t="inlineStr">
        <is>
          <t>Anisspindling
Brun klibbskivling
Olivspindling
Skarp dropptaggsvamp
Strimspindling</t>
        </is>
      </c>
      <c r="S173">
        <f>HYPERLINK("https://klasma.github.io/Logging_0380/artfynd/A 9422-2023 artfynd.xlsx", "A 9422-2023")</f>
        <v/>
      </c>
      <c r="T173">
        <f>HYPERLINK("https://klasma.github.io/Logging_0380/kartor/A 9422-2023 karta.png", "A 9422-2023")</f>
        <v/>
      </c>
      <c r="V173">
        <f>HYPERLINK("https://klasma.github.io/Logging_0380/klagomål/A 9422-2023 FSC-klagomål.docx", "A 9422-2023")</f>
        <v/>
      </c>
      <c r="W173">
        <f>HYPERLINK("https://klasma.github.io/Logging_0380/klagomålsmail/A 9422-2023 FSC-klagomål mail.docx", "A 9422-2023")</f>
        <v/>
      </c>
      <c r="X173">
        <f>HYPERLINK("https://klasma.github.io/Logging_0380/tillsyn/A 9422-2023 tillsynsbegäran.docx", "A 9422-2023")</f>
        <v/>
      </c>
      <c r="Y173">
        <f>HYPERLINK("https://klasma.github.io/Logging_0380/tillsynsmail/A 9422-2023 tillsynsbegäran mail.docx", "A 9422-2023")</f>
        <v/>
      </c>
    </row>
    <row r="174" ht="15" customHeight="1">
      <c r="A174" t="inlineStr">
        <is>
          <t>A 13604-2023</t>
        </is>
      </c>
      <c r="B174" s="1" t="n">
        <v>45006</v>
      </c>
      <c r="C174" s="1" t="n">
        <v>45846</v>
      </c>
      <c r="D174" t="inlineStr">
        <is>
          <t>UPPSALA LÄN</t>
        </is>
      </c>
      <c r="E174" t="inlineStr">
        <is>
          <t>ÖSTHAMMAR</t>
        </is>
      </c>
      <c r="G174" t="n">
        <v>5.7</v>
      </c>
      <c r="H174" t="n">
        <v>0</v>
      </c>
      <c r="I174" t="n">
        <v>4</v>
      </c>
      <c r="J174" t="n">
        <v>1</v>
      </c>
      <c r="K174" t="n">
        <v>0</v>
      </c>
      <c r="L174" t="n">
        <v>0</v>
      </c>
      <c r="M174" t="n">
        <v>0</v>
      </c>
      <c r="N174" t="n">
        <v>0</v>
      </c>
      <c r="O174" t="n">
        <v>1</v>
      </c>
      <c r="P174" t="n">
        <v>0</v>
      </c>
      <c r="Q174" t="n">
        <v>5</v>
      </c>
      <c r="R174" s="2" t="inlineStr">
        <is>
          <t>Odörspindling
Anisspindling
Diskvaxskivling
Olivspindling
Rödgul trumpetsvamp</t>
        </is>
      </c>
      <c r="S174">
        <f>HYPERLINK("https://klasma.github.io/Logging_0382/artfynd/A 13604-2023 artfynd.xlsx", "A 13604-2023")</f>
        <v/>
      </c>
      <c r="T174">
        <f>HYPERLINK("https://klasma.github.io/Logging_0382/kartor/A 13604-2023 karta.png", "A 13604-2023")</f>
        <v/>
      </c>
      <c r="V174">
        <f>HYPERLINK("https://klasma.github.io/Logging_0382/klagomål/A 13604-2023 FSC-klagomål.docx", "A 13604-2023")</f>
        <v/>
      </c>
      <c r="W174">
        <f>HYPERLINK("https://klasma.github.io/Logging_0382/klagomålsmail/A 13604-2023 FSC-klagomål mail.docx", "A 13604-2023")</f>
        <v/>
      </c>
      <c r="X174">
        <f>HYPERLINK("https://klasma.github.io/Logging_0382/tillsyn/A 13604-2023 tillsynsbegäran.docx", "A 13604-2023")</f>
        <v/>
      </c>
      <c r="Y174">
        <f>HYPERLINK("https://klasma.github.io/Logging_0382/tillsynsmail/A 13604-2023 tillsynsbegäran mail.docx", "A 13604-2023")</f>
        <v/>
      </c>
    </row>
    <row r="175" ht="15" customHeight="1">
      <c r="A175" t="inlineStr">
        <is>
          <t>A 17954-2023</t>
        </is>
      </c>
      <c r="B175" s="1" t="n">
        <v>45040</v>
      </c>
      <c r="C175" s="1" t="n">
        <v>45846</v>
      </c>
      <c r="D175" t="inlineStr">
        <is>
          <t>UPPSALA LÄN</t>
        </is>
      </c>
      <c r="E175" t="inlineStr">
        <is>
          <t>TIERP</t>
        </is>
      </c>
      <c r="G175" t="n">
        <v>8.199999999999999</v>
      </c>
      <c r="H175" t="n">
        <v>0</v>
      </c>
      <c r="I175" t="n">
        <v>2</v>
      </c>
      <c r="J175" t="n">
        <v>1</v>
      </c>
      <c r="K175" t="n">
        <v>2</v>
      </c>
      <c r="L175" t="n">
        <v>0</v>
      </c>
      <c r="M175" t="n">
        <v>0</v>
      </c>
      <c r="N175" t="n">
        <v>0</v>
      </c>
      <c r="O175" t="n">
        <v>3</v>
      </c>
      <c r="P175" t="n">
        <v>2</v>
      </c>
      <c r="Q175" t="n">
        <v>5</v>
      </c>
      <c r="R175" s="2" t="inlineStr">
        <is>
          <t>Duvspindling
Taggfingersvamp
Äggspindling
Anisspindling
Olivspindling</t>
        </is>
      </c>
      <c r="S175">
        <f>HYPERLINK("https://klasma.github.io/Logging_0360/artfynd/A 17954-2023 artfynd.xlsx", "A 17954-2023")</f>
        <v/>
      </c>
      <c r="T175">
        <f>HYPERLINK("https://klasma.github.io/Logging_0360/kartor/A 17954-2023 karta.png", "A 17954-2023")</f>
        <v/>
      </c>
      <c r="V175">
        <f>HYPERLINK("https://klasma.github.io/Logging_0360/klagomål/A 17954-2023 FSC-klagomål.docx", "A 17954-2023")</f>
        <v/>
      </c>
      <c r="W175">
        <f>HYPERLINK("https://klasma.github.io/Logging_0360/klagomålsmail/A 17954-2023 FSC-klagomål mail.docx", "A 17954-2023")</f>
        <v/>
      </c>
      <c r="X175">
        <f>HYPERLINK("https://klasma.github.io/Logging_0360/tillsyn/A 17954-2023 tillsynsbegäran.docx", "A 17954-2023")</f>
        <v/>
      </c>
      <c r="Y175">
        <f>HYPERLINK("https://klasma.github.io/Logging_0360/tillsynsmail/A 17954-2023 tillsynsbegäran mail.docx", "A 17954-2023")</f>
        <v/>
      </c>
    </row>
    <row r="176" ht="15" customHeight="1">
      <c r="A176" t="inlineStr">
        <is>
          <t>A 23498-2023</t>
        </is>
      </c>
      <c r="B176" s="1" t="n">
        <v>45076</v>
      </c>
      <c r="C176" s="1" t="n">
        <v>45846</v>
      </c>
      <c r="D176" t="inlineStr">
        <is>
          <t>UPPSALA LÄN</t>
        </is>
      </c>
      <c r="E176" t="inlineStr">
        <is>
          <t>ÖSTHAMMAR</t>
        </is>
      </c>
      <c r="F176" t="inlineStr">
        <is>
          <t>Sveaskog</t>
        </is>
      </c>
      <c r="G176" t="n">
        <v>1.4</v>
      </c>
      <c r="H176" t="n">
        <v>5</v>
      </c>
      <c r="I176" t="n">
        <v>0</v>
      </c>
      <c r="J176" t="n">
        <v>3</v>
      </c>
      <c r="K176" t="n">
        <v>1</v>
      </c>
      <c r="L176" t="n">
        <v>1</v>
      </c>
      <c r="M176" t="n">
        <v>0</v>
      </c>
      <c r="N176" t="n">
        <v>0</v>
      </c>
      <c r="O176" t="n">
        <v>5</v>
      </c>
      <c r="P176" t="n">
        <v>2</v>
      </c>
      <c r="Q176" t="n">
        <v>5</v>
      </c>
      <c r="R176" s="2" t="inlineStr">
        <is>
          <t>Grönfink
Gråtrut
Gulsparv
Svartvit flugsnappare
Talltita</t>
        </is>
      </c>
      <c r="S176">
        <f>HYPERLINK("https://klasma.github.io/Logging_0382/artfynd/A 23498-2023 artfynd.xlsx", "A 23498-2023")</f>
        <v/>
      </c>
      <c r="T176">
        <f>HYPERLINK("https://klasma.github.io/Logging_0382/kartor/A 23498-2023 karta.png", "A 23498-2023")</f>
        <v/>
      </c>
      <c r="V176">
        <f>HYPERLINK("https://klasma.github.io/Logging_0382/klagomål/A 23498-2023 FSC-klagomål.docx", "A 23498-2023")</f>
        <v/>
      </c>
      <c r="W176">
        <f>HYPERLINK("https://klasma.github.io/Logging_0382/klagomålsmail/A 23498-2023 FSC-klagomål mail.docx", "A 23498-2023")</f>
        <v/>
      </c>
      <c r="X176">
        <f>HYPERLINK("https://klasma.github.io/Logging_0382/tillsyn/A 23498-2023 tillsynsbegäran.docx", "A 23498-2023")</f>
        <v/>
      </c>
      <c r="Y176">
        <f>HYPERLINK("https://klasma.github.io/Logging_0382/tillsynsmail/A 23498-2023 tillsynsbegäran mail.docx", "A 23498-2023")</f>
        <v/>
      </c>
      <c r="Z176">
        <f>HYPERLINK("https://klasma.github.io/Logging_0382/fåglar/A 23498-2023 prioriterade fågelarter.docx", "A 23498-2023")</f>
        <v/>
      </c>
    </row>
    <row r="177" ht="15" customHeight="1">
      <c r="A177" t="inlineStr">
        <is>
          <t>A 27625-2023</t>
        </is>
      </c>
      <c r="B177" s="1" t="n">
        <v>45097</v>
      </c>
      <c r="C177" s="1" t="n">
        <v>45846</v>
      </c>
      <c r="D177" t="inlineStr">
        <is>
          <t>UPPSALA LÄN</t>
        </is>
      </c>
      <c r="E177" t="inlineStr">
        <is>
          <t>UPPSALA</t>
        </is>
      </c>
      <c r="G177" t="n">
        <v>6</v>
      </c>
      <c r="H177" t="n">
        <v>4</v>
      </c>
      <c r="I177" t="n">
        <v>1</v>
      </c>
      <c r="J177" t="n">
        <v>1</v>
      </c>
      <c r="K177" t="n">
        <v>0</v>
      </c>
      <c r="L177" t="n">
        <v>0</v>
      </c>
      <c r="M177" t="n">
        <v>0</v>
      </c>
      <c r="N177" t="n">
        <v>0</v>
      </c>
      <c r="O177" t="n">
        <v>1</v>
      </c>
      <c r="P177" t="n">
        <v>0</v>
      </c>
      <c r="Q177" t="n">
        <v>5</v>
      </c>
      <c r="R177" s="2" t="inlineStr">
        <is>
          <t>Spillkråka
Fällmossa
Gröngöling
Skogsödla
Blåsippa</t>
        </is>
      </c>
      <c r="S177">
        <f>HYPERLINK("https://klasma.github.io/Logging_0380/artfynd/A 27625-2023 artfynd.xlsx", "A 27625-2023")</f>
        <v/>
      </c>
      <c r="T177">
        <f>HYPERLINK("https://klasma.github.io/Logging_0380/kartor/A 27625-2023 karta.png", "A 27625-2023")</f>
        <v/>
      </c>
      <c r="V177">
        <f>HYPERLINK("https://klasma.github.io/Logging_0380/klagomål/A 27625-2023 FSC-klagomål.docx", "A 27625-2023")</f>
        <v/>
      </c>
      <c r="W177">
        <f>HYPERLINK("https://klasma.github.io/Logging_0380/klagomålsmail/A 27625-2023 FSC-klagomål mail.docx", "A 27625-2023")</f>
        <v/>
      </c>
      <c r="X177">
        <f>HYPERLINK("https://klasma.github.io/Logging_0380/tillsyn/A 27625-2023 tillsynsbegäran.docx", "A 27625-2023")</f>
        <v/>
      </c>
      <c r="Y177">
        <f>HYPERLINK("https://klasma.github.io/Logging_0380/tillsynsmail/A 27625-2023 tillsynsbegäran mail.docx", "A 27625-2023")</f>
        <v/>
      </c>
      <c r="Z177">
        <f>HYPERLINK("https://klasma.github.io/Logging_0380/fåglar/A 27625-2023 prioriterade fågelarter.docx", "A 27625-2023")</f>
        <v/>
      </c>
    </row>
    <row r="178" ht="15" customHeight="1">
      <c r="A178" t="inlineStr">
        <is>
          <t>A 28211-2023</t>
        </is>
      </c>
      <c r="B178" s="1" t="n">
        <v>45099</v>
      </c>
      <c r="C178" s="1" t="n">
        <v>45846</v>
      </c>
      <c r="D178" t="inlineStr">
        <is>
          <t>UPPSALA LÄN</t>
        </is>
      </c>
      <c r="E178" t="inlineStr">
        <is>
          <t>ÖSTHAMMAR</t>
        </is>
      </c>
      <c r="G178" t="n">
        <v>3.2</v>
      </c>
      <c r="H178" t="n">
        <v>5</v>
      </c>
      <c r="I178" t="n">
        <v>0</v>
      </c>
      <c r="J178" t="n">
        <v>1</v>
      </c>
      <c r="K178" t="n">
        <v>2</v>
      </c>
      <c r="L178" t="n">
        <v>2</v>
      </c>
      <c r="M178" t="n">
        <v>0</v>
      </c>
      <c r="N178" t="n">
        <v>0</v>
      </c>
      <c r="O178" t="n">
        <v>5</v>
      </c>
      <c r="P178" t="n">
        <v>4</v>
      </c>
      <c r="Q178" t="n">
        <v>5</v>
      </c>
      <c r="R178" s="2" t="inlineStr">
        <is>
          <t>Ejder
Grönfink
Havstrut
Kricka
Rödvingetrast</t>
        </is>
      </c>
      <c r="S178">
        <f>HYPERLINK("https://klasma.github.io/Logging_0382/artfynd/A 28211-2023 artfynd.xlsx", "A 28211-2023")</f>
        <v/>
      </c>
      <c r="T178">
        <f>HYPERLINK("https://klasma.github.io/Logging_0382/kartor/A 28211-2023 karta.png", "A 28211-2023")</f>
        <v/>
      </c>
      <c r="V178">
        <f>HYPERLINK("https://klasma.github.io/Logging_0382/klagomål/A 28211-2023 FSC-klagomål.docx", "A 28211-2023")</f>
        <v/>
      </c>
      <c r="W178">
        <f>HYPERLINK("https://klasma.github.io/Logging_0382/klagomålsmail/A 28211-2023 FSC-klagomål mail.docx", "A 28211-2023")</f>
        <v/>
      </c>
      <c r="X178">
        <f>HYPERLINK("https://klasma.github.io/Logging_0382/tillsyn/A 28211-2023 tillsynsbegäran.docx", "A 28211-2023")</f>
        <v/>
      </c>
      <c r="Y178">
        <f>HYPERLINK("https://klasma.github.io/Logging_0382/tillsynsmail/A 28211-2023 tillsynsbegäran mail.docx", "A 28211-2023")</f>
        <v/>
      </c>
      <c r="Z178">
        <f>HYPERLINK("https://klasma.github.io/Logging_0382/fåglar/A 28211-2023 prioriterade fågelarter.docx", "A 28211-2023")</f>
        <v/>
      </c>
    </row>
    <row r="179" ht="15" customHeight="1">
      <c r="A179" t="inlineStr">
        <is>
          <t>A 29803-2023</t>
        </is>
      </c>
      <c r="B179" s="1" t="n">
        <v>45107</v>
      </c>
      <c r="C179" s="1" t="n">
        <v>45846</v>
      </c>
      <c r="D179" t="inlineStr">
        <is>
          <t>UPPSALA LÄN</t>
        </is>
      </c>
      <c r="E179" t="inlineStr">
        <is>
          <t>UPPSALA</t>
        </is>
      </c>
      <c r="G179" t="n">
        <v>2.5</v>
      </c>
      <c r="H179" t="n">
        <v>0</v>
      </c>
      <c r="I179" t="n">
        <v>3</v>
      </c>
      <c r="J179" t="n">
        <v>2</v>
      </c>
      <c r="K179" t="n">
        <v>0</v>
      </c>
      <c r="L179" t="n">
        <v>0</v>
      </c>
      <c r="M179" t="n">
        <v>0</v>
      </c>
      <c r="N179" t="n">
        <v>0</v>
      </c>
      <c r="O179" t="n">
        <v>2</v>
      </c>
      <c r="P179" t="n">
        <v>0</v>
      </c>
      <c r="Q179" t="n">
        <v>5</v>
      </c>
      <c r="R179" s="2" t="inlineStr">
        <is>
          <t>Barrviolspindling
Flattoppad klubbsvamp
Blomkålssvamp
Fjällig taggsvamp s.str.
Svavelriska</t>
        </is>
      </c>
      <c r="S179">
        <f>HYPERLINK("https://klasma.github.io/Logging_0380/artfynd/A 29803-2023 artfynd.xlsx", "A 29803-2023")</f>
        <v/>
      </c>
      <c r="T179">
        <f>HYPERLINK("https://klasma.github.io/Logging_0380/kartor/A 29803-2023 karta.png", "A 29803-2023")</f>
        <v/>
      </c>
      <c r="V179">
        <f>HYPERLINK("https://klasma.github.io/Logging_0380/klagomål/A 29803-2023 FSC-klagomål.docx", "A 29803-2023")</f>
        <v/>
      </c>
      <c r="W179">
        <f>HYPERLINK("https://klasma.github.io/Logging_0380/klagomålsmail/A 29803-2023 FSC-klagomål mail.docx", "A 29803-2023")</f>
        <v/>
      </c>
      <c r="X179">
        <f>HYPERLINK("https://klasma.github.io/Logging_0380/tillsyn/A 29803-2023 tillsynsbegäran.docx", "A 29803-2023")</f>
        <v/>
      </c>
      <c r="Y179">
        <f>HYPERLINK("https://klasma.github.io/Logging_0380/tillsynsmail/A 29803-2023 tillsynsbegäran mail.docx", "A 29803-2023")</f>
        <v/>
      </c>
    </row>
    <row r="180" ht="15" customHeight="1">
      <c r="A180" t="inlineStr">
        <is>
          <t>A 31572-2023</t>
        </is>
      </c>
      <c r="B180" s="1" t="n">
        <v>45117</v>
      </c>
      <c r="C180" s="1" t="n">
        <v>45846</v>
      </c>
      <c r="D180" t="inlineStr">
        <is>
          <t>UPPSALA LÄN</t>
        </is>
      </c>
      <c r="E180" t="inlineStr">
        <is>
          <t>HEBY</t>
        </is>
      </c>
      <c r="G180" t="n">
        <v>6.1</v>
      </c>
      <c r="H180" t="n">
        <v>2</v>
      </c>
      <c r="I180" t="n">
        <v>3</v>
      </c>
      <c r="J180" t="n">
        <v>0</v>
      </c>
      <c r="K180" t="n">
        <v>1</v>
      </c>
      <c r="L180" t="n">
        <v>0</v>
      </c>
      <c r="M180" t="n">
        <v>0</v>
      </c>
      <c r="N180" t="n">
        <v>0</v>
      </c>
      <c r="O180" t="n">
        <v>1</v>
      </c>
      <c r="P180" t="n">
        <v>1</v>
      </c>
      <c r="Q180" t="n">
        <v>5</v>
      </c>
      <c r="R180" s="2" t="inlineStr">
        <is>
          <t>Knärot
Grönpyrola
Norrlandslav
Vedticka
Fläcknycklar</t>
        </is>
      </c>
      <c r="S180">
        <f>HYPERLINK("https://klasma.github.io/Logging_0331/artfynd/A 31572-2023 artfynd.xlsx", "A 31572-2023")</f>
        <v/>
      </c>
      <c r="T180">
        <f>HYPERLINK("https://klasma.github.io/Logging_0331/kartor/A 31572-2023 karta.png", "A 31572-2023")</f>
        <v/>
      </c>
      <c r="U180">
        <f>HYPERLINK("https://klasma.github.io/Logging_0331/knärot/A 31572-2023 karta knärot.png", "A 31572-2023")</f>
        <v/>
      </c>
      <c r="V180">
        <f>HYPERLINK("https://klasma.github.io/Logging_0331/klagomål/A 31572-2023 FSC-klagomål.docx", "A 31572-2023")</f>
        <v/>
      </c>
      <c r="W180">
        <f>HYPERLINK("https://klasma.github.io/Logging_0331/klagomålsmail/A 31572-2023 FSC-klagomål mail.docx", "A 31572-2023")</f>
        <v/>
      </c>
      <c r="X180">
        <f>HYPERLINK("https://klasma.github.io/Logging_0331/tillsyn/A 31572-2023 tillsynsbegäran.docx", "A 31572-2023")</f>
        <v/>
      </c>
      <c r="Y180">
        <f>HYPERLINK("https://klasma.github.io/Logging_0331/tillsynsmail/A 31572-2023 tillsynsbegäran mail.docx", "A 31572-2023")</f>
        <v/>
      </c>
    </row>
    <row r="181" ht="15" customHeight="1">
      <c r="A181" t="inlineStr">
        <is>
          <t>A 46964-2023</t>
        </is>
      </c>
      <c r="B181" s="1" t="n">
        <v>45201</v>
      </c>
      <c r="C181" s="1" t="n">
        <v>45846</v>
      </c>
      <c r="D181" t="inlineStr">
        <is>
          <t>UPPSALA LÄN</t>
        </is>
      </c>
      <c r="E181" t="inlineStr">
        <is>
          <t>ÖSTHAMMAR</t>
        </is>
      </c>
      <c r="G181" t="n">
        <v>1.1</v>
      </c>
      <c r="H181" t="n">
        <v>0</v>
      </c>
      <c r="I181" t="n">
        <v>3</v>
      </c>
      <c r="J181" t="n">
        <v>2</v>
      </c>
      <c r="K181" t="n">
        <v>0</v>
      </c>
      <c r="L181" t="n">
        <v>0</v>
      </c>
      <c r="M181" t="n">
        <v>0</v>
      </c>
      <c r="N181" t="n">
        <v>0</v>
      </c>
      <c r="O181" t="n">
        <v>2</v>
      </c>
      <c r="P181" t="n">
        <v>0</v>
      </c>
      <c r="Q181" t="n">
        <v>5</v>
      </c>
      <c r="R181" s="2" t="inlineStr">
        <is>
          <t>Granticka
Orange taggsvamp
Anisspindling
Granbarkgnagare
Trådticka</t>
        </is>
      </c>
      <c r="S181">
        <f>HYPERLINK("https://klasma.github.io/Logging_0382/artfynd/A 46964-2023 artfynd.xlsx", "A 46964-2023")</f>
        <v/>
      </c>
      <c r="T181">
        <f>HYPERLINK("https://klasma.github.io/Logging_0382/kartor/A 46964-2023 karta.png", "A 46964-2023")</f>
        <v/>
      </c>
      <c r="V181">
        <f>HYPERLINK("https://klasma.github.io/Logging_0382/klagomål/A 46964-2023 FSC-klagomål.docx", "A 46964-2023")</f>
        <v/>
      </c>
      <c r="W181">
        <f>HYPERLINK("https://klasma.github.io/Logging_0382/klagomålsmail/A 46964-2023 FSC-klagomål mail.docx", "A 46964-2023")</f>
        <v/>
      </c>
      <c r="X181">
        <f>HYPERLINK("https://klasma.github.io/Logging_0382/tillsyn/A 46964-2023 tillsynsbegäran.docx", "A 46964-2023")</f>
        <v/>
      </c>
      <c r="Y181">
        <f>HYPERLINK("https://klasma.github.io/Logging_0382/tillsynsmail/A 46964-2023 tillsynsbegäran mail.docx", "A 46964-2023")</f>
        <v/>
      </c>
    </row>
    <row r="182" ht="15" customHeight="1">
      <c r="A182" t="inlineStr">
        <is>
          <t>A 49896-2023</t>
        </is>
      </c>
      <c r="B182" s="1" t="n">
        <v>45213</v>
      </c>
      <c r="C182" s="1" t="n">
        <v>45846</v>
      </c>
      <c r="D182" t="inlineStr">
        <is>
          <t>UPPSALA LÄN</t>
        </is>
      </c>
      <c r="E182" t="inlineStr">
        <is>
          <t>KNIVSTA</t>
        </is>
      </c>
      <c r="G182" t="n">
        <v>4.8</v>
      </c>
      <c r="H182" t="n">
        <v>5</v>
      </c>
      <c r="I182" t="n">
        <v>0</v>
      </c>
      <c r="J182" t="n">
        <v>2</v>
      </c>
      <c r="K182" t="n">
        <v>0</v>
      </c>
      <c r="L182" t="n">
        <v>0</v>
      </c>
      <c r="M182" t="n">
        <v>0</v>
      </c>
      <c r="N182" t="n">
        <v>0</v>
      </c>
      <c r="O182" t="n">
        <v>2</v>
      </c>
      <c r="P182" t="n">
        <v>0</v>
      </c>
      <c r="Q182" t="n">
        <v>5</v>
      </c>
      <c r="R182" s="2" t="inlineStr">
        <is>
          <t>Gulsparv
Talltita
Grönsiska
Järnsparv
Kungsfågel</t>
        </is>
      </c>
      <c r="S182">
        <f>HYPERLINK("https://klasma.github.io/Logging_0330/artfynd/A 49896-2023 artfynd.xlsx", "A 49896-2023")</f>
        <v/>
      </c>
      <c r="T182">
        <f>HYPERLINK("https://klasma.github.io/Logging_0330/kartor/A 49896-2023 karta.png", "A 49896-2023")</f>
        <v/>
      </c>
      <c r="V182">
        <f>HYPERLINK("https://klasma.github.io/Logging_0330/klagomål/A 49896-2023 FSC-klagomål.docx", "A 49896-2023")</f>
        <v/>
      </c>
      <c r="W182">
        <f>HYPERLINK("https://klasma.github.io/Logging_0330/klagomålsmail/A 49896-2023 FSC-klagomål mail.docx", "A 49896-2023")</f>
        <v/>
      </c>
      <c r="X182">
        <f>HYPERLINK("https://klasma.github.io/Logging_0330/tillsyn/A 49896-2023 tillsynsbegäran.docx", "A 49896-2023")</f>
        <v/>
      </c>
      <c r="Y182">
        <f>HYPERLINK("https://klasma.github.io/Logging_0330/tillsynsmail/A 49896-2023 tillsynsbegäran mail.docx", "A 49896-2023")</f>
        <v/>
      </c>
      <c r="Z182">
        <f>HYPERLINK("https://klasma.github.io/Logging_0330/fåglar/A 49896-2023 prioriterade fågelarter.docx", "A 49896-2023")</f>
        <v/>
      </c>
    </row>
    <row r="183" ht="15" customHeight="1">
      <c r="A183" t="inlineStr">
        <is>
          <t>A 54749-2023</t>
        </is>
      </c>
      <c r="B183" s="1" t="n">
        <v>45236</v>
      </c>
      <c r="C183" s="1" t="n">
        <v>45846</v>
      </c>
      <c r="D183" t="inlineStr">
        <is>
          <t>UPPSALA LÄN</t>
        </is>
      </c>
      <c r="E183" t="inlineStr">
        <is>
          <t>TIERP</t>
        </is>
      </c>
      <c r="G183" t="n">
        <v>4.9</v>
      </c>
      <c r="H183" t="n">
        <v>4</v>
      </c>
      <c r="I183" t="n">
        <v>0</v>
      </c>
      <c r="J183" t="n">
        <v>4</v>
      </c>
      <c r="K183" t="n">
        <v>0</v>
      </c>
      <c r="L183" t="n">
        <v>0</v>
      </c>
      <c r="M183" t="n">
        <v>0</v>
      </c>
      <c r="N183" t="n">
        <v>0</v>
      </c>
      <c r="O183" t="n">
        <v>4</v>
      </c>
      <c r="P183" t="n">
        <v>0</v>
      </c>
      <c r="Q183" t="n">
        <v>5</v>
      </c>
      <c r="R183" s="2" t="inlineStr">
        <is>
          <t>Grönsångare
Rödvingetrast
Storgröe
Svartvit flugsnappare
Blåsippa</t>
        </is>
      </c>
      <c r="S183">
        <f>HYPERLINK("https://klasma.github.io/Logging_0360/artfynd/A 54749-2023 artfynd.xlsx", "A 54749-2023")</f>
        <v/>
      </c>
      <c r="T183">
        <f>HYPERLINK("https://klasma.github.io/Logging_0360/kartor/A 54749-2023 karta.png", "A 54749-2023")</f>
        <v/>
      </c>
      <c r="V183">
        <f>HYPERLINK("https://klasma.github.io/Logging_0360/klagomål/A 54749-2023 FSC-klagomål.docx", "A 54749-2023")</f>
        <v/>
      </c>
      <c r="W183">
        <f>HYPERLINK("https://klasma.github.io/Logging_0360/klagomålsmail/A 54749-2023 FSC-klagomål mail.docx", "A 54749-2023")</f>
        <v/>
      </c>
      <c r="X183">
        <f>HYPERLINK("https://klasma.github.io/Logging_0360/tillsyn/A 54749-2023 tillsynsbegäran.docx", "A 54749-2023")</f>
        <v/>
      </c>
      <c r="Y183">
        <f>HYPERLINK("https://klasma.github.io/Logging_0360/tillsynsmail/A 54749-2023 tillsynsbegäran mail.docx", "A 54749-2023")</f>
        <v/>
      </c>
      <c r="Z183">
        <f>HYPERLINK("https://klasma.github.io/Logging_0360/fåglar/A 54749-2023 prioriterade fågelarter.docx", "A 54749-2023")</f>
        <v/>
      </c>
    </row>
    <row r="184" ht="15" customHeight="1">
      <c r="A184" t="inlineStr">
        <is>
          <t>A 56075-2023</t>
        </is>
      </c>
      <c r="B184" s="1" t="n">
        <v>45240</v>
      </c>
      <c r="C184" s="1" t="n">
        <v>45846</v>
      </c>
      <c r="D184" t="inlineStr">
        <is>
          <t>UPPSALA LÄN</t>
        </is>
      </c>
      <c r="E184" t="inlineStr">
        <is>
          <t>HEBY</t>
        </is>
      </c>
      <c r="G184" t="n">
        <v>3.8</v>
      </c>
      <c r="H184" t="n">
        <v>1</v>
      </c>
      <c r="I184" t="n">
        <v>2</v>
      </c>
      <c r="J184" t="n">
        <v>2</v>
      </c>
      <c r="K184" t="n">
        <v>0</v>
      </c>
      <c r="L184" t="n">
        <v>0</v>
      </c>
      <c r="M184" t="n">
        <v>0</v>
      </c>
      <c r="N184" t="n">
        <v>0</v>
      </c>
      <c r="O184" t="n">
        <v>2</v>
      </c>
      <c r="P184" t="n">
        <v>0</v>
      </c>
      <c r="Q184" t="n">
        <v>5</v>
      </c>
      <c r="R184" s="2" t="inlineStr">
        <is>
          <t>Ullticka
Vedtrappmossa
Jättesvampmal
Rostfläck
Blåsippa</t>
        </is>
      </c>
      <c r="S184">
        <f>HYPERLINK("https://klasma.github.io/Logging_0331/artfynd/A 56075-2023 artfynd.xlsx", "A 56075-2023")</f>
        <v/>
      </c>
      <c r="T184">
        <f>HYPERLINK("https://klasma.github.io/Logging_0331/kartor/A 56075-2023 karta.png", "A 56075-2023")</f>
        <v/>
      </c>
      <c r="V184">
        <f>HYPERLINK("https://klasma.github.io/Logging_0331/klagomål/A 56075-2023 FSC-klagomål.docx", "A 56075-2023")</f>
        <v/>
      </c>
      <c r="W184">
        <f>HYPERLINK("https://klasma.github.io/Logging_0331/klagomålsmail/A 56075-2023 FSC-klagomål mail.docx", "A 56075-2023")</f>
        <v/>
      </c>
      <c r="X184">
        <f>HYPERLINK("https://klasma.github.io/Logging_0331/tillsyn/A 56075-2023 tillsynsbegäran.docx", "A 56075-2023")</f>
        <v/>
      </c>
      <c r="Y184">
        <f>HYPERLINK("https://klasma.github.io/Logging_0331/tillsynsmail/A 56075-2023 tillsynsbegäran mail.docx", "A 56075-2023")</f>
        <v/>
      </c>
    </row>
    <row r="185" ht="15" customHeight="1">
      <c r="A185" t="inlineStr">
        <is>
          <t>A 63181-2023</t>
        </is>
      </c>
      <c r="B185" s="1" t="n">
        <v>45273</v>
      </c>
      <c r="C185" s="1" t="n">
        <v>45846</v>
      </c>
      <c r="D185" t="inlineStr">
        <is>
          <t>UPPSALA LÄN</t>
        </is>
      </c>
      <c r="E185" t="inlineStr">
        <is>
          <t>UPPSALA</t>
        </is>
      </c>
      <c r="G185" t="n">
        <v>3.2</v>
      </c>
      <c r="H185" t="n">
        <v>0</v>
      </c>
      <c r="I185" t="n">
        <v>2</v>
      </c>
      <c r="J185" t="n">
        <v>3</v>
      </c>
      <c r="K185" t="n">
        <v>0</v>
      </c>
      <c r="L185" t="n">
        <v>0</v>
      </c>
      <c r="M185" t="n">
        <v>0</v>
      </c>
      <c r="N185" t="n">
        <v>0</v>
      </c>
      <c r="O185" t="n">
        <v>3</v>
      </c>
      <c r="P185" t="n">
        <v>0</v>
      </c>
      <c r="Q185" t="n">
        <v>5</v>
      </c>
      <c r="R185" s="2" t="inlineStr">
        <is>
          <t>Barrviolspindling
Harticka
Kungsspindling
Brandticka
Kamjordstjärna</t>
        </is>
      </c>
      <c r="S185">
        <f>HYPERLINK("https://klasma.github.io/Logging_0380/artfynd/A 63181-2023 artfynd.xlsx", "A 63181-2023")</f>
        <v/>
      </c>
      <c r="T185">
        <f>HYPERLINK("https://klasma.github.io/Logging_0380/kartor/A 63181-2023 karta.png", "A 63181-2023")</f>
        <v/>
      </c>
      <c r="V185">
        <f>HYPERLINK("https://klasma.github.io/Logging_0380/klagomål/A 63181-2023 FSC-klagomål.docx", "A 63181-2023")</f>
        <v/>
      </c>
      <c r="W185">
        <f>HYPERLINK("https://klasma.github.io/Logging_0380/klagomålsmail/A 63181-2023 FSC-klagomål mail.docx", "A 63181-2023")</f>
        <v/>
      </c>
      <c r="X185">
        <f>HYPERLINK("https://klasma.github.io/Logging_0380/tillsyn/A 63181-2023 tillsynsbegäran.docx", "A 63181-2023")</f>
        <v/>
      </c>
      <c r="Y185">
        <f>HYPERLINK("https://klasma.github.io/Logging_0380/tillsynsmail/A 63181-2023 tillsynsbegäran mail.docx", "A 63181-2023")</f>
        <v/>
      </c>
    </row>
    <row r="186" ht="15" customHeight="1">
      <c r="A186" t="inlineStr">
        <is>
          <t>A 3100-2024</t>
        </is>
      </c>
      <c r="B186" s="1" t="n">
        <v>45316</v>
      </c>
      <c r="C186" s="1" t="n">
        <v>45846</v>
      </c>
      <c r="D186" t="inlineStr">
        <is>
          <t>UPPSALA LÄN</t>
        </is>
      </c>
      <c r="E186" t="inlineStr">
        <is>
          <t>UPPSALA</t>
        </is>
      </c>
      <c r="F186" t="inlineStr">
        <is>
          <t>Holmen skog AB</t>
        </is>
      </c>
      <c r="G186" t="n">
        <v>3.5</v>
      </c>
      <c r="H186" t="n">
        <v>5</v>
      </c>
      <c r="I186" t="n">
        <v>1</v>
      </c>
      <c r="J186" t="n">
        <v>0</v>
      </c>
      <c r="K186" t="n">
        <v>0</v>
      </c>
      <c r="L186" t="n">
        <v>0</v>
      </c>
      <c r="M186" t="n">
        <v>0</v>
      </c>
      <c r="N186" t="n">
        <v>0</v>
      </c>
      <c r="O186" t="n">
        <v>0</v>
      </c>
      <c r="P186" t="n">
        <v>0</v>
      </c>
      <c r="Q186" t="n">
        <v>5</v>
      </c>
      <c r="R186" s="2" t="inlineStr">
        <is>
          <t>Nästrot
Grönsiska
Järnsparv
Kungsfågel
Blåsippa</t>
        </is>
      </c>
      <c r="S186">
        <f>HYPERLINK("https://klasma.github.io/Logging_0380/artfynd/A 3100-2024 artfynd.xlsx", "A 3100-2024")</f>
        <v/>
      </c>
      <c r="T186">
        <f>HYPERLINK("https://klasma.github.io/Logging_0380/kartor/A 3100-2024 karta.png", "A 3100-2024")</f>
        <v/>
      </c>
      <c r="V186">
        <f>HYPERLINK("https://klasma.github.io/Logging_0380/klagomål/A 3100-2024 FSC-klagomål.docx", "A 3100-2024")</f>
        <v/>
      </c>
      <c r="W186">
        <f>HYPERLINK("https://klasma.github.io/Logging_0380/klagomålsmail/A 3100-2024 FSC-klagomål mail.docx", "A 3100-2024")</f>
        <v/>
      </c>
      <c r="X186">
        <f>HYPERLINK("https://klasma.github.io/Logging_0380/tillsyn/A 3100-2024 tillsynsbegäran.docx", "A 3100-2024")</f>
        <v/>
      </c>
      <c r="Y186">
        <f>HYPERLINK("https://klasma.github.io/Logging_0380/tillsynsmail/A 3100-2024 tillsynsbegäran mail.docx", "A 3100-2024")</f>
        <v/>
      </c>
      <c r="Z186">
        <f>HYPERLINK("https://klasma.github.io/Logging_0380/fåglar/A 3100-2024 prioriterade fågelarter.docx", "A 3100-2024")</f>
        <v/>
      </c>
    </row>
    <row r="187" ht="15" customHeight="1">
      <c r="A187" t="inlineStr">
        <is>
          <t>A 45285-2024</t>
        </is>
      </c>
      <c r="B187" s="1" t="n">
        <v>45576</v>
      </c>
      <c r="C187" s="1" t="n">
        <v>45846</v>
      </c>
      <c r="D187" t="inlineStr">
        <is>
          <t>UPPSALA LÄN</t>
        </is>
      </c>
      <c r="E187" t="inlineStr">
        <is>
          <t>TIERP</t>
        </is>
      </c>
      <c r="G187" t="n">
        <v>13.5</v>
      </c>
      <c r="H187" t="n">
        <v>0</v>
      </c>
      <c r="I187" t="n">
        <v>1</v>
      </c>
      <c r="J187" t="n">
        <v>3</v>
      </c>
      <c r="K187" t="n">
        <v>1</v>
      </c>
      <c r="L187" t="n">
        <v>0</v>
      </c>
      <c r="M187" t="n">
        <v>0</v>
      </c>
      <c r="N187" t="n">
        <v>0</v>
      </c>
      <c r="O187" t="n">
        <v>4</v>
      </c>
      <c r="P187" t="n">
        <v>1</v>
      </c>
      <c r="Q187" t="n">
        <v>5</v>
      </c>
      <c r="R187" s="2" t="inlineStr">
        <is>
          <t>Violgubbe
Dofttaggsvamp
Persiljespindling
Slåtterfibbla
Skarp dropptaggsvamp</t>
        </is>
      </c>
      <c r="S187">
        <f>HYPERLINK("https://klasma.github.io/Logging_0360/artfynd/A 45285-2024 artfynd.xlsx", "A 45285-2024")</f>
        <v/>
      </c>
      <c r="T187">
        <f>HYPERLINK("https://klasma.github.io/Logging_0360/kartor/A 45285-2024 karta.png", "A 45285-2024")</f>
        <v/>
      </c>
      <c r="V187">
        <f>HYPERLINK("https://klasma.github.io/Logging_0360/klagomål/A 45285-2024 FSC-klagomål.docx", "A 45285-2024")</f>
        <v/>
      </c>
      <c r="W187">
        <f>HYPERLINK("https://klasma.github.io/Logging_0360/klagomålsmail/A 45285-2024 FSC-klagomål mail.docx", "A 45285-2024")</f>
        <v/>
      </c>
      <c r="X187">
        <f>HYPERLINK("https://klasma.github.io/Logging_0360/tillsyn/A 45285-2024 tillsynsbegäran.docx", "A 45285-2024")</f>
        <v/>
      </c>
      <c r="Y187">
        <f>HYPERLINK("https://klasma.github.io/Logging_0360/tillsynsmail/A 45285-2024 tillsynsbegäran mail.docx", "A 45285-2024")</f>
        <v/>
      </c>
    </row>
    <row r="188" ht="15" customHeight="1">
      <c r="A188" t="inlineStr">
        <is>
          <t>A 46718-2024</t>
        </is>
      </c>
      <c r="B188" s="1" t="n">
        <v>45583</v>
      </c>
      <c r="C188" s="1" t="n">
        <v>45846</v>
      </c>
      <c r="D188" t="inlineStr">
        <is>
          <t>UPPSALA LÄN</t>
        </is>
      </c>
      <c r="E188" t="inlineStr">
        <is>
          <t>UPPSALA</t>
        </is>
      </c>
      <c r="F188" t="inlineStr">
        <is>
          <t>Sveaskog</t>
        </is>
      </c>
      <c r="G188" t="n">
        <v>3.1</v>
      </c>
      <c r="H188" t="n">
        <v>1</v>
      </c>
      <c r="I188" t="n">
        <v>3</v>
      </c>
      <c r="J188" t="n">
        <v>0</v>
      </c>
      <c r="K188" t="n">
        <v>1</v>
      </c>
      <c r="L188" t="n">
        <v>0</v>
      </c>
      <c r="M188" t="n">
        <v>0</v>
      </c>
      <c r="N188" t="n">
        <v>0</v>
      </c>
      <c r="O188" t="n">
        <v>1</v>
      </c>
      <c r="P188" t="n">
        <v>1</v>
      </c>
      <c r="Q188" t="n">
        <v>5</v>
      </c>
      <c r="R188" s="2" t="inlineStr">
        <is>
          <t>Rynkskinn
Fjällig taggsvamp s.str.
Skogshakmossa
Trådticka
Blåsippa</t>
        </is>
      </c>
      <c r="S188">
        <f>HYPERLINK("https://klasma.github.io/Logging_0380/artfynd/A 46718-2024 artfynd.xlsx", "A 46718-2024")</f>
        <v/>
      </c>
      <c r="T188">
        <f>HYPERLINK("https://klasma.github.io/Logging_0380/kartor/A 46718-2024 karta.png", "A 46718-2024")</f>
        <v/>
      </c>
      <c r="V188">
        <f>HYPERLINK("https://klasma.github.io/Logging_0380/klagomål/A 46718-2024 FSC-klagomål.docx", "A 46718-2024")</f>
        <v/>
      </c>
      <c r="W188">
        <f>HYPERLINK("https://klasma.github.io/Logging_0380/klagomålsmail/A 46718-2024 FSC-klagomål mail.docx", "A 46718-2024")</f>
        <v/>
      </c>
      <c r="X188">
        <f>HYPERLINK("https://klasma.github.io/Logging_0380/tillsyn/A 46718-2024 tillsynsbegäran.docx", "A 46718-2024")</f>
        <v/>
      </c>
      <c r="Y188">
        <f>HYPERLINK("https://klasma.github.io/Logging_0380/tillsynsmail/A 46718-2024 tillsynsbegäran mail.docx", "A 46718-2024")</f>
        <v/>
      </c>
    </row>
    <row r="189" ht="15" customHeight="1">
      <c r="A189" t="inlineStr">
        <is>
          <t>A 59194-2024</t>
        </is>
      </c>
      <c r="B189" s="1" t="n">
        <v>45637</v>
      </c>
      <c r="C189" s="1" t="n">
        <v>45846</v>
      </c>
      <c r="D189" t="inlineStr">
        <is>
          <t>UPPSALA LÄN</t>
        </is>
      </c>
      <c r="E189" t="inlineStr">
        <is>
          <t>ÖSTHAMMAR</t>
        </is>
      </c>
      <c r="F189" t="inlineStr">
        <is>
          <t>Övriga Aktiebolag</t>
        </is>
      </c>
      <c r="G189" t="n">
        <v>13.5</v>
      </c>
      <c r="H189" t="n">
        <v>4</v>
      </c>
      <c r="I189" t="n">
        <v>1</v>
      </c>
      <c r="J189" t="n">
        <v>1</v>
      </c>
      <c r="K189" t="n">
        <v>1</v>
      </c>
      <c r="L189" t="n">
        <v>0</v>
      </c>
      <c r="M189" t="n">
        <v>0</v>
      </c>
      <c r="N189" t="n">
        <v>0</v>
      </c>
      <c r="O189" t="n">
        <v>2</v>
      </c>
      <c r="P189" t="n">
        <v>1</v>
      </c>
      <c r="Q189" t="n">
        <v>5</v>
      </c>
      <c r="R189" s="2" t="inlineStr">
        <is>
          <t>Knärot
Spillkråka
Bronshjon
Tjäder
Revlummer</t>
        </is>
      </c>
      <c r="S189">
        <f>HYPERLINK("https://klasma.github.io/Logging_0382/artfynd/A 59194-2024 artfynd.xlsx", "A 59194-2024")</f>
        <v/>
      </c>
      <c r="T189">
        <f>HYPERLINK("https://klasma.github.io/Logging_0382/kartor/A 59194-2024 karta.png", "A 59194-2024")</f>
        <v/>
      </c>
      <c r="U189">
        <f>HYPERLINK("https://klasma.github.io/Logging_0382/knärot/A 59194-2024 karta knärot.png", "A 59194-2024")</f>
        <v/>
      </c>
      <c r="V189">
        <f>HYPERLINK("https://klasma.github.io/Logging_0382/klagomål/A 59194-2024 FSC-klagomål.docx", "A 59194-2024")</f>
        <v/>
      </c>
      <c r="W189">
        <f>HYPERLINK("https://klasma.github.io/Logging_0382/klagomålsmail/A 59194-2024 FSC-klagomål mail.docx", "A 59194-2024")</f>
        <v/>
      </c>
      <c r="X189">
        <f>HYPERLINK("https://klasma.github.io/Logging_0382/tillsyn/A 59194-2024 tillsynsbegäran.docx", "A 59194-2024")</f>
        <v/>
      </c>
      <c r="Y189">
        <f>HYPERLINK("https://klasma.github.io/Logging_0382/tillsynsmail/A 59194-2024 tillsynsbegäran mail.docx", "A 59194-2024")</f>
        <v/>
      </c>
      <c r="Z189">
        <f>HYPERLINK("https://klasma.github.io/Logging_0382/fåglar/A 59194-2024 prioriterade fågelarter.docx", "A 59194-2024")</f>
        <v/>
      </c>
    </row>
    <row r="190" ht="15" customHeight="1">
      <c r="A190" t="inlineStr">
        <is>
          <t>A 10362-2025</t>
        </is>
      </c>
      <c r="B190" s="1" t="n">
        <v>45720</v>
      </c>
      <c r="C190" s="1" t="n">
        <v>45846</v>
      </c>
      <c r="D190" t="inlineStr">
        <is>
          <t>UPPSALA LÄN</t>
        </is>
      </c>
      <c r="E190" t="inlineStr">
        <is>
          <t>TIERP</t>
        </is>
      </c>
      <c r="F190" t="inlineStr">
        <is>
          <t>Bergvik skog öst AB</t>
        </is>
      </c>
      <c r="G190" t="n">
        <v>2.3</v>
      </c>
      <c r="H190" t="n">
        <v>2</v>
      </c>
      <c r="I190" t="n">
        <v>5</v>
      </c>
      <c r="J190" t="n">
        <v>0</v>
      </c>
      <c r="K190" t="n">
        <v>0</v>
      </c>
      <c r="L190" t="n">
        <v>0</v>
      </c>
      <c r="M190" t="n">
        <v>0</v>
      </c>
      <c r="N190" t="n">
        <v>0</v>
      </c>
      <c r="O190" t="n">
        <v>0</v>
      </c>
      <c r="P190" t="n">
        <v>0</v>
      </c>
      <c r="Q190" t="n">
        <v>5</v>
      </c>
      <c r="R190" s="2" t="inlineStr">
        <is>
          <t>Fjällig taggsvamp s.str.
Grönpyrola
Nästrot
Olivspindling
Skogsknipprot</t>
        </is>
      </c>
      <c r="S190">
        <f>HYPERLINK("https://klasma.github.io/Logging_030360/artfynd/A 10362-2025 artfynd.xlsx", "A 10362-2025")</f>
        <v/>
      </c>
      <c r="T190">
        <f>HYPERLINK("https://klasma.github.io/Logging_030360/kartor/A 10362-2025 karta.png", "A 10362-2025")</f>
        <v/>
      </c>
      <c r="V190">
        <f>HYPERLINK("https://klasma.github.io/Logging_030360/klagomål/A 10362-2025 FSC-klagomål.docx", "A 10362-2025")</f>
        <v/>
      </c>
      <c r="W190">
        <f>HYPERLINK("https://klasma.github.io/Logging_030360/klagomålsmail/A 10362-2025 FSC-klagomål mail.docx", "A 10362-2025")</f>
        <v/>
      </c>
      <c r="X190">
        <f>HYPERLINK("https://klasma.github.io/Logging_030360/tillsyn/A 10362-2025 tillsynsbegäran.docx", "A 10362-2025")</f>
        <v/>
      </c>
      <c r="Y190">
        <f>HYPERLINK("https://klasma.github.io/Logging_030360/tillsynsmail/A 10362-2025 tillsynsbegäran mail.docx", "A 10362-2025")</f>
        <v/>
      </c>
    </row>
    <row r="191" ht="15" customHeight="1">
      <c r="A191" t="inlineStr">
        <is>
          <t>A 13546-2025</t>
        </is>
      </c>
      <c r="B191" s="1" t="n">
        <v>45736</v>
      </c>
      <c r="C191" s="1" t="n">
        <v>45846</v>
      </c>
      <c r="D191" t="inlineStr">
        <is>
          <t>UPPSALA LÄN</t>
        </is>
      </c>
      <c r="E191" t="inlineStr">
        <is>
          <t>UPPSALA</t>
        </is>
      </c>
      <c r="F191" t="inlineStr">
        <is>
          <t>Allmännings- och besparingsskogar</t>
        </is>
      </c>
      <c r="G191" t="n">
        <v>3.7</v>
      </c>
      <c r="H191" t="n">
        <v>1</v>
      </c>
      <c r="I191" t="n">
        <v>3</v>
      </c>
      <c r="J191" t="n">
        <v>1</v>
      </c>
      <c r="K191" t="n">
        <v>0</v>
      </c>
      <c r="L191" t="n">
        <v>0</v>
      </c>
      <c r="M191" t="n">
        <v>0</v>
      </c>
      <c r="N191" t="n">
        <v>0</v>
      </c>
      <c r="O191" t="n">
        <v>1</v>
      </c>
      <c r="P191" t="n">
        <v>0</v>
      </c>
      <c r="Q191" t="n">
        <v>5</v>
      </c>
      <c r="R191" s="2" t="inlineStr">
        <is>
          <t>Ullticka
Bronshjon
Thomsons trägnagare
Vanlig flatbagge
Blåsippa</t>
        </is>
      </c>
      <c r="S191">
        <f>HYPERLINK("https://klasma.github.io/Logging_030380/artfynd/A 13546-2025 artfynd.xlsx", "A 13546-2025")</f>
        <v/>
      </c>
      <c r="T191">
        <f>HYPERLINK("https://klasma.github.io/Logging_030380/kartor/A 13546-2025 karta.png", "A 13546-2025")</f>
        <v/>
      </c>
      <c r="V191">
        <f>HYPERLINK("https://klasma.github.io/Logging_030380/klagomål/A 13546-2025 FSC-klagomål.docx", "A 13546-2025")</f>
        <v/>
      </c>
      <c r="W191">
        <f>HYPERLINK("https://klasma.github.io/Logging_030380/klagomålsmail/A 13546-2025 FSC-klagomål mail.docx", "A 13546-2025")</f>
        <v/>
      </c>
      <c r="X191">
        <f>HYPERLINK("https://klasma.github.io/Logging_030380/tillsyn/A 13546-2025 tillsynsbegäran.docx", "A 13546-2025")</f>
        <v/>
      </c>
      <c r="Y191">
        <f>HYPERLINK("https://klasma.github.io/Logging_030380/tillsynsmail/A 13546-2025 tillsynsbegäran mail.docx", "A 13546-2025")</f>
        <v/>
      </c>
    </row>
    <row r="192" ht="15" customHeight="1">
      <c r="A192" t="inlineStr">
        <is>
          <t>A 26056-2025</t>
        </is>
      </c>
      <c r="B192" s="1" t="n">
        <v>45804</v>
      </c>
      <c r="C192" s="1" t="n">
        <v>45846</v>
      </c>
      <c r="D192" t="inlineStr">
        <is>
          <t>UPPSALA LÄN</t>
        </is>
      </c>
      <c r="E192" t="inlineStr">
        <is>
          <t>ÖSTHAMMAR</t>
        </is>
      </c>
      <c r="F192" t="inlineStr">
        <is>
          <t>Bergvik skog väst AB</t>
        </is>
      </c>
      <c r="G192" t="n">
        <v>4.7</v>
      </c>
      <c r="H192" t="n">
        <v>0</v>
      </c>
      <c r="I192" t="n">
        <v>0</v>
      </c>
      <c r="J192" t="n">
        <v>4</v>
      </c>
      <c r="K192" t="n">
        <v>1</v>
      </c>
      <c r="L192" t="n">
        <v>0</v>
      </c>
      <c r="M192" t="n">
        <v>0</v>
      </c>
      <c r="N192" t="n">
        <v>0</v>
      </c>
      <c r="O192" t="n">
        <v>5</v>
      </c>
      <c r="P192" t="n">
        <v>1</v>
      </c>
      <c r="Q192" t="n">
        <v>5</v>
      </c>
      <c r="R192" s="2" t="inlineStr">
        <is>
          <t>Skägglavmätare
Jungfrulinspraktmal
Mindre träfjäril
Piltecknad fältmätare
Större borstspinnare</t>
        </is>
      </c>
      <c r="S192">
        <f>HYPERLINK("https://klasma.github.io/Logging_030382/artfynd/A 26056-2025 artfynd.xlsx", "A 26056-2025")</f>
        <v/>
      </c>
      <c r="T192">
        <f>HYPERLINK("https://klasma.github.io/Logging_030382/kartor/A 26056-2025 karta.png", "A 26056-2025")</f>
        <v/>
      </c>
      <c r="V192">
        <f>HYPERLINK("https://klasma.github.io/Logging_030382/klagomål/A 26056-2025 FSC-klagomål.docx", "A 26056-2025")</f>
        <v/>
      </c>
      <c r="W192">
        <f>HYPERLINK("https://klasma.github.io/Logging_030382/klagomålsmail/A 26056-2025 FSC-klagomål mail.docx", "A 26056-2025")</f>
        <v/>
      </c>
      <c r="X192">
        <f>HYPERLINK("https://klasma.github.io/Logging_030382/tillsyn/A 26056-2025 tillsynsbegäran.docx", "A 26056-2025")</f>
        <v/>
      </c>
      <c r="Y192">
        <f>HYPERLINK("https://klasma.github.io/Logging_030382/tillsynsmail/A 26056-2025 tillsynsbegäran mail.docx", "A 26056-2025")</f>
        <v/>
      </c>
    </row>
    <row r="193" ht="15" customHeight="1">
      <c r="A193" t="inlineStr">
        <is>
          <t>A 27281-2025</t>
        </is>
      </c>
      <c r="B193" s="1" t="n">
        <v>45812</v>
      </c>
      <c r="C193" s="1" t="n">
        <v>45846</v>
      </c>
      <c r="D193" t="inlineStr">
        <is>
          <t>UPPSALA LÄN</t>
        </is>
      </c>
      <c r="E193" t="inlineStr">
        <is>
          <t>UPPSALA</t>
        </is>
      </c>
      <c r="G193" t="n">
        <v>2.8</v>
      </c>
      <c r="H193" t="n">
        <v>3</v>
      </c>
      <c r="I193" t="n">
        <v>1</v>
      </c>
      <c r="J193" t="n">
        <v>2</v>
      </c>
      <c r="K193" t="n">
        <v>0</v>
      </c>
      <c r="L193" t="n">
        <v>0</v>
      </c>
      <c r="M193" t="n">
        <v>0</v>
      </c>
      <c r="N193" t="n">
        <v>0</v>
      </c>
      <c r="O193" t="n">
        <v>2</v>
      </c>
      <c r="P193" t="n">
        <v>0</v>
      </c>
      <c r="Q193" t="n">
        <v>5</v>
      </c>
      <c r="R193" s="2" t="inlineStr">
        <is>
          <t>Ullticka
Vedtrappmossa
Grön sköldmossa
Kungsfågel
Nattviol</t>
        </is>
      </c>
      <c r="S193">
        <f>HYPERLINK("https://klasma.github.io/Logging_030380/artfynd/A 27281-2025 artfynd.xlsx", "A 27281-2025")</f>
        <v/>
      </c>
      <c r="T193">
        <f>HYPERLINK("https://klasma.github.io/Logging_030380/kartor/A 27281-2025 karta.png", "A 27281-2025")</f>
        <v/>
      </c>
      <c r="V193">
        <f>HYPERLINK("https://klasma.github.io/Logging_030380/klagomål/A 27281-2025 FSC-klagomål.docx", "A 27281-2025")</f>
        <v/>
      </c>
      <c r="W193">
        <f>HYPERLINK("https://klasma.github.io/Logging_030380/klagomålsmail/A 27281-2025 FSC-klagomål mail.docx", "A 27281-2025")</f>
        <v/>
      </c>
      <c r="X193">
        <f>HYPERLINK("https://klasma.github.io/Logging_030380/tillsyn/A 27281-2025 tillsynsbegäran.docx", "A 27281-2025")</f>
        <v/>
      </c>
      <c r="Y193">
        <f>HYPERLINK("https://klasma.github.io/Logging_030380/tillsynsmail/A 27281-2025 tillsynsbegäran mail.docx", "A 27281-2025")</f>
        <v/>
      </c>
      <c r="Z193">
        <f>HYPERLINK("https://klasma.github.io/Logging_030380/fåglar/A 27281-2025 prioriterade fågelarter.docx", "A 27281-2025")</f>
        <v/>
      </c>
    </row>
    <row r="194" ht="15" customHeight="1">
      <c r="A194" t="inlineStr">
        <is>
          <t>A 20696-2019</t>
        </is>
      </c>
      <c r="B194" s="1" t="n">
        <v>43573</v>
      </c>
      <c r="C194" s="1" t="n">
        <v>45846</v>
      </c>
      <c r="D194" t="inlineStr">
        <is>
          <t>UPPSALA LÄN</t>
        </is>
      </c>
      <c r="E194" t="inlineStr">
        <is>
          <t>ÖSTHAMMAR</t>
        </is>
      </c>
      <c r="G194" t="n">
        <v>2</v>
      </c>
      <c r="H194" t="n">
        <v>4</v>
      </c>
      <c r="I194" t="n">
        <v>2</v>
      </c>
      <c r="J194" t="n">
        <v>0</v>
      </c>
      <c r="K194" t="n">
        <v>0</v>
      </c>
      <c r="L194" t="n">
        <v>0</v>
      </c>
      <c r="M194" t="n">
        <v>0</v>
      </c>
      <c r="N194" t="n">
        <v>0</v>
      </c>
      <c r="O194" t="n">
        <v>0</v>
      </c>
      <c r="P194" t="n">
        <v>0</v>
      </c>
      <c r="Q194" t="n">
        <v>4</v>
      </c>
      <c r="R194" s="2" t="inlineStr">
        <is>
          <t>Skogsknipprot
Tvåblad
Blåsippa
Gullviva</t>
        </is>
      </c>
      <c r="S194">
        <f>HYPERLINK("https://klasma.github.io/Logging_0382/artfynd/A 20696-2019 artfynd.xlsx", "A 20696-2019")</f>
        <v/>
      </c>
      <c r="T194">
        <f>HYPERLINK("https://klasma.github.io/Logging_0382/kartor/A 20696-2019 karta.png", "A 20696-2019")</f>
        <v/>
      </c>
      <c r="V194">
        <f>HYPERLINK("https://klasma.github.io/Logging_0382/klagomål/A 20696-2019 FSC-klagomål.docx", "A 20696-2019")</f>
        <v/>
      </c>
      <c r="W194">
        <f>HYPERLINK("https://klasma.github.io/Logging_0382/klagomålsmail/A 20696-2019 FSC-klagomål mail.docx", "A 20696-2019")</f>
        <v/>
      </c>
      <c r="X194">
        <f>HYPERLINK("https://klasma.github.io/Logging_0382/tillsyn/A 20696-2019 tillsynsbegäran.docx", "A 20696-2019")</f>
        <v/>
      </c>
      <c r="Y194">
        <f>HYPERLINK("https://klasma.github.io/Logging_0382/tillsynsmail/A 20696-2019 tillsynsbegäran mail.docx", "A 20696-2019")</f>
        <v/>
      </c>
    </row>
    <row r="195" ht="15" customHeight="1">
      <c r="A195" t="inlineStr">
        <is>
          <t>A 36645-2019</t>
        </is>
      </c>
      <c r="B195" s="1" t="n">
        <v>43671</v>
      </c>
      <c r="C195" s="1" t="n">
        <v>45846</v>
      </c>
      <c r="D195" t="inlineStr">
        <is>
          <t>UPPSALA LÄN</t>
        </is>
      </c>
      <c r="E195" t="inlineStr">
        <is>
          <t>KNIVSTA</t>
        </is>
      </c>
      <c r="G195" t="n">
        <v>5.5</v>
      </c>
      <c r="H195" t="n">
        <v>1</v>
      </c>
      <c r="I195" t="n">
        <v>2</v>
      </c>
      <c r="J195" t="n">
        <v>1</v>
      </c>
      <c r="K195" t="n">
        <v>0</v>
      </c>
      <c r="L195" t="n">
        <v>0</v>
      </c>
      <c r="M195" t="n">
        <v>0</v>
      </c>
      <c r="N195" t="n">
        <v>0</v>
      </c>
      <c r="O195" t="n">
        <v>1</v>
      </c>
      <c r="P195" t="n">
        <v>0</v>
      </c>
      <c r="Q195" t="n">
        <v>4</v>
      </c>
      <c r="R195" s="2" t="inlineStr">
        <is>
          <t>Ullticka
Gulskölding
Kamjordstjärna
Blåsippa</t>
        </is>
      </c>
      <c r="S195">
        <f>HYPERLINK("https://klasma.github.io/Logging_0330/artfynd/A 36645-2019 artfynd.xlsx", "A 36645-2019")</f>
        <v/>
      </c>
      <c r="T195">
        <f>HYPERLINK("https://klasma.github.io/Logging_0330/kartor/A 36645-2019 karta.png", "A 36645-2019")</f>
        <v/>
      </c>
      <c r="V195">
        <f>HYPERLINK("https://klasma.github.io/Logging_0330/klagomål/A 36645-2019 FSC-klagomål.docx", "A 36645-2019")</f>
        <v/>
      </c>
      <c r="W195">
        <f>HYPERLINK("https://klasma.github.io/Logging_0330/klagomålsmail/A 36645-2019 FSC-klagomål mail.docx", "A 36645-2019")</f>
        <v/>
      </c>
      <c r="X195">
        <f>HYPERLINK("https://klasma.github.io/Logging_0330/tillsyn/A 36645-2019 tillsynsbegäran.docx", "A 36645-2019")</f>
        <v/>
      </c>
      <c r="Y195">
        <f>HYPERLINK("https://klasma.github.io/Logging_0330/tillsynsmail/A 36645-2019 tillsynsbegäran mail.docx", "A 36645-2019")</f>
        <v/>
      </c>
    </row>
    <row r="196" ht="15" customHeight="1">
      <c r="A196" t="inlineStr">
        <is>
          <t>A 62133-2019</t>
        </is>
      </c>
      <c r="B196" s="1" t="n">
        <v>43787</v>
      </c>
      <c r="C196" s="1" t="n">
        <v>45846</v>
      </c>
      <c r="D196" t="inlineStr">
        <is>
          <t>UPPSALA LÄN</t>
        </is>
      </c>
      <c r="E196" t="inlineStr">
        <is>
          <t>ÄLVKARLEBY</t>
        </is>
      </c>
      <c r="F196" t="inlineStr">
        <is>
          <t>Bergvik skog väst AB</t>
        </is>
      </c>
      <c r="G196" t="n">
        <v>2.5</v>
      </c>
      <c r="H196" t="n">
        <v>0</v>
      </c>
      <c r="I196" t="n">
        <v>2</v>
      </c>
      <c r="J196" t="n">
        <v>2</v>
      </c>
      <c r="K196" t="n">
        <v>0</v>
      </c>
      <c r="L196" t="n">
        <v>0</v>
      </c>
      <c r="M196" t="n">
        <v>0</v>
      </c>
      <c r="N196" t="n">
        <v>0</v>
      </c>
      <c r="O196" t="n">
        <v>2</v>
      </c>
      <c r="P196" t="n">
        <v>0</v>
      </c>
      <c r="Q196" t="n">
        <v>4</v>
      </c>
      <c r="R196" s="2" t="inlineStr">
        <is>
          <t>Rutskinn
Rödbrun blekspik
Brun nållav
Sårläka</t>
        </is>
      </c>
      <c r="S196">
        <f>HYPERLINK("https://klasma.github.io/Logging_0319/artfynd/A 62133-2019 artfynd.xlsx", "A 62133-2019")</f>
        <v/>
      </c>
      <c r="T196">
        <f>HYPERLINK("https://klasma.github.io/Logging_0319/kartor/A 62133-2019 karta.png", "A 62133-2019")</f>
        <v/>
      </c>
      <c r="V196">
        <f>HYPERLINK("https://klasma.github.io/Logging_0319/klagomål/A 62133-2019 FSC-klagomål.docx", "A 62133-2019")</f>
        <v/>
      </c>
      <c r="W196">
        <f>HYPERLINK("https://klasma.github.io/Logging_0319/klagomålsmail/A 62133-2019 FSC-klagomål mail.docx", "A 62133-2019")</f>
        <v/>
      </c>
      <c r="X196">
        <f>HYPERLINK("https://klasma.github.io/Logging_0319/tillsyn/A 62133-2019 tillsynsbegäran.docx", "A 62133-2019")</f>
        <v/>
      </c>
      <c r="Y196">
        <f>HYPERLINK("https://klasma.github.io/Logging_0319/tillsynsmail/A 62133-2019 tillsynsbegäran mail.docx", "A 62133-2019")</f>
        <v/>
      </c>
    </row>
    <row r="197" ht="15" customHeight="1">
      <c r="A197" t="inlineStr">
        <is>
          <t>A 4116-2020</t>
        </is>
      </c>
      <c r="B197" s="1" t="n">
        <v>43857</v>
      </c>
      <c r="C197" s="1" t="n">
        <v>45846</v>
      </c>
      <c r="D197" t="inlineStr">
        <is>
          <t>UPPSALA LÄN</t>
        </is>
      </c>
      <c r="E197" t="inlineStr">
        <is>
          <t>UPPSALA</t>
        </is>
      </c>
      <c r="G197" t="n">
        <v>2.4</v>
      </c>
      <c r="H197" t="n">
        <v>1</v>
      </c>
      <c r="I197" t="n">
        <v>1</v>
      </c>
      <c r="J197" t="n">
        <v>1</v>
      </c>
      <c r="K197" t="n">
        <v>1</v>
      </c>
      <c r="L197" t="n">
        <v>0</v>
      </c>
      <c r="M197" t="n">
        <v>0</v>
      </c>
      <c r="N197" t="n">
        <v>0</v>
      </c>
      <c r="O197" t="n">
        <v>2</v>
      </c>
      <c r="P197" t="n">
        <v>1</v>
      </c>
      <c r="Q197" t="n">
        <v>4</v>
      </c>
      <c r="R197" s="2" t="inlineStr">
        <is>
          <t>Grangråticka
Svart taggsvamp
Fjällig taggsvamp s.str.
Blåsippa</t>
        </is>
      </c>
      <c r="S197">
        <f>HYPERLINK("https://klasma.github.io/Logging_0380/artfynd/A 4116-2020 artfynd.xlsx", "A 4116-2020")</f>
        <v/>
      </c>
      <c r="T197">
        <f>HYPERLINK("https://klasma.github.io/Logging_0380/kartor/A 4116-2020 karta.png", "A 4116-2020")</f>
        <v/>
      </c>
      <c r="V197">
        <f>HYPERLINK("https://klasma.github.io/Logging_0380/klagomål/A 4116-2020 FSC-klagomål.docx", "A 4116-2020")</f>
        <v/>
      </c>
      <c r="W197">
        <f>HYPERLINK("https://klasma.github.io/Logging_0380/klagomålsmail/A 4116-2020 FSC-klagomål mail.docx", "A 4116-2020")</f>
        <v/>
      </c>
      <c r="X197">
        <f>HYPERLINK("https://klasma.github.io/Logging_0380/tillsyn/A 4116-2020 tillsynsbegäran.docx", "A 4116-2020")</f>
        <v/>
      </c>
      <c r="Y197">
        <f>HYPERLINK("https://klasma.github.io/Logging_0380/tillsynsmail/A 4116-2020 tillsynsbegäran mail.docx", "A 4116-2020")</f>
        <v/>
      </c>
    </row>
    <row r="198" ht="15" customHeight="1">
      <c r="A198" t="inlineStr">
        <is>
          <t>A 25264-2020</t>
        </is>
      </c>
      <c r="B198" s="1" t="n">
        <v>43980</v>
      </c>
      <c r="C198" s="1" t="n">
        <v>45846</v>
      </c>
      <c r="D198" t="inlineStr">
        <is>
          <t>UPPSALA LÄN</t>
        </is>
      </c>
      <c r="E198" t="inlineStr">
        <is>
          <t>UPPSALA</t>
        </is>
      </c>
      <c r="G198" t="n">
        <v>2.8</v>
      </c>
      <c r="H198" t="n">
        <v>4</v>
      </c>
      <c r="I198" t="n">
        <v>0</v>
      </c>
      <c r="J198" t="n">
        <v>0</v>
      </c>
      <c r="K198" t="n">
        <v>1</v>
      </c>
      <c r="L198" t="n">
        <v>0</v>
      </c>
      <c r="M198" t="n">
        <v>0</v>
      </c>
      <c r="N198" t="n">
        <v>0</v>
      </c>
      <c r="O198" t="n">
        <v>1</v>
      </c>
      <c r="P198" t="n">
        <v>1</v>
      </c>
      <c r="Q198" t="n">
        <v>4</v>
      </c>
      <c r="R198" s="2" t="inlineStr">
        <is>
          <t>Knärot
Kopparödla
Fläcknycklar
Revlummer</t>
        </is>
      </c>
      <c r="S198">
        <f>HYPERLINK("https://klasma.github.io/Logging_0380/artfynd/A 25264-2020 artfynd.xlsx", "A 25264-2020")</f>
        <v/>
      </c>
      <c r="T198">
        <f>HYPERLINK("https://klasma.github.io/Logging_0380/kartor/A 25264-2020 karta.png", "A 25264-2020")</f>
        <v/>
      </c>
      <c r="U198">
        <f>HYPERLINK("https://klasma.github.io/Logging_0380/knärot/A 25264-2020 karta knärot.png", "A 25264-2020")</f>
        <v/>
      </c>
      <c r="V198">
        <f>HYPERLINK("https://klasma.github.io/Logging_0380/klagomål/A 25264-2020 FSC-klagomål.docx", "A 25264-2020")</f>
        <v/>
      </c>
      <c r="W198">
        <f>HYPERLINK("https://klasma.github.io/Logging_0380/klagomålsmail/A 25264-2020 FSC-klagomål mail.docx", "A 25264-2020")</f>
        <v/>
      </c>
      <c r="X198">
        <f>HYPERLINK("https://klasma.github.io/Logging_0380/tillsyn/A 25264-2020 tillsynsbegäran.docx", "A 25264-2020")</f>
        <v/>
      </c>
      <c r="Y198">
        <f>HYPERLINK("https://klasma.github.io/Logging_0380/tillsynsmail/A 25264-2020 tillsynsbegäran mail.docx", "A 25264-2020")</f>
        <v/>
      </c>
    </row>
    <row r="199" ht="15" customHeight="1">
      <c r="A199" t="inlineStr">
        <is>
          <t>A 37670-2020</t>
        </is>
      </c>
      <c r="B199" s="1" t="n">
        <v>44056</v>
      </c>
      <c r="C199" s="1" t="n">
        <v>45846</v>
      </c>
      <c r="D199" t="inlineStr">
        <is>
          <t>UPPSALA LÄN</t>
        </is>
      </c>
      <c r="E199" t="inlineStr">
        <is>
          <t>UPPSALA</t>
        </is>
      </c>
      <c r="F199" t="inlineStr">
        <is>
          <t>Allmännings- och besparingsskogar</t>
        </is>
      </c>
      <c r="G199" t="n">
        <v>56.8</v>
      </c>
      <c r="H199" t="n">
        <v>3</v>
      </c>
      <c r="I199" t="n">
        <v>2</v>
      </c>
      <c r="J199" t="n">
        <v>1</v>
      </c>
      <c r="K199" t="n">
        <v>1</v>
      </c>
      <c r="L199" t="n">
        <v>0</v>
      </c>
      <c r="M199" t="n">
        <v>0</v>
      </c>
      <c r="N199" t="n">
        <v>0</v>
      </c>
      <c r="O199" t="n">
        <v>2</v>
      </c>
      <c r="P199" t="n">
        <v>1</v>
      </c>
      <c r="Q199" t="n">
        <v>4</v>
      </c>
      <c r="R199" s="2" t="inlineStr">
        <is>
          <t>Knärot
Talltita
Grönpyrola
Plattlummer</t>
        </is>
      </c>
      <c r="S199">
        <f>HYPERLINK("https://klasma.github.io/Logging_0380/artfynd/A 37670-2020 artfynd.xlsx", "A 37670-2020")</f>
        <v/>
      </c>
      <c r="T199">
        <f>HYPERLINK("https://klasma.github.io/Logging_0380/kartor/A 37670-2020 karta.png", "A 37670-2020")</f>
        <v/>
      </c>
      <c r="U199">
        <f>HYPERLINK("https://klasma.github.io/Logging_0380/knärot/A 37670-2020 karta knärot.png", "A 37670-2020")</f>
        <v/>
      </c>
      <c r="V199">
        <f>HYPERLINK("https://klasma.github.io/Logging_0380/klagomål/A 37670-2020 FSC-klagomål.docx", "A 37670-2020")</f>
        <v/>
      </c>
      <c r="W199">
        <f>HYPERLINK("https://klasma.github.io/Logging_0380/klagomålsmail/A 37670-2020 FSC-klagomål mail.docx", "A 37670-2020")</f>
        <v/>
      </c>
      <c r="X199">
        <f>HYPERLINK("https://klasma.github.io/Logging_0380/tillsyn/A 37670-2020 tillsynsbegäran.docx", "A 37670-2020")</f>
        <v/>
      </c>
      <c r="Y199">
        <f>HYPERLINK("https://klasma.github.io/Logging_0380/tillsynsmail/A 37670-2020 tillsynsbegäran mail.docx", "A 37670-2020")</f>
        <v/>
      </c>
      <c r="Z199">
        <f>HYPERLINK("https://klasma.github.io/Logging_0380/fåglar/A 37670-2020 prioriterade fågelarter.docx", "A 37670-2020")</f>
        <v/>
      </c>
    </row>
    <row r="200" ht="15" customHeight="1">
      <c r="A200" t="inlineStr">
        <is>
          <t>A 61504-2020</t>
        </is>
      </c>
      <c r="B200" s="1" t="n">
        <v>44158</v>
      </c>
      <c r="C200" s="1" t="n">
        <v>45846</v>
      </c>
      <c r="D200" t="inlineStr">
        <is>
          <t>UPPSALA LÄN</t>
        </is>
      </c>
      <c r="E200" t="inlineStr">
        <is>
          <t>ENKÖPING</t>
        </is>
      </c>
      <c r="F200" t="inlineStr">
        <is>
          <t>Övriga statliga verk och myndigheter</t>
        </is>
      </c>
      <c r="G200" t="n">
        <v>14.2</v>
      </c>
      <c r="H200" t="n">
        <v>0</v>
      </c>
      <c r="I200" t="n">
        <v>3</v>
      </c>
      <c r="J200" t="n">
        <v>1</v>
      </c>
      <c r="K200" t="n">
        <v>0</v>
      </c>
      <c r="L200" t="n">
        <v>0</v>
      </c>
      <c r="M200" t="n">
        <v>0</v>
      </c>
      <c r="N200" t="n">
        <v>0</v>
      </c>
      <c r="O200" t="n">
        <v>1</v>
      </c>
      <c r="P200" t="n">
        <v>0</v>
      </c>
      <c r="Q200" t="n">
        <v>4</v>
      </c>
      <c r="R200" s="2" t="inlineStr">
        <is>
          <t>Tallticka
Guldlockmossa
Piskbaronmossa
Platt fjädermossa</t>
        </is>
      </c>
      <c r="S200">
        <f>HYPERLINK("https://klasma.github.io/Logging_0381/artfynd/A 61504-2020 artfynd.xlsx", "A 61504-2020")</f>
        <v/>
      </c>
      <c r="T200">
        <f>HYPERLINK("https://klasma.github.io/Logging_0381/kartor/A 61504-2020 karta.png", "A 61504-2020")</f>
        <v/>
      </c>
      <c r="V200">
        <f>HYPERLINK("https://klasma.github.io/Logging_0381/klagomål/A 61504-2020 FSC-klagomål.docx", "A 61504-2020")</f>
        <v/>
      </c>
      <c r="W200">
        <f>HYPERLINK("https://klasma.github.io/Logging_0381/klagomålsmail/A 61504-2020 FSC-klagomål mail.docx", "A 61504-2020")</f>
        <v/>
      </c>
      <c r="X200">
        <f>HYPERLINK("https://klasma.github.io/Logging_0381/tillsyn/A 61504-2020 tillsynsbegäran.docx", "A 61504-2020")</f>
        <v/>
      </c>
      <c r="Y200">
        <f>HYPERLINK("https://klasma.github.io/Logging_0381/tillsynsmail/A 61504-2020 tillsynsbegäran mail.docx", "A 61504-2020")</f>
        <v/>
      </c>
    </row>
    <row r="201" ht="15" customHeight="1">
      <c r="A201" t="inlineStr">
        <is>
          <t>A 29306-2021</t>
        </is>
      </c>
      <c r="B201" s="1" t="n">
        <v>44361</v>
      </c>
      <c r="C201" s="1" t="n">
        <v>45846</v>
      </c>
      <c r="D201" t="inlineStr">
        <is>
          <t>UPPSALA LÄN</t>
        </is>
      </c>
      <c r="E201" t="inlineStr">
        <is>
          <t>TIERP</t>
        </is>
      </c>
      <c r="F201" t="inlineStr">
        <is>
          <t>Bergvik skog väst AB</t>
        </is>
      </c>
      <c r="G201" t="n">
        <v>3.7</v>
      </c>
      <c r="H201" t="n">
        <v>0</v>
      </c>
      <c r="I201" t="n">
        <v>4</v>
      </c>
      <c r="J201" t="n">
        <v>0</v>
      </c>
      <c r="K201" t="n">
        <v>0</v>
      </c>
      <c r="L201" t="n">
        <v>0</v>
      </c>
      <c r="M201" t="n">
        <v>0</v>
      </c>
      <c r="N201" t="n">
        <v>0</v>
      </c>
      <c r="O201" t="n">
        <v>0</v>
      </c>
      <c r="P201" t="n">
        <v>0</v>
      </c>
      <c r="Q201" t="n">
        <v>4</v>
      </c>
      <c r="R201" s="2" t="inlineStr">
        <is>
          <t>Dvärgtufs
Granbarkgnagare
Rostfläck
Stuplav</t>
        </is>
      </c>
      <c r="S201">
        <f>HYPERLINK("https://klasma.github.io/Logging_0360/artfynd/A 29306-2021 artfynd.xlsx", "A 29306-2021")</f>
        <v/>
      </c>
      <c r="T201">
        <f>HYPERLINK("https://klasma.github.io/Logging_0360/kartor/A 29306-2021 karta.png", "A 29306-2021")</f>
        <v/>
      </c>
      <c r="V201">
        <f>HYPERLINK("https://klasma.github.io/Logging_0360/klagomål/A 29306-2021 FSC-klagomål.docx", "A 29306-2021")</f>
        <v/>
      </c>
      <c r="W201">
        <f>HYPERLINK("https://klasma.github.io/Logging_0360/klagomålsmail/A 29306-2021 FSC-klagomål mail.docx", "A 29306-2021")</f>
        <v/>
      </c>
      <c r="X201">
        <f>HYPERLINK("https://klasma.github.io/Logging_0360/tillsyn/A 29306-2021 tillsynsbegäran.docx", "A 29306-2021")</f>
        <v/>
      </c>
      <c r="Y201">
        <f>HYPERLINK("https://klasma.github.io/Logging_0360/tillsynsmail/A 29306-2021 tillsynsbegäran mail.docx", "A 29306-2021")</f>
        <v/>
      </c>
    </row>
    <row r="202" ht="15" customHeight="1">
      <c r="A202" t="inlineStr">
        <is>
          <t>A 33051-2021</t>
        </is>
      </c>
      <c r="B202" s="1" t="n">
        <v>44376</v>
      </c>
      <c r="C202" s="1" t="n">
        <v>45846</v>
      </c>
      <c r="D202" t="inlineStr">
        <is>
          <t>UPPSALA LÄN</t>
        </is>
      </c>
      <c r="E202" t="inlineStr">
        <is>
          <t>ÖSTHAMMAR</t>
        </is>
      </c>
      <c r="G202" t="n">
        <v>3</v>
      </c>
      <c r="H202" t="n">
        <v>0</v>
      </c>
      <c r="I202" t="n">
        <v>3</v>
      </c>
      <c r="J202" t="n">
        <v>0</v>
      </c>
      <c r="K202" t="n">
        <v>1</v>
      </c>
      <c r="L202" t="n">
        <v>0</v>
      </c>
      <c r="M202" t="n">
        <v>0</v>
      </c>
      <c r="N202" t="n">
        <v>0</v>
      </c>
      <c r="O202" t="n">
        <v>1</v>
      </c>
      <c r="P202" t="n">
        <v>1</v>
      </c>
      <c r="Q202" t="n">
        <v>4</v>
      </c>
      <c r="R202" s="2" t="inlineStr">
        <is>
          <t>Gul lammticka
Anisspindling
Guldkremla
Kamjordstjärna</t>
        </is>
      </c>
      <c r="S202">
        <f>HYPERLINK("https://klasma.github.io/Logging_0382/artfynd/A 33051-2021 artfynd.xlsx", "A 33051-2021")</f>
        <v/>
      </c>
      <c r="T202">
        <f>HYPERLINK("https://klasma.github.io/Logging_0382/kartor/A 33051-2021 karta.png", "A 33051-2021")</f>
        <v/>
      </c>
      <c r="V202">
        <f>HYPERLINK("https://klasma.github.io/Logging_0382/klagomål/A 33051-2021 FSC-klagomål.docx", "A 33051-2021")</f>
        <v/>
      </c>
      <c r="W202">
        <f>HYPERLINK("https://klasma.github.io/Logging_0382/klagomålsmail/A 33051-2021 FSC-klagomål mail.docx", "A 33051-2021")</f>
        <v/>
      </c>
      <c r="X202">
        <f>HYPERLINK("https://klasma.github.io/Logging_0382/tillsyn/A 33051-2021 tillsynsbegäran.docx", "A 33051-2021")</f>
        <v/>
      </c>
      <c r="Y202">
        <f>HYPERLINK("https://klasma.github.io/Logging_0382/tillsynsmail/A 33051-2021 tillsynsbegäran mail.docx", "A 33051-2021")</f>
        <v/>
      </c>
    </row>
    <row r="203" ht="15" customHeight="1">
      <c r="A203" t="inlineStr">
        <is>
          <t>A 51688-2021</t>
        </is>
      </c>
      <c r="B203" s="1" t="n">
        <v>44462</v>
      </c>
      <c r="C203" s="1" t="n">
        <v>45846</v>
      </c>
      <c r="D203" t="inlineStr">
        <is>
          <t>UPPSALA LÄN</t>
        </is>
      </c>
      <c r="E203" t="inlineStr">
        <is>
          <t>UPPSALA</t>
        </is>
      </c>
      <c r="F203" t="inlineStr">
        <is>
          <t>Allmännings- och besparingsskogar</t>
        </is>
      </c>
      <c r="G203" t="n">
        <v>9.9</v>
      </c>
      <c r="H203" t="n">
        <v>1</v>
      </c>
      <c r="I203" t="n">
        <v>1</v>
      </c>
      <c r="J203" t="n">
        <v>2</v>
      </c>
      <c r="K203" t="n">
        <v>1</v>
      </c>
      <c r="L203" t="n">
        <v>0</v>
      </c>
      <c r="M203" t="n">
        <v>0</v>
      </c>
      <c r="N203" t="n">
        <v>0</v>
      </c>
      <c r="O203" t="n">
        <v>3</v>
      </c>
      <c r="P203" t="n">
        <v>1</v>
      </c>
      <c r="Q203" t="n">
        <v>4</v>
      </c>
      <c r="R203" s="2" t="inlineStr">
        <is>
          <t>Knärot
Garnlav
Ullticka
Vedticka</t>
        </is>
      </c>
      <c r="S203">
        <f>HYPERLINK("https://klasma.github.io/Logging_0380/artfynd/A 51688-2021 artfynd.xlsx", "A 51688-2021")</f>
        <v/>
      </c>
      <c r="T203">
        <f>HYPERLINK("https://klasma.github.io/Logging_0380/kartor/A 51688-2021 karta.png", "A 51688-2021")</f>
        <v/>
      </c>
      <c r="U203">
        <f>HYPERLINK("https://klasma.github.io/Logging_0380/knärot/A 51688-2021 karta knärot.png", "A 51688-2021")</f>
        <v/>
      </c>
      <c r="V203">
        <f>HYPERLINK("https://klasma.github.io/Logging_0380/klagomål/A 51688-2021 FSC-klagomål.docx", "A 51688-2021")</f>
        <v/>
      </c>
      <c r="W203">
        <f>HYPERLINK("https://klasma.github.io/Logging_0380/klagomålsmail/A 51688-2021 FSC-klagomål mail.docx", "A 51688-2021")</f>
        <v/>
      </c>
      <c r="X203">
        <f>HYPERLINK("https://klasma.github.io/Logging_0380/tillsyn/A 51688-2021 tillsynsbegäran.docx", "A 51688-2021")</f>
        <v/>
      </c>
      <c r="Y203">
        <f>HYPERLINK("https://klasma.github.io/Logging_0380/tillsynsmail/A 51688-2021 tillsynsbegäran mail.docx", "A 51688-2021")</f>
        <v/>
      </c>
    </row>
    <row r="204" ht="15" customHeight="1">
      <c r="A204" t="inlineStr">
        <is>
          <t>A 68998-2021</t>
        </is>
      </c>
      <c r="B204" s="1" t="n">
        <v>44530</v>
      </c>
      <c r="C204" s="1" t="n">
        <v>45846</v>
      </c>
      <c r="D204" t="inlineStr">
        <is>
          <t>UPPSALA LÄN</t>
        </is>
      </c>
      <c r="E204" t="inlineStr">
        <is>
          <t>ENKÖPING</t>
        </is>
      </c>
      <c r="G204" t="n">
        <v>16.2</v>
      </c>
      <c r="H204" t="n">
        <v>1</v>
      </c>
      <c r="I204" t="n">
        <v>1</v>
      </c>
      <c r="J204" t="n">
        <v>2</v>
      </c>
      <c r="K204" t="n">
        <v>0</v>
      </c>
      <c r="L204" t="n">
        <v>0</v>
      </c>
      <c r="M204" t="n">
        <v>0</v>
      </c>
      <c r="N204" t="n">
        <v>0</v>
      </c>
      <c r="O204" t="n">
        <v>2</v>
      </c>
      <c r="P204" t="n">
        <v>0</v>
      </c>
      <c r="Q204" t="n">
        <v>4</v>
      </c>
      <c r="R204" s="2" t="inlineStr">
        <is>
          <t>Krusfrö
Svinrot
Svart trolldruva
Nattviol</t>
        </is>
      </c>
      <c r="S204">
        <f>HYPERLINK("https://klasma.github.io/Logging_0381/artfynd/A 68998-2021 artfynd.xlsx", "A 68998-2021")</f>
        <v/>
      </c>
      <c r="T204">
        <f>HYPERLINK("https://klasma.github.io/Logging_0381/kartor/A 68998-2021 karta.png", "A 68998-2021")</f>
        <v/>
      </c>
      <c r="V204">
        <f>HYPERLINK("https://klasma.github.io/Logging_0381/klagomål/A 68998-2021 FSC-klagomål.docx", "A 68998-2021")</f>
        <v/>
      </c>
      <c r="W204">
        <f>HYPERLINK("https://klasma.github.io/Logging_0381/klagomålsmail/A 68998-2021 FSC-klagomål mail.docx", "A 68998-2021")</f>
        <v/>
      </c>
      <c r="X204">
        <f>HYPERLINK("https://klasma.github.io/Logging_0381/tillsyn/A 68998-2021 tillsynsbegäran.docx", "A 68998-2021")</f>
        <v/>
      </c>
      <c r="Y204">
        <f>HYPERLINK("https://klasma.github.io/Logging_0381/tillsynsmail/A 68998-2021 tillsynsbegäran mail.docx", "A 68998-2021")</f>
        <v/>
      </c>
    </row>
    <row r="205" ht="15" customHeight="1">
      <c r="A205" t="inlineStr">
        <is>
          <t>A 73761-2021</t>
        </is>
      </c>
      <c r="B205" s="1" t="n">
        <v>44552</v>
      </c>
      <c r="C205" s="1" t="n">
        <v>45846</v>
      </c>
      <c r="D205" t="inlineStr">
        <is>
          <t>UPPSALA LÄN</t>
        </is>
      </c>
      <c r="E205" t="inlineStr">
        <is>
          <t>TIERP</t>
        </is>
      </c>
      <c r="F205" t="inlineStr">
        <is>
          <t>Bergvik skog väst AB</t>
        </is>
      </c>
      <c r="G205" t="n">
        <v>1.9</v>
      </c>
      <c r="H205" t="n">
        <v>2</v>
      </c>
      <c r="I205" t="n">
        <v>2</v>
      </c>
      <c r="J205" t="n">
        <v>1</v>
      </c>
      <c r="K205" t="n">
        <v>0</v>
      </c>
      <c r="L205" t="n">
        <v>0</v>
      </c>
      <c r="M205" t="n">
        <v>0</v>
      </c>
      <c r="N205" t="n">
        <v>0</v>
      </c>
      <c r="O205" t="n">
        <v>1</v>
      </c>
      <c r="P205" t="n">
        <v>0</v>
      </c>
      <c r="Q205" t="n">
        <v>4</v>
      </c>
      <c r="R205" s="2" t="inlineStr">
        <is>
          <t>Vedtrappmossa
Brandticka
Skogsknipprot
Fläcknycklar</t>
        </is>
      </c>
      <c r="S205">
        <f>HYPERLINK("https://klasma.github.io/Logging_0360/artfynd/A 73761-2021 artfynd.xlsx", "A 73761-2021")</f>
        <v/>
      </c>
      <c r="T205">
        <f>HYPERLINK("https://klasma.github.io/Logging_0360/kartor/A 73761-2021 karta.png", "A 73761-2021")</f>
        <v/>
      </c>
      <c r="V205">
        <f>HYPERLINK("https://klasma.github.io/Logging_0360/klagomål/A 73761-2021 FSC-klagomål.docx", "A 73761-2021")</f>
        <v/>
      </c>
      <c r="W205">
        <f>HYPERLINK("https://klasma.github.io/Logging_0360/klagomålsmail/A 73761-2021 FSC-klagomål mail.docx", "A 73761-2021")</f>
        <v/>
      </c>
      <c r="X205">
        <f>HYPERLINK("https://klasma.github.io/Logging_0360/tillsyn/A 73761-2021 tillsynsbegäran.docx", "A 73761-2021")</f>
        <v/>
      </c>
      <c r="Y205">
        <f>HYPERLINK("https://klasma.github.io/Logging_0360/tillsynsmail/A 73761-2021 tillsynsbegäran mail.docx", "A 73761-2021")</f>
        <v/>
      </c>
    </row>
    <row r="206" ht="15" customHeight="1">
      <c r="A206" t="inlineStr">
        <is>
          <t>A 74364-2021</t>
        </is>
      </c>
      <c r="B206" s="1" t="n">
        <v>44559</v>
      </c>
      <c r="C206" s="1" t="n">
        <v>45846</v>
      </c>
      <c r="D206" t="inlineStr">
        <is>
          <t>UPPSALA LÄN</t>
        </is>
      </c>
      <c r="E206" t="inlineStr">
        <is>
          <t>ÖSTHAMMAR</t>
        </is>
      </c>
      <c r="G206" t="n">
        <v>3.5</v>
      </c>
      <c r="H206" t="n">
        <v>2</v>
      </c>
      <c r="I206" t="n">
        <v>3</v>
      </c>
      <c r="J206" t="n">
        <v>0</v>
      </c>
      <c r="K206" t="n">
        <v>0</v>
      </c>
      <c r="L206" t="n">
        <v>0</v>
      </c>
      <c r="M206" t="n">
        <v>0</v>
      </c>
      <c r="N206" t="n">
        <v>0</v>
      </c>
      <c r="O206" t="n">
        <v>0</v>
      </c>
      <c r="P206" t="n">
        <v>0</v>
      </c>
      <c r="Q206" t="n">
        <v>4</v>
      </c>
      <c r="R206" s="2" t="inlineStr">
        <is>
          <t>Bronshjon
Skogsknipprot
Sårläka
Blåsippa</t>
        </is>
      </c>
      <c r="S206">
        <f>HYPERLINK("https://klasma.github.io/Logging_0382/artfynd/A 74364-2021 artfynd.xlsx", "A 74364-2021")</f>
        <v/>
      </c>
      <c r="T206">
        <f>HYPERLINK("https://klasma.github.io/Logging_0382/kartor/A 74364-2021 karta.png", "A 74364-2021")</f>
        <v/>
      </c>
      <c r="V206">
        <f>HYPERLINK("https://klasma.github.io/Logging_0382/klagomål/A 74364-2021 FSC-klagomål.docx", "A 74364-2021")</f>
        <v/>
      </c>
      <c r="W206">
        <f>HYPERLINK("https://klasma.github.io/Logging_0382/klagomålsmail/A 74364-2021 FSC-klagomål mail.docx", "A 74364-2021")</f>
        <v/>
      </c>
      <c r="X206">
        <f>HYPERLINK("https://klasma.github.io/Logging_0382/tillsyn/A 74364-2021 tillsynsbegäran.docx", "A 74364-2021")</f>
        <v/>
      </c>
      <c r="Y206">
        <f>HYPERLINK("https://klasma.github.io/Logging_0382/tillsynsmail/A 74364-2021 tillsynsbegäran mail.docx", "A 74364-2021")</f>
        <v/>
      </c>
    </row>
    <row r="207" ht="15" customHeight="1">
      <c r="A207" t="inlineStr">
        <is>
          <t>A 15297-2022</t>
        </is>
      </c>
      <c r="B207" s="1" t="n">
        <v>44659</v>
      </c>
      <c r="C207" s="1" t="n">
        <v>45846</v>
      </c>
      <c r="D207" t="inlineStr">
        <is>
          <t>UPPSALA LÄN</t>
        </is>
      </c>
      <c r="E207" t="inlineStr">
        <is>
          <t>UPPSALA</t>
        </is>
      </c>
      <c r="F207" t="inlineStr">
        <is>
          <t>Övriga Aktiebolag</t>
        </is>
      </c>
      <c r="G207" t="n">
        <v>6.6</v>
      </c>
      <c r="H207" t="n">
        <v>0</v>
      </c>
      <c r="I207" t="n">
        <v>2</v>
      </c>
      <c r="J207" t="n">
        <v>2</v>
      </c>
      <c r="K207" t="n">
        <v>0</v>
      </c>
      <c r="L207" t="n">
        <v>0</v>
      </c>
      <c r="M207" t="n">
        <v>0</v>
      </c>
      <c r="N207" t="n">
        <v>0</v>
      </c>
      <c r="O207" t="n">
        <v>2</v>
      </c>
      <c r="P207" t="n">
        <v>0</v>
      </c>
      <c r="Q207" t="n">
        <v>4</v>
      </c>
      <c r="R207" s="2" t="inlineStr">
        <is>
          <t>Blekticka
Ekticka
Fällmossa
Stor aspticka</t>
        </is>
      </c>
      <c r="S207">
        <f>HYPERLINK("https://klasma.github.io/Logging_0380/artfynd/A 15297-2022 artfynd.xlsx", "A 15297-2022")</f>
        <v/>
      </c>
      <c r="T207">
        <f>HYPERLINK("https://klasma.github.io/Logging_0380/kartor/A 15297-2022 karta.png", "A 15297-2022")</f>
        <v/>
      </c>
      <c r="V207">
        <f>HYPERLINK("https://klasma.github.io/Logging_0380/klagomål/A 15297-2022 FSC-klagomål.docx", "A 15297-2022")</f>
        <v/>
      </c>
      <c r="W207">
        <f>HYPERLINK("https://klasma.github.io/Logging_0380/klagomålsmail/A 15297-2022 FSC-klagomål mail.docx", "A 15297-2022")</f>
        <v/>
      </c>
      <c r="X207">
        <f>HYPERLINK("https://klasma.github.io/Logging_0380/tillsyn/A 15297-2022 tillsynsbegäran.docx", "A 15297-2022")</f>
        <v/>
      </c>
      <c r="Y207">
        <f>HYPERLINK("https://klasma.github.io/Logging_0380/tillsynsmail/A 15297-2022 tillsynsbegäran mail.docx", "A 15297-2022")</f>
        <v/>
      </c>
    </row>
    <row r="208" ht="15" customHeight="1">
      <c r="A208" t="inlineStr">
        <is>
          <t>A 15956-2022</t>
        </is>
      </c>
      <c r="B208" s="1" t="n">
        <v>44664</v>
      </c>
      <c r="C208" s="1" t="n">
        <v>45846</v>
      </c>
      <c r="D208" t="inlineStr">
        <is>
          <t>UPPSALA LÄN</t>
        </is>
      </c>
      <c r="E208" t="inlineStr">
        <is>
          <t>UPPSALA</t>
        </is>
      </c>
      <c r="G208" t="n">
        <v>0.8</v>
      </c>
      <c r="H208" t="n">
        <v>0</v>
      </c>
      <c r="I208" t="n">
        <v>1</v>
      </c>
      <c r="J208" t="n">
        <v>2</v>
      </c>
      <c r="K208" t="n">
        <v>1</v>
      </c>
      <c r="L208" t="n">
        <v>0</v>
      </c>
      <c r="M208" t="n">
        <v>0</v>
      </c>
      <c r="N208" t="n">
        <v>0</v>
      </c>
      <c r="O208" t="n">
        <v>3</v>
      </c>
      <c r="P208" t="n">
        <v>1</v>
      </c>
      <c r="Q208" t="n">
        <v>4</v>
      </c>
      <c r="R208" s="2" t="inlineStr">
        <is>
          <t>Koppartaggsvamp
Orange taggsvamp
Svart taggsvamp
Mandelriska</t>
        </is>
      </c>
      <c r="S208">
        <f>HYPERLINK("https://klasma.github.io/Logging_0380/artfynd/A 15956-2022 artfynd.xlsx", "A 15956-2022")</f>
        <v/>
      </c>
      <c r="T208">
        <f>HYPERLINK("https://klasma.github.io/Logging_0380/kartor/A 15956-2022 karta.png", "A 15956-2022")</f>
        <v/>
      </c>
      <c r="V208">
        <f>HYPERLINK("https://klasma.github.io/Logging_0380/klagomål/A 15956-2022 FSC-klagomål.docx", "A 15956-2022")</f>
        <v/>
      </c>
      <c r="W208">
        <f>HYPERLINK("https://klasma.github.io/Logging_0380/klagomålsmail/A 15956-2022 FSC-klagomål mail.docx", "A 15956-2022")</f>
        <v/>
      </c>
      <c r="X208">
        <f>HYPERLINK("https://klasma.github.io/Logging_0380/tillsyn/A 15956-2022 tillsynsbegäran.docx", "A 15956-2022")</f>
        <v/>
      </c>
      <c r="Y208">
        <f>HYPERLINK("https://klasma.github.io/Logging_0380/tillsynsmail/A 15956-2022 tillsynsbegäran mail.docx", "A 15956-2022")</f>
        <v/>
      </c>
    </row>
    <row r="209" ht="15" customHeight="1">
      <c r="A209" t="inlineStr">
        <is>
          <t>A 16329-2022</t>
        </is>
      </c>
      <c r="B209" s="1" t="n">
        <v>44670</v>
      </c>
      <c r="C209" s="1" t="n">
        <v>45846</v>
      </c>
      <c r="D209" t="inlineStr">
        <is>
          <t>UPPSALA LÄN</t>
        </is>
      </c>
      <c r="E209" t="inlineStr">
        <is>
          <t>HEBY</t>
        </is>
      </c>
      <c r="G209" t="n">
        <v>24.5</v>
      </c>
      <c r="H209" t="n">
        <v>1</v>
      </c>
      <c r="I209" t="n">
        <v>4</v>
      </c>
      <c r="J209" t="n">
        <v>0</v>
      </c>
      <c r="K209" t="n">
        <v>0</v>
      </c>
      <c r="L209" t="n">
        <v>0</v>
      </c>
      <c r="M209" t="n">
        <v>0</v>
      </c>
      <c r="N209" t="n">
        <v>0</v>
      </c>
      <c r="O209" t="n">
        <v>0</v>
      </c>
      <c r="P209" t="n">
        <v>0</v>
      </c>
      <c r="Q209" t="n">
        <v>4</v>
      </c>
      <c r="R209" s="2" t="inlineStr">
        <is>
          <t>Aspvedgnagare
Bronshjon
Plattlummer
Thomsons trägnagare</t>
        </is>
      </c>
      <c r="S209">
        <f>HYPERLINK("https://klasma.github.io/Logging_0331/artfynd/A 16329-2022 artfynd.xlsx", "A 16329-2022")</f>
        <v/>
      </c>
      <c r="T209">
        <f>HYPERLINK("https://klasma.github.io/Logging_0331/kartor/A 16329-2022 karta.png", "A 16329-2022")</f>
        <v/>
      </c>
      <c r="V209">
        <f>HYPERLINK("https://klasma.github.io/Logging_0331/klagomål/A 16329-2022 FSC-klagomål.docx", "A 16329-2022")</f>
        <v/>
      </c>
      <c r="W209">
        <f>HYPERLINK("https://klasma.github.io/Logging_0331/klagomålsmail/A 16329-2022 FSC-klagomål mail.docx", "A 16329-2022")</f>
        <v/>
      </c>
      <c r="X209">
        <f>HYPERLINK("https://klasma.github.io/Logging_0331/tillsyn/A 16329-2022 tillsynsbegäran.docx", "A 16329-2022")</f>
        <v/>
      </c>
      <c r="Y209">
        <f>HYPERLINK("https://klasma.github.io/Logging_0331/tillsynsmail/A 16329-2022 tillsynsbegäran mail.docx", "A 16329-2022")</f>
        <v/>
      </c>
    </row>
    <row r="210" ht="15" customHeight="1">
      <c r="A210" t="inlineStr">
        <is>
          <t>A 18150-2022</t>
        </is>
      </c>
      <c r="B210" s="1" t="n">
        <v>44684</v>
      </c>
      <c r="C210" s="1" t="n">
        <v>45846</v>
      </c>
      <c r="D210" t="inlineStr">
        <is>
          <t>UPPSALA LÄN</t>
        </is>
      </c>
      <c r="E210" t="inlineStr">
        <is>
          <t>ÖSTHAMMAR</t>
        </is>
      </c>
      <c r="G210" t="n">
        <v>0.8</v>
      </c>
      <c r="H210" t="n">
        <v>3</v>
      </c>
      <c r="I210" t="n">
        <v>1</v>
      </c>
      <c r="J210" t="n">
        <v>1</v>
      </c>
      <c r="K210" t="n">
        <v>1</v>
      </c>
      <c r="L210" t="n">
        <v>0</v>
      </c>
      <c r="M210" t="n">
        <v>0</v>
      </c>
      <c r="N210" t="n">
        <v>0</v>
      </c>
      <c r="O210" t="n">
        <v>2</v>
      </c>
      <c r="P210" t="n">
        <v>1</v>
      </c>
      <c r="Q210" t="n">
        <v>4</v>
      </c>
      <c r="R210" s="2" t="inlineStr">
        <is>
          <t>Knärot
Talltita
Bronshjon
Blåsippa</t>
        </is>
      </c>
      <c r="S210">
        <f>HYPERLINK("https://klasma.github.io/Logging_0382/artfynd/A 18150-2022 artfynd.xlsx", "A 18150-2022")</f>
        <v/>
      </c>
      <c r="T210">
        <f>HYPERLINK("https://klasma.github.io/Logging_0382/kartor/A 18150-2022 karta.png", "A 18150-2022")</f>
        <v/>
      </c>
      <c r="U210">
        <f>HYPERLINK("https://klasma.github.io/Logging_0382/knärot/A 18150-2022 karta knärot.png", "A 18150-2022")</f>
        <v/>
      </c>
      <c r="V210">
        <f>HYPERLINK("https://klasma.github.io/Logging_0382/klagomål/A 18150-2022 FSC-klagomål.docx", "A 18150-2022")</f>
        <v/>
      </c>
      <c r="W210">
        <f>HYPERLINK("https://klasma.github.io/Logging_0382/klagomålsmail/A 18150-2022 FSC-klagomål mail.docx", "A 18150-2022")</f>
        <v/>
      </c>
      <c r="X210">
        <f>HYPERLINK("https://klasma.github.io/Logging_0382/tillsyn/A 18150-2022 tillsynsbegäran.docx", "A 18150-2022")</f>
        <v/>
      </c>
      <c r="Y210">
        <f>HYPERLINK("https://klasma.github.io/Logging_0382/tillsynsmail/A 18150-2022 tillsynsbegäran mail.docx", "A 18150-2022")</f>
        <v/>
      </c>
      <c r="Z210">
        <f>HYPERLINK("https://klasma.github.io/Logging_0382/fåglar/A 18150-2022 prioriterade fågelarter.docx", "A 18150-2022")</f>
        <v/>
      </c>
    </row>
    <row r="211" ht="15" customHeight="1">
      <c r="A211" t="inlineStr">
        <is>
          <t>A 22258-2022</t>
        </is>
      </c>
      <c r="B211" s="1" t="n">
        <v>44712</v>
      </c>
      <c r="C211" s="1" t="n">
        <v>45846</v>
      </c>
      <c r="D211" t="inlineStr">
        <is>
          <t>UPPSALA LÄN</t>
        </is>
      </c>
      <c r="E211" t="inlineStr">
        <is>
          <t>KNIVSTA</t>
        </is>
      </c>
      <c r="G211" t="n">
        <v>1.4</v>
      </c>
      <c r="H211" t="n">
        <v>2</v>
      </c>
      <c r="I211" t="n">
        <v>2</v>
      </c>
      <c r="J211" t="n">
        <v>0</v>
      </c>
      <c r="K211" t="n">
        <v>1</v>
      </c>
      <c r="L211" t="n">
        <v>0</v>
      </c>
      <c r="M211" t="n">
        <v>0</v>
      </c>
      <c r="N211" t="n">
        <v>0</v>
      </c>
      <c r="O211" t="n">
        <v>1</v>
      </c>
      <c r="P211" t="n">
        <v>1</v>
      </c>
      <c r="Q211" t="n">
        <v>4</v>
      </c>
      <c r="R211" s="2" t="inlineStr">
        <is>
          <t>Bombmurkla
Kamjordstjärna
Svart trolldruva
Blåsippa</t>
        </is>
      </c>
      <c r="S211">
        <f>HYPERLINK("https://klasma.github.io/Logging_0330/artfynd/A 22258-2022 artfynd.xlsx", "A 22258-2022")</f>
        <v/>
      </c>
      <c r="T211">
        <f>HYPERLINK("https://klasma.github.io/Logging_0330/kartor/A 22258-2022 karta.png", "A 22258-2022")</f>
        <v/>
      </c>
      <c r="V211">
        <f>HYPERLINK("https://klasma.github.io/Logging_0330/klagomål/A 22258-2022 FSC-klagomål.docx", "A 22258-2022")</f>
        <v/>
      </c>
      <c r="W211">
        <f>HYPERLINK("https://klasma.github.io/Logging_0330/klagomålsmail/A 22258-2022 FSC-klagomål mail.docx", "A 22258-2022")</f>
        <v/>
      </c>
      <c r="X211">
        <f>HYPERLINK("https://klasma.github.io/Logging_0330/tillsyn/A 22258-2022 tillsynsbegäran.docx", "A 22258-2022")</f>
        <v/>
      </c>
      <c r="Y211">
        <f>HYPERLINK("https://klasma.github.io/Logging_0330/tillsynsmail/A 22258-2022 tillsynsbegäran mail.docx", "A 22258-2022")</f>
        <v/>
      </c>
    </row>
    <row r="212" ht="15" customHeight="1">
      <c r="A212" t="inlineStr">
        <is>
          <t>A 23153-2022</t>
        </is>
      </c>
      <c r="B212" s="1" t="n">
        <v>44719</v>
      </c>
      <c r="C212" s="1" t="n">
        <v>45846</v>
      </c>
      <c r="D212" t="inlineStr">
        <is>
          <t>UPPSALA LÄN</t>
        </is>
      </c>
      <c r="E212" t="inlineStr">
        <is>
          <t>UPPSALA</t>
        </is>
      </c>
      <c r="G212" t="n">
        <v>5.4</v>
      </c>
      <c r="H212" t="n">
        <v>0</v>
      </c>
      <c r="I212" t="n">
        <v>3</v>
      </c>
      <c r="J212" t="n">
        <v>1</v>
      </c>
      <c r="K212" t="n">
        <v>0</v>
      </c>
      <c r="L212" t="n">
        <v>0</v>
      </c>
      <c r="M212" t="n">
        <v>0</v>
      </c>
      <c r="N212" t="n">
        <v>0</v>
      </c>
      <c r="O212" t="n">
        <v>1</v>
      </c>
      <c r="P212" t="n">
        <v>0</v>
      </c>
      <c r="Q212" t="n">
        <v>4</v>
      </c>
      <c r="R212" s="2" t="inlineStr">
        <is>
          <t>Större flatbagge
Bronshjon
Thomsons trägnagare
Trådticka</t>
        </is>
      </c>
      <c r="S212">
        <f>HYPERLINK("https://klasma.github.io/Logging_0380/artfynd/A 23153-2022 artfynd.xlsx", "A 23153-2022")</f>
        <v/>
      </c>
      <c r="T212">
        <f>HYPERLINK("https://klasma.github.io/Logging_0380/kartor/A 23153-2022 karta.png", "A 23153-2022")</f>
        <v/>
      </c>
      <c r="V212">
        <f>HYPERLINK("https://klasma.github.io/Logging_0380/klagomål/A 23153-2022 FSC-klagomål.docx", "A 23153-2022")</f>
        <v/>
      </c>
      <c r="W212">
        <f>HYPERLINK("https://klasma.github.io/Logging_0380/klagomålsmail/A 23153-2022 FSC-klagomål mail.docx", "A 23153-2022")</f>
        <v/>
      </c>
      <c r="X212">
        <f>HYPERLINK("https://klasma.github.io/Logging_0380/tillsyn/A 23153-2022 tillsynsbegäran.docx", "A 23153-2022")</f>
        <v/>
      </c>
      <c r="Y212">
        <f>HYPERLINK("https://klasma.github.io/Logging_0380/tillsynsmail/A 23153-2022 tillsynsbegäran mail.docx", "A 23153-2022")</f>
        <v/>
      </c>
    </row>
    <row r="213" ht="15" customHeight="1">
      <c r="A213" t="inlineStr">
        <is>
          <t>A 26758-2022</t>
        </is>
      </c>
      <c r="B213" s="1" t="n">
        <v>44740</v>
      </c>
      <c r="C213" s="1" t="n">
        <v>45846</v>
      </c>
      <c r="D213" t="inlineStr">
        <is>
          <t>UPPSALA LÄN</t>
        </is>
      </c>
      <c r="E213" t="inlineStr">
        <is>
          <t>UPPSALA</t>
        </is>
      </c>
      <c r="G213" t="n">
        <v>21.5</v>
      </c>
      <c r="H213" t="n">
        <v>0</v>
      </c>
      <c r="I213" t="n">
        <v>3</v>
      </c>
      <c r="J213" t="n">
        <v>1</v>
      </c>
      <c r="K213" t="n">
        <v>0</v>
      </c>
      <c r="L213" t="n">
        <v>0</v>
      </c>
      <c r="M213" t="n">
        <v>0</v>
      </c>
      <c r="N213" t="n">
        <v>0</v>
      </c>
      <c r="O213" t="n">
        <v>1</v>
      </c>
      <c r="P213" t="n">
        <v>0</v>
      </c>
      <c r="Q213" t="n">
        <v>4</v>
      </c>
      <c r="R213" s="2" t="inlineStr">
        <is>
          <t>Vedtrappmossa
Blåmossa
Bronshjon
Trådticka</t>
        </is>
      </c>
      <c r="S213">
        <f>HYPERLINK("https://klasma.github.io/Logging_0380/artfynd/A 26758-2022 artfynd.xlsx", "A 26758-2022")</f>
        <v/>
      </c>
      <c r="T213">
        <f>HYPERLINK("https://klasma.github.io/Logging_0380/kartor/A 26758-2022 karta.png", "A 26758-2022")</f>
        <v/>
      </c>
      <c r="V213">
        <f>HYPERLINK("https://klasma.github.io/Logging_0380/klagomål/A 26758-2022 FSC-klagomål.docx", "A 26758-2022")</f>
        <v/>
      </c>
      <c r="W213">
        <f>HYPERLINK("https://klasma.github.io/Logging_0380/klagomålsmail/A 26758-2022 FSC-klagomål mail.docx", "A 26758-2022")</f>
        <v/>
      </c>
      <c r="X213">
        <f>HYPERLINK("https://klasma.github.io/Logging_0380/tillsyn/A 26758-2022 tillsynsbegäran.docx", "A 26758-2022")</f>
        <v/>
      </c>
      <c r="Y213">
        <f>HYPERLINK("https://klasma.github.io/Logging_0380/tillsynsmail/A 26758-2022 tillsynsbegäran mail.docx", "A 26758-2022")</f>
        <v/>
      </c>
    </row>
    <row r="214" ht="15" customHeight="1">
      <c r="A214" t="inlineStr">
        <is>
          <t>A 42846-2022</t>
        </is>
      </c>
      <c r="B214" s="1" t="n">
        <v>44832</v>
      </c>
      <c r="C214" s="1" t="n">
        <v>45846</v>
      </c>
      <c r="D214" t="inlineStr">
        <is>
          <t>UPPSALA LÄN</t>
        </is>
      </c>
      <c r="E214" t="inlineStr">
        <is>
          <t>HEBY</t>
        </is>
      </c>
      <c r="G214" t="n">
        <v>4.8</v>
      </c>
      <c r="H214" t="n">
        <v>1</v>
      </c>
      <c r="I214" t="n">
        <v>3</v>
      </c>
      <c r="J214" t="n">
        <v>0</v>
      </c>
      <c r="K214" t="n">
        <v>1</v>
      </c>
      <c r="L214" t="n">
        <v>0</v>
      </c>
      <c r="M214" t="n">
        <v>0</v>
      </c>
      <c r="N214" t="n">
        <v>0</v>
      </c>
      <c r="O214" t="n">
        <v>1</v>
      </c>
      <c r="P214" t="n">
        <v>1</v>
      </c>
      <c r="Q214" t="n">
        <v>4</v>
      </c>
      <c r="R214" s="2" t="inlineStr">
        <is>
          <t>Knärot
Bronshjon
Thomsons trägnagare
Trådticka</t>
        </is>
      </c>
      <c r="S214">
        <f>HYPERLINK("https://klasma.github.io/Logging_0331/artfynd/A 42846-2022 artfynd.xlsx", "A 42846-2022")</f>
        <v/>
      </c>
      <c r="T214">
        <f>HYPERLINK("https://klasma.github.io/Logging_0331/kartor/A 42846-2022 karta.png", "A 42846-2022")</f>
        <v/>
      </c>
      <c r="U214">
        <f>HYPERLINK("https://klasma.github.io/Logging_0331/knärot/A 42846-2022 karta knärot.png", "A 42846-2022")</f>
        <v/>
      </c>
      <c r="V214">
        <f>HYPERLINK("https://klasma.github.io/Logging_0331/klagomål/A 42846-2022 FSC-klagomål.docx", "A 42846-2022")</f>
        <v/>
      </c>
      <c r="W214">
        <f>HYPERLINK("https://klasma.github.io/Logging_0331/klagomålsmail/A 42846-2022 FSC-klagomål mail.docx", "A 42846-2022")</f>
        <v/>
      </c>
      <c r="X214">
        <f>HYPERLINK("https://klasma.github.io/Logging_0331/tillsyn/A 42846-2022 tillsynsbegäran.docx", "A 42846-2022")</f>
        <v/>
      </c>
      <c r="Y214">
        <f>HYPERLINK("https://klasma.github.io/Logging_0331/tillsynsmail/A 42846-2022 tillsynsbegäran mail.docx", "A 42846-2022")</f>
        <v/>
      </c>
    </row>
    <row r="215" ht="15" customHeight="1">
      <c r="A215" t="inlineStr">
        <is>
          <t>A 48352-2022</t>
        </is>
      </c>
      <c r="B215" s="1" t="n">
        <v>44858</v>
      </c>
      <c r="C215" s="1" t="n">
        <v>45846</v>
      </c>
      <c r="D215" t="inlineStr">
        <is>
          <t>UPPSALA LÄN</t>
        </is>
      </c>
      <c r="E215" t="inlineStr">
        <is>
          <t>ÖSTHAMMAR</t>
        </is>
      </c>
      <c r="G215" t="n">
        <v>4.8</v>
      </c>
      <c r="H215" t="n">
        <v>0</v>
      </c>
      <c r="I215" t="n">
        <v>2</v>
      </c>
      <c r="J215" t="n">
        <v>2</v>
      </c>
      <c r="K215" t="n">
        <v>0</v>
      </c>
      <c r="L215" t="n">
        <v>0</v>
      </c>
      <c r="M215" t="n">
        <v>0</v>
      </c>
      <c r="N215" t="n">
        <v>0</v>
      </c>
      <c r="O215" t="n">
        <v>2</v>
      </c>
      <c r="P215" t="n">
        <v>0</v>
      </c>
      <c r="Q215" t="n">
        <v>4</v>
      </c>
      <c r="R215" s="2" t="inlineStr">
        <is>
          <t>Gultoppig fingersvamp
Svart taggsvamp
Anisspindling
Diskvaxskivling</t>
        </is>
      </c>
      <c r="S215">
        <f>HYPERLINK("https://klasma.github.io/Logging_0382/artfynd/A 48352-2022 artfynd.xlsx", "A 48352-2022")</f>
        <v/>
      </c>
      <c r="T215">
        <f>HYPERLINK("https://klasma.github.io/Logging_0382/kartor/A 48352-2022 karta.png", "A 48352-2022")</f>
        <v/>
      </c>
      <c r="V215">
        <f>HYPERLINK("https://klasma.github.io/Logging_0382/klagomål/A 48352-2022 FSC-klagomål.docx", "A 48352-2022")</f>
        <v/>
      </c>
      <c r="W215">
        <f>HYPERLINK("https://klasma.github.io/Logging_0382/klagomålsmail/A 48352-2022 FSC-klagomål mail.docx", "A 48352-2022")</f>
        <v/>
      </c>
      <c r="X215">
        <f>HYPERLINK("https://klasma.github.io/Logging_0382/tillsyn/A 48352-2022 tillsynsbegäran.docx", "A 48352-2022")</f>
        <v/>
      </c>
      <c r="Y215">
        <f>HYPERLINK("https://klasma.github.io/Logging_0382/tillsynsmail/A 48352-2022 tillsynsbegäran mail.docx", "A 48352-2022")</f>
        <v/>
      </c>
    </row>
    <row r="216" ht="15" customHeight="1">
      <c r="A216" t="inlineStr">
        <is>
          <t>A 49910-2022</t>
        </is>
      </c>
      <c r="B216" s="1" t="n">
        <v>44865</v>
      </c>
      <c r="C216" s="1" t="n">
        <v>45846</v>
      </c>
      <c r="D216" t="inlineStr">
        <is>
          <t>UPPSALA LÄN</t>
        </is>
      </c>
      <c r="E216" t="inlineStr">
        <is>
          <t>ÖSTHAMMAR</t>
        </is>
      </c>
      <c r="F216" t="inlineStr">
        <is>
          <t>Bergvik skog öst AB</t>
        </is>
      </c>
      <c r="G216" t="n">
        <v>5.7</v>
      </c>
      <c r="H216" t="n">
        <v>4</v>
      </c>
      <c r="I216" t="n">
        <v>0</v>
      </c>
      <c r="J216" t="n">
        <v>2</v>
      </c>
      <c r="K216" t="n">
        <v>0</v>
      </c>
      <c r="L216" t="n">
        <v>0</v>
      </c>
      <c r="M216" t="n">
        <v>0</v>
      </c>
      <c r="N216" t="n">
        <v>0</v>
      </c>
      <c r="O216" t="n">
        <v>2</v>
      </c>
      <c r="P216" t="n">
        <v>0</v>
      </c>
      <c r="Q216" t="n">
        <v>4</v>
      </c>
      <c r="R216" s="2" t="inlineStr">
        <is>
          <t>Svartvit flugsnappare
Sävsparv
Bivråk
Törnskata</t>
        </is>
      </c>
      <c r="S216">
        <f>HYPERLINK("https://klasma.github.io/Logging_0382/artfynd/A 49910-2022 artfynd.xlsx", "A 49910-2022")</f>
        <v/>
      </c>
      <c r="T216">
        <f>HYPERLINK("https://klasma.github.io/Logging_0382/kartor/A 49910-2022 karta.png", "A 49910-2022")</f>
        <v/>
      </c>
      <c r="V216">
        <f>HYPERLINK("https://klasma.github.io/Logging_0382/klagomål/A 49910-2022 FSC-klagomål.docx", "A 49910-2022")</f>
        <v/>
      </c>
      <c r="W216">
        <f>HYPERLINK("https://klasma.github.io/Logging_0382/klagomålsmail/A 49910-2022 FSC-klagomål mail.docx", "A 49910-2022")</f>
        <v/>
      </c>
      <c r="X216">
        <f>HYPERLINK("https://klasma.github.io/Logging_0382/tillsyn/A 49910-2022 tillsynsbegäran.docx", "A 49910-2022")</f>
        <v/>
      </c>
      <c r="Y216">
        <f>HYPERLINK("https://klasma.github.io/Logging_0382/tillsynsmail/A 49910-2022 tillsynsbegäran mail.docx", "A 49910-2022")</f>
        <v/>
      </c>
      <c r="Z216">
        <f>HYPERLINK("https://klasma.github.io/Logging_0382/fåglar/A 49910-2022 prioriterade fågelarter.docx", "A 49910-2022")</f>
        <v/>
      </c>
    </row>
    <row r="217" ht="15" customHeight="1">
      <c r="A217" t="inlineStr">
        <is>
          <t>A 52659-2022</t>
        </is>
      </c>
      <c r="B217" s="1" t="n">
        <v>44874</v>
      </c>
      <c r="C217" s="1" t="n">
        <v>45846</v>
      </c>
      <c r="D217" t="inlineStr">
        <is>
          <t>UPPSALA LÄN</t>
        </is>
      </c>
      <c r="E217" t="inlineStr">
        <is>
          <t>ÖSTHAMMAR</t>
        </is>
      </c>
      <c r="F217" t="inlineStr">
        <is>
          <t>Bergvik skog öst AB</t>
        </is>
      </c>
      <c r="G217" t="n">
        <v>1.8</v>
      </c>
      <c r="H217" t="n">
        <v>4</v>
      </c>
      <c r="I217" t="n">
        <v>0</v>
      </c>
      <c r="J217" t="n">
        <v>4</v>
      </c>
      <c r="K217" t="n">
        <v>0</v>
      </c>
      <c r="L217" t="n">
        <v>0</v>
      </c>
      <c r="M217" t="n">
        <v>0</v>
      </c>
      <c r="N217" t="n">
        <v>0</v>
      </c>
      <c r="O217" t="n">
        <v>4</v>
      </c>
      <c r="P217" t="n">
        <v>0</v>
      </c>
      <c r="Q217" t="n">
        <v>4</v>
      </c>
      <c r="R217" s="2" t="inlineStr">
        <is>
          <t>Gulsparv
Kråka
Svartvit flugsnappare
Sävsparv</t>
        </is>
      </c>
      <c r="S217">
        <f>HYPERLINK("https://klasma.github.io/Logging_0382/artfynd/A 52659-2022 artfynd.xlsx", "A 52659-2022")</f>
        <v/>
      </c>
      <c r="T217">
        <f>HYPERLINK("https://klasma.github.io/Logging_0382/kartor/A 52659-2022 karta.png", "A 52659-2022")</f>
        <v/>
      </c>
      <c r="V217">
        <f>HYPERLINK("https://klasma.github.io/Logging_0382/klagomål/A 52659-2022 FSC-klagomål.docx", "A 52659-2022")</f>
        <v/>
      </c>
      <c r="W217">
        <f>HYPERLINK("https://klasma.github.io/Logging_0382/klagomålsmail/A 52659-2022 FSC-klagomål mail.docx", "A 52659-2022")</f>
        <v/>
      </c>
      <c r="X217">
        <f>HYPERLINK("https://klasma.github.io/Logging_0382/tillsyn/A 52659-2022 tillsynsbegäran.docx", "A 52659-2022")</f>
        <v/>
      </c>
      <c r="Y217">
        <f>HYPERLINK("https://klasma.github.io/Logging_0382/tillsynsmail/A 52659-2022 tillsynsbegäran mail.docx", "A 52659-2022")</f>
        <v/>
      </c>
      <c r="Z217">
        <f>HYPERLINK("https://klasma.github.io/Logging_0382/fåglar/A 52659-2022 prioriterade fågelarter.docx", "A 52659-2022")</f>
        <v/>
      </c>
    </row>
    <row r="218" ht="15" customHeight="1">
      <c r="A218" t="inlineStr">
        <is>
          <t>A 52808-2022</t>
        </is>
      </c>
      <c r="B218" s="1" t="n">
        <v>44875</v>
      </c>
      <c r="C218" s="1" t="n">
        <v>45846</v>
      </c>
      <c r="D218" t="inlineStr">
        <is>
          <t>UPPSALA LÄN</t>
        </is>
      </c>
      <c r="E218" t="inlineStr">
        <is>
          <t>ÖSTHAMMAR</t>
        </is>
      </c>
      <c r="G218" t="n">
        <v>4.8</v>
      </c>
      <c r="H218" t="n">
        <v>2</v>
      </c>
      <c r="I218" t="n">
        <v>3</v>
      </c>
      <c r="J218" t="n">
        <v>0</v>
      </c>
      <c r="K218" t="n">
        <v>0</v>
      </c>
      <c r="L218" t="n">
        <v>0</v>
      </c>
      <c r="M218" t="n">
        <v>0</v>
      </c>
      <c r="N218" t="n">
        <v>0</v>
      </c>
      <c r="O218" t="n">
        <v>0</v>
      </c>
      <c r="P218" t="n">
        <v>0</v>
      </c>
      <c r="Q218" t="n">
        <v>4</v>
      </c>
      <c r="R218" s="2" t="inlineStr">
        <is>
          <t>Hasselticka
Tibast
Tvåblad
Revlummer</t>
        </is>
      </c>
      <c r="S218">
        <f>HYPERLINK("https://klasma.github.io/Logging_0382/artfynd/A 52808-2022 artfynd.xlsx", "A 52808-2022")</f>
        <v/>
      </c>
      <c r="T218">
        <f>HYPERLINK("https://klasma.github.io/Logging_0382/kartor/A 52808-2022 karta.png", "A 52808-2022")</f>
        <v/>
      </c>
      <c r="V218">
        <f>HYPERLINK("https://klasma.github.io/Logging_0382/klagomål/A 52808-2022 FSC-klagomål.docx", "A 52808-2022")</f>
        <v/>
      </c>
      <c r="W218">
        <f>HYPERLINK("https://klasma.github.io/Logging_0382/klagomålsmail/A 52808-2022 FSC-klagomål mail.docx", "A 52808-2022")</f>
        <v/>
      </c>
      <c r="X218">
        <f>HYPERLINK("https://klasma.github.io/Logging_0382/tillsyn/A 52808-2022 tillsynsbegäran.docx", "A 52808-2022")</f>
        <v/>
      </c>
      <c r="Y218">
        <f>HYPERLINK("https://klasma.github.io/Logging_0382/tillsynsmail/A 52808-2022 tillsynsbegäran mail.docx", "A 52808-2022")</f>
        <v/>
      </c>
    </row>
    <row r="219" ht="15" customHeight="1">
      <c r="A219" t="inlineStr">
        <is>
          <t>A 5089-2023</t>
        </is>
      </c>
      <c r="B219" s="1" t="n">
        <v>44958</v>
      </c>
      <c r="C219" s="1" t="n">
        <v>45846</v>
      </c>
      <c r="D219" t="inlineStr">
        <is>
          <t>UPPSALA LÄN</t>
        </is>
      </c>
      <c r="E219" t="inlineStr">
        <is>
          <t>TIERP</t>
        </is>
      </c>
      <c r="F219" t="inlineStr">
        <is>
          <t>Bergvik skog öst AB</t>
        </is>
      </c>
      <c r="G219" t="n">
        <v>19.1</v>
      </c>
      <c r="H219" t="n">
        <v>1</v>
      </c>
      <c r="I219" t="n">
        <v>1</v>
      </c>
      <c r="J219" t="n">
        <v>3</v>
      </c>
      <c r="K219" t="n">
        <v>0</v>
      </c>
      <c r="L219" t="n">
        <v>0</v>
      </c>
      <c r="M219" t="n">
        <v>0</v>
      </c>
      <c r="N219" t="n">
        <v>0</v>
      </c>
      <c r="O219" t="n">
        <v>3</v>
      </c>
      <c r="P219" t="n">
        <v>0</v>
      </c>
      <c r="Q219" t="n">
        <v>4</v>
      </c>
      <c r="R219" s="2" t="inlineStr">
        <is>
          <t>Motaggsvamp
Talltita
Ullticka
Granbarkgnagare</t>
        </is>
      </c>
      <c r="S219">
        <f>HYPERLINK("https://klasma.github.io/Logging_0360/artfynd/A 5089-2023 artfynd.xlsx", "A 5089-2023")</f>
        <v/>
      </c>
      <c r="T219">
        <f>HYPERLINK("https://klasma.github.io/Logging_0360/kartor/A 5089-2023 karta.png", "A 5089-2023")</f>
        <v/>
      </c>
      <c r="V219">
        <f>HYPERLINK("https://klasma.github.io/Logging_0360/klagomål/A 5089-2023 FSC-klagomål.docx", "A 5089-2023")</f>
        <v/>
      </c>
      <c r="W219">
        <f>HYPERLINK("https://klasma.github.io/Logging_0360/klagomålsmail/A 5089-2023 FSC-klagomål mail.docx", "A 5089-2023")</f>
        <v/>
      </c>
      <c r="X219">
        <f>HYPERLINK("https://klasma.github.io/Logging_0360/tillsyn/A 5089-2023 tillsynsbegäran.docx", "A 5089-2023")</f>
        <v/>
      </c>
      <c r="Y219">
        <f>HYPERLINK("https://klasma.github.io/Logging_0360/tillsynsmail/A 5089-2023 tillsynsbegäran mail.docx", "A 5089-2023")</f>
        <v/>
      </c>
      <c r="Z219">
        <f>HYPERLINK("https://klasma.github.io/Logging_0360/fåglar/A 5089-2023 prioriterade fågelarter.docx", "A 5089-2023")</f>
        <v/>
      </c>
    </row>
    <row r="220" ht="15" customHeight="1">
      <c r="A220" t="inlineStr">
        <is>
          <t>A 8323-2023</t>
        </is>
      </c>
      <c r="B220" s="1" t="n">
        <v>44974</v>
      </c>
      <c r="C220" s="1" t="n">
        <v>45846</v>
      </c>
      <c r="D220" t="inlineStr">
        <is>
          <t>UPPSALA LÄN</t>
        </is>
      </c>
      <c r="E220" t="inlineStr">
        <is>
          <t>UPPSALA</t>
        </is>
      </c>
      <c r="G220" t="n">
        <v>9.4</v>
      </c>
      <c r="H220" t="n">
        <v>1</v>
      </c>
      <c r="I220" t="n">
        <v>2</v>
      </c>
      <c r="J220" t="n">
        <v>1</v>
      </c>
      <c r="K220" t="n">
        <v>0</v>
      </c>
      <c r="L220" t="n">
        <v>0</v>
      </c>
      <c r="M220" t="n">
        <v>0</v>
      </c>
      <c r="N220" t="n">
        <v>0</v>
      </c>
      <c r="O220" t="n">
        <v>1</v>
      </c>
      <c r="P220" t="n">
        <v>0</v>
      </c>
      <c r="Q220" t="n">
        <v>4</v>
      </c>
      <c r="R220" s="2" t="inlineStr">
        <is>
          <t>Leptoporus erubescens
Blodticka
Grönpyrola
Revlummer</t>
        </is>
      </c>
      <c r="S220">
        <f>HYPERLINK("https://klasma.github.io/Logging_0380/artfynd/A 8323-2023 artfynd.xlsx", "A 8323-2023")</f>
        <v/>
      </c>
      <c r="T220">
        <f>HYPERLINK("https://klasma.github.io/Logging_0380/kartor/A 8323-2023 karta.png", "A 8323-2023")</f>
        <v/>
      </c>
      <c r="V220">
        <f>HYPERLINK("https://klasma.github.io/Logging_0380/klagomål/A 8323-2023 FSC-klagomål.docx", "A 8323-2023")</f>
        <v/>
      </c>
      <c r="W220">
        <f>HYPERLINK("https://klasma.github.io/Logging_0380/klagomålsmail/A 8323-2023 FSC-klagomål mail.docx", "A 8323-2023")</f>
        <v/>
      </c>
      <c r="X220">
        <f>HYPERLINK("https://klasma.github.io/Logging_0380/tillsyn/A 8323-2023 tillsynsbegäran.docx", "A 8323-2023")</f>
        <v/>
      </c>
      <c r="Y220">
        <f>HYPERLINK("https://klasma.github.io/Logging_0380/tillsynsmail/A 8323-2023 tillsynsbegäran mail.docx", "A 8323-2023")</f>
        <v/>
      </c>
    </row>
    <row r="221" ht="15" customHeight="1">
      <c r="A221" t="inlineStr">
        <is>
          <t>A 13210-2023</t>
        </is>
      </c>
      <c r="B221" s="1" t="n">
        <v>45002</v>
      </c>
      <c r="C221" s="1" t="n">
        <v>45846</v>
      </c>
      <c r="D221" t="inlineStr">
        <is>
          <t>UPPSALA LÄN</t>
        </is>
      </c>
      <c r="E221" t="inlineStr">
        <is>
          <t>UPPSALA</t>
        </is>
      </c>
      <c r="F221" t="inlineStr">
        <is>
          <t>Holmen skog AB</t>
        </is>
      </c>
      <c r="G221" t="n">
        <v>6.5</v>
      </c>
      <c r="H221" t="n">
        <v>2</v>
      </c>
      <c r="I221" t="n">
        <v>2</v>
      </c>
      <c r="J221" t="n">
        <v>0</v>
      </c>
      <c r="K221" t="n">
        <v>1</v>
      </c>
      <c r="L221" t="n">
        <v>0</v>
      </c>
      <c r="M221" t="n">
        <v>0</v>
      </c>
      <c r="N221" t="n">
        <v>0</v>
      </c>
      <c r="O221" t="n">
        <v>1</v>
      </c>
      <c r="P221" t="n">
        <v>1</v>
      </c>
      <c r="Q221" t="n">
        <v>4</v>
      </c>
      <c r="R221" s="2" t="inlineStr">
        <is>
          <t>Knärot
Bronshjon
Vanlig rörsvepemossa
Blåsippa</t>
        </is>
      </c>
      <c r="S221">
        <f>HYPERLINK("https://klasma.github.io/Logging_0380/artfynd/A 13210-2023 artfynd.xlsx", "A 13210-2023")</f>
        <v/>
      </c>
      <c r="T221">
        <f>HYPERLINK("https://klasma.github.io/Logging_0380/kartor/A 13210-2023 karta.png", "A 13210-2023")</f>
        <v/>
      </c>
      <c r="U221">
        <f>HYPERLINK("https://klasma.github.io/Logging_0380/knärot/A 13210-2023 karta knärot.png", "A 13210-2023")</f>
        <v/>
      </c>
      <c r="V221">
        <f>HYPERLINK("https://klasma.github.io/Logging_0380/klagomål/A 13210-2023 FSC-klagomål.docx", "A 13210-2023")</f>
        <v/>
      </c>
      <c r="W221">
        <f>HYPERLINK("https://klasma.github.io/Logging_0380/klagomålsmail/A 13210-2023 FSC-klagomål mail.docx", "A 13210-2023")</f>
        <v/>
      </c>
      <c r="X221">
        <f>HYPERLINK("https://klasma.github.io/Logging_0380/tillsyn/A 13210-2023 tillsynsbegäran.docx", "A 13210-2023")</f>
        <v/>
      </c>
      <c r="Y221">
        <f>HYPERLINK("https://klasma.github.io/Logging_0380/tillsynsmail/A 13210-2023 tillsynsbegäran mail.docx", "A 13210-2023")</f>
        <v/>
      </c>
    </row>
    <row r="222" ht="15" customHeight="1">
      <c r="A222" t="inlineStr">
        <is>
          <t>A 16456-2023</t>
        </is>
      </c>
      <c r="B222" s="1" t="n">
        <v>45026</v>
      </c>
      <c r="C222" s="1" t="n">
        <v>45846</v>
      </c>
      <c r="D222" t="inlineStr">
        <is>
          <t>UPPSALA LÄN</t>
        </is>
      </c>
      <c r="E222" t="inlineStr">
        <is>
          <t>UPPSALA</t>
        </is>
      </c>
      <c r="G222" t="n">
        <v>6.5</v>
      </c>
      <c r="H222" t="n">
        <v>3</v>
      </c>
      <c r="I222" t="n">
        <v>1</v>
      </c>
      <c r="J222" t="n">
        <v>2</v>
      </c>
      <c r="K222" t="n">
        <v>0</v>
      </c>
      <c r="L222" t="n">
        <v>0</v>
      </c>
      <c r="M222" t="n">
        <v>0</v>
      </c>
      <c r="N222" t="n">
        <v>0</v>
      </c>
      <c r="O222" t="n">
        <v>2</v>
      </c>
      <c r="P222" t="n">
        <v>0</v>
      </c>
      <c r="Q222" t="n">
        <v>4</v>
      </c>
      <c r="R222" s="2" t="inlineStr">
        <is>
          <t>Entita
Rödvingetrast
Björksplintborre
Skogsduva</t>
        </is>
      </c>
      <c r="S222">
        <f>HYPERLINK("https://klasma.github.io/Logging_0380/artfynd/A 16456-2023 artfynd.xlsx", "A 16456-2023")</f>
        <v/>
      </c>
      <c r="T222">
        <f>HYPERLINK("https://klasma.github.io/Logging_0380/kartor/A 16456-2023 karta.png", "A 16456-2023")</f>
        <v/>
      </c>
      <c r="V222">
        <f>HYPERLINK("https://klasma.github.io/Logging_0380/klagomål/A 16456-2023 FSC-klagomål.docx", "A 16456-2023")</f>
        <v/>
      </c>
      <c r="W222">
        <f>HYPERLINK("https://klasma.github.io/Logging_0380/klagomålsmail/A 16456-2023 FSC-klagomål mail.docx", "A 16456-2023")</f>
        <v/>
      </c>
      <c r="X222">
        <f>HYPERLINK("https://klasma.github.io/Logging_0380/tillsyn/A 16456-2023 tillsynsbegäran.docx", "A 16456-2023")</f>
        <v/>
      </c>
      <c r="Y222">
        <f>HYPERLINK("https://klasma.github.io/Logging_0380/tillsynsmail/A 16456-2023 tillsynsbegäran mail.docx", "A 16456-2023")</f>
        <v/>
      </c>
      <c r="Z222">
        <f>HYPERLINK("https://klasma.github.io/Logging_0380/fåglar/A 16456-2023 prioriterade fågelarter.docx", "A 16456-2023")</f>
        <v/>
      </c>
    </row>
    <row r="223" ht="15" customHeight="1">
      <c r="A223" t="inlineStr">
        <is>
          <t>A 18814-2023</t>
        </is>
      </c>
      <c r="B223" s="1" t="n">
        <v>45043</v>
      </c>
      <c r="C223" s="1" t="n">
        <v>45846</v>
      </c>
      <c r="D223" t="inlineStr">
        <is>
          <t>UPPSALA LÄN</t>
        </is>
      </c>
      <c r="E223" t="inlineStr">
        <is>
          <t>KNIVSTA</t>
        </is>
      </c>
      <c r="G223" t="n">
        <v>8.9</v>
      </c>
      <c r="H223" t="n">
        <v>2</v>
      </c>
      <c r="I223" t="n">
        <v>1</v>
      </c>
      <c r="J223" t="n">
        <v>2</v>
      </c>
      <c r="K223" t="n">
        <v>0</v>
      </c>
      <c r="L223" t="n">
        <v>1</v>
      </c>
      <c r="M223" t="n">
        <v>0</v>
      </c>
      <c r="N223" t="n">
        <v>0</v>
      </c>
      <c r="O223" t="n">
        <v>3</v>
      </c>
      <c r="P223" t="n">
        <v>1</v>
      </c>
      <c r="Q223" t="n">
        <v>4</v>
      </c>
      <c r="R223" s="2" t="inlineStr">
        <is>
          <t>Grönfink
Gulsparv
Ullticka
Barkticka</t>
        </is>
      </c>
      <c r="S223">
        <f>HYPERLINK("https://klasma.github.io/Logging_0330/artfynd/A 18814-2023 artfynd.xlsx", "A 18814-2023")</f>
        <v/>
      </c>
      <c r="T223">
        <f>HYPERLINK("https://klasma.github.io/Logging_0330/kartor/A 18814-2023 karta.png", "A 18814-2023")</f>
        <v/>
      </c>
      <c r="V223">
        <f>HYPERLINK("https://klasma.github.io/Logging_0330/klagomål/A 18814-2023 FSC-klagomål.docx", "A 18814-2023")</f>
        <v/>
      </c>
      <c r="W223">
        <f>HYPERLINK("https://klasma.github.io/Logging_0330/klagomålsmail/A 18814-2023 FSC-klagomål mail.docx", "A 18814-2023")</f>
        <v/>
      </c>
      <c r="X223">
        <f>HYPERLINK("https://klasma.github.io/Logging_0330/tillsyn/A 18814-2023 tillsynsbegäran.docx", "A 18814-2023")</f>
        <v/>
      </c>
      <c r="Y223">
        <f>HYPERLINK("https://klasma.github.io/Logging_0330/tillsynsmail/A 18814-2023 tillsynsbegäran mail.docx", "A 18814-2023")</f>
        <v/>
      </c>
      <c r="Z223">
        <f>HYPERLINK("https://klasma.github.io/Logging_0330/fåglar/A 18814-2023 prioriterade fågelarter.docx", "A 18814-2023")</f>
        <v/>
      </c>
    </row>
    <row r="224" ht="15" customHeight="1">
      <c r="A224" t="inlineStr">
        <is>
          <t>A 19329-2023</t>
        </is>
      </c>
      <c r="B224" s="1" t="n">
        <v>45049</v>
      </c>
      <c r="C224" s="1" t="n">
        <v>45846</v>
      </c>
      <c r="D224" t="inlineStr">
        <is>
          <t>UPPSALA LÄN</t>
        </is>
      </c>
      <c r="E224" t="inlineStr">
        <is>
          <t>UPPSALA</t>
        </is>
      </c>
      <c r="G224" t="n">
        <v>10</v>
      </c>
      <c r="H224" t="n">
        <v>0</v>
      </c>
      <c r="I224" t="n">
        <v>3</v>
      </c>
      <c r="J224" t="n">
        <v>1</v>
      </c>
      <c r="K224" t="n">
        <v>0</v>
      </c>
      <c r="L224" t="n">
        <v>0</v>
      </c>
      <c r="M224" t="n">
        <v>0</v>
      </c>
      <c r="N224" t="n">
        <v>0</v>
      </c>
      <c r="O224" t="n">
        <v>1</v>
      </c>
      <c r="P224" t="n">
        <v>0</v>
      </c>
      <c r="Q224" t="n">
        <v>4</v>
      </c>
      <c r="R224" s="2" t="inlineStr">
        <is>
          <t>Erastia ochraceolateritia
Blodticka
Fjällig taggsvamp s.str.
Svavelriska</t>
        </is>
      </c>
      <c r="S224">
        <f>HYPERLINK("https://klasma.github.io/Logging_0380/artfynd/A 19329-2023 artfynd.xlsx", "A 19329-2023")</f>
        <v/>
      </c>
      <c r="T224">
        <f>HYPERLINK("https://klasma.github.io/Logging_0380/kartor/A 19329-2023 karta.png", "A 19329-2023")</f>
        <v/>
      </c>
      <c r="V224">
        <f>HYPERLINK("https://klasma.github.io/Logging_0380/klagomål/A 19329-2023 FSC-klagomål.docx", "A 19329-2023")</f>
        <v/>
      </c>
      <c r="W224">
        <f>HYPERLINK("https://klasma.github.io/Logging_0380/klagomålsmail/A 19329-2023 FSC-klagomål mail.docx", "A 19329-2023")</f>
        <v/>
      </c>
      <c r="X224">
        <f>HYPERLINK("https://klasma.github.io/Logging_0380/tillsyn/A 19329-2023 tillsynsbegäran.docx", "A 19329-2023")</f>
        <v/>
      </c>
      <c r="Y224">
        <f>HYPERLINK("https://klasma.github.io/Logging_0380/tillsynsmail/A 19329-2023 tillsynsbegäran mail.docx", "A 19329-2023")</f>
        <v/>
      </c>
    </row>
    <row r="225" ht="15" customHeight="1">
      <c r="A225" t="inlineStr">
        <is>
          <t>A 26600-2023</t>
        </is>
      </c>
      <c r="B225" s="1" t="n">
        <v>45092</v>
      </c>
      <c r="C225" s="1" t="n">
        <v>45846</v>
      </c>
      <c r="D225" t="inlineStr">
        <is>
          <t>UPPSALA LÄN</t>
        </is>
      </c>
      <c r="E225" t="inlineStr">
        <is>
          <t>ÖSTHAMMAR</t>
        </is>
      </c>
      <c r="F225" t="inlineStr">
        <is>
          <t>Sveaskog</t>
        </is>
      </c>
      <c r="G225" t="n">
        <v>3.5</v>
      </c>
      <c r="H225" t="n">
        <v>4</v>
      </c>
      <c r="I225" t="n">
        <v>0</v>
      </c>
      <c r="J225" t="n">
        <v>3</v>
      </c>
      <c r="K225" t="n">
        <v>0</v>
      </c>
      <c r="L225" t="n">
        <v>1</v>
      </c>
      <c r="M225" t="n">
        <v>0</v>
      </c>
      <c r="N225" t="n">
        <v>0</v>
      </c>
      <c r="O225" t="n">
        <v>4</v>
      </c>
      <c r="P225" t="n">
        <v>1</v>
      </c>
      <c r="Q225" t="n">
        <v>4</v>
      </c>
      <c r="R225" s="2" t="inlineStr">
        <is>
          <t>Grönfink
Fiskmås
Nordfladdermus
Rörsångare</t>
        </is>
      </c>
      <c r="S225">
        <f>HYPERLINK("https://klasma.github.io/Logging_0382/artfynd/A 26600-2023 artfynd.xlsx", "A 26600-2023")</f>
        <v/>
      </c>
      <c r="T225">
        <f>HYPERLINK("https://klasma.github.io/Logging_0382/kartor/A 26600-2023 karta.png", "A 26600-2023")</f>
        <v/>
      </c>
      <c r="V225">
        <f>HYPERLINK("https://klasma.github.io/Logging_0382/klagomål/A 26600-2023 FSC-klagomål.docx", "A 26600-2023")</f>
        <v/>
      </c>
      <c r="W225">
        <f>HYPERLINK("https://klasma.github.io/Logging_0382/klagomålsmail/A 26600-2023 FSC-klagomål mail.docx", "A 26600-2023")</f>
        <v/>
      </c>
      <c r="X225">
        <f>HYPERLINK("https://klasma.github.io/Logging_0382/tillsyn/A 26600-2023 tillsynsbegäran.docx", "A 26600-2023")</f>
        <v/>
      </c>
      <c r="Y225">
        <f>HYPERLINK("https://klasma.github.io/Logging_0382/tillsynsmail/A 26600-2023 tillsynsbegäran mail.docx", "A 26600-2023")</f>
        <v/>
      </c>
      <c r="Z225">
        <f>HYPERLINK("https://klasma.github.io/Logging_0382/fåglar/A 26600-2023 prioriterade fågelarter.docx", "A 26600-2023")</f>
        <v/>
      </c>
    </row>
    <row r="226" ht="15" customHeight="1">
      <c r="A226" t="inlineStr">
        <is>
          <t>A 32759-2023</t>
        </is>
      </c>
      <c r="B226" s="1" t="n">
        <v>45123</v>
      </c>
      <c r="C226" s="1" t="n">
        <v>45846</v>
      </c>
      <c r="D226" t="inlineStr">
        <is>
          <t>UPPSALA LÄN</t>
        </is>
      </c>
      <c r="E226" t="inlineStr">
        <is>
          <t>HEBY</t>
        </is>
      </c>
      <c r="G226" t="n">
        <v>23.9</v>
      </c>
      <c r="H226" t="n">
        <v>3</v>
      </c>
      <c r="I226" t="n">
        <v>2</v>
      </c>
      <c r="J226" t="n">
        <v>0</v>
      </c>
      <c r="K226" t="n">
        <v>1</v>
      </c>
      <c r="L226" t="n">
        <v>0</v>
      </c>
      <c r="M226" t="n">
        <v>0</v>
      </c>
      <c r="N226" t="n">
        <v>0</v>
      </c>
      <c r="O226" t="n">
        <v>1</v>
      </c>
      <c r="P226" t="n">
        <v>1</v>
      </c>
      <c r="Q226" t="n">
        <v>4</v>
      </c>
      <c r="R226" s="2" t="inlineStr">
        <is>
          <t>Knärot
Grön sköldmossa
Vedticka
Kungsfågel</t>
        </is>
      </c>
      <c r="S226">
        <f>HYPERLINK("https://klasma.github.io/Logging_0331/artfynd/A 32759-2023 artfynd.xlsx", "A 32759-2023")</f>
        <v/>
      </c>
      <c r="T226">
        <f>HYPERLINK("https://klasma.github.io/Logging_0331/kartor/A 32759-2023 karta.png", "A 32759-2023")</f>
        <v/>
      </c>
      <c r="U226">
        <f>HYPERLINK("https://klasma.github.io/Logging_0331/knärot/A 32759-2023 karta knärot.png", "A 32759-2023")</f>
        <v/>
      </c>
      <c r="V226">
        <f>HYPERLINK("https://klasma.github.io/Logging_0331/klagomål/A 32759-2023 FSC-klagomål.docx", "A 32759-2023")</f>
        <v/>
      </c>
      <c r="W226">
        <f>HYPERLINK("https://klasma.github.io/Logging_0331/klagomålsmail/A 32759-2023 FSC-klagomål mail.docx", "A 32759-2023")</f>
        <v/>
      </c>
      <c r="X226">
        <f>HYPERLINK("https://klasma.github.io/Logging_0331/tillsyn/A 32759-2023 tillsynsbegäran.docx", "A 32759-2023")</f>
        <v/>
      </c>
      <c r="Y226">
        <f>HYPERLINK("https://klasma.github.io/Logging_0331/tillsynsmail/A 32759-2023 tillsynsbegäran mail.docx", "A 32759-2023")</f>
        <v/>
      </c>
      <c r="Z226">
        <f>HYPERLINK("https://klasma.github.io/Logging_0331/fåglar/A 32759-2023 prioriterade fågelarter.docx", "A 32759-2023")</f>
        <v/>
      </c>
    </row>
    <row r="227" ht="15" customHeight="1">
      <c r="A227" t="inlineStr">
        <is>
          <t>A 32785-2023</t>
        </is>
      </c>
      <c r="B227" s="1" t="n">
        <v>45124</v>
      </c>
      <c r="C227" s="1" t="n">
        <v>45846</v>
      </c>
      <c r="D227" t="inlineStr">
        <is>
          <t>UPPSALA LÄN</t>
        </is>
      </c>
      <c r="E227" t="inlineStr">
        <is>
          <t>HEBY</t>
        </is>
      </c>
      <c r="G227" t="n">
        <v>3.1</v>
      </c>
      <c r="H227" t="n">
        <v>3</v>
      </c>
      <c r="I227" t="n">
        <v>0</v>
      </c>
      <c r="J227" t="n">
        <v>3</v>
      </c>
      <c r="K227" t="n">
        <v>0</v>
      </c>
      <c r="L227" t="n">
        <v>0</v>
      </c>
      <c r="M227" t="n">
        <v>0</v>
      </c>
      <c r="N227" t="n">
        <v>0</v>
      </c>
      <c r="O227" t="n">
        <v>3</v>
      </c>
      <c r="P227" t="n">
        <v>0</v>
      </c>
      <c r="Q227" t="n">
        <v>4</v>
      </c>
      <c r="R227" s="2" t="inlineStr">
        <is>
          <t>Garnlav
Spillkråka
Talltita
Huggorm</t>
        </is>
      </c>
      <c r="S227">
        <f>HYPERLINK("https://klasma.github.io/Logging_0331/artfynd/A 32785-2023 artfynd.xlsx", "A 32785-2023")</f>
        <v/>
      </c>
      <c r="T227">
        <f>HYPERLINK("https://klasma.github.io/Logging_0331/kartor/A 32785-2023 karta.png", "A 32785-2023")</f>
        <v/>
      </c>
      <c r="V227">
        <f>HYPERLINK("https://klasma.github.io/Logging_0331/klagomål/A 32785-2023 FSC-klagomål.docx", "A 32785-2023")</f>
        <v/>
      </c>
      <c r="W227">
        <f>HYPERLINK("https://klasma.github.io/Logging_0331/klagomålsmail/A 32785-2023 FSC-klagomål mail.docx", "A 32785-2023")</f>
        <v/>
      </c>
      <c r="X227">
        <f>HYPERLINK("https://klasma.github.io/Logging_0331/tillsyn/A 32785-2023 tillsynsbegäran.docx", "A 32785-2023")</f>
        <v/>
      </c>
      <c r="Y227">
        <f>HYPERLINK("https://klasma.github.io/Logging_0331/tillsynsmail/A 32785-2023 tillsynsbegäran mail.docx", "A 32785-2023")</f>
        <v/>
      </c>
      <c r="Z227">
        <f>HYPERLINK("https://klasma.github.io/Logging_0331/fåglar/A 32785-2023 prioriterade fågelarter.docx", "A 32785-2023")</f>
        <v/>
      </c>
    </row>
    <row r="228" ht="15" customHeight="1">
      <c r="A228" t="inlineStr">
        <is>
          <t>A 40648-2023</t>
        </is>
      </c>
      <c r="B228" s="1" t="n">
        <v>45170</v>
      </c>
      <c r="C228" s="1" t="n">
        <v>45846</v>
      </c>
      <c r="D228" t="inlineStr">
        <is>
          <t>UPPSALA LÄN</t>
        </is>
      </c>
      <c r="E228" t="inlineStr">
        <is>
          <t>HEBY</t>
        </is>
      </c>
      <c r="F228" t="inlineStr">
        <is>
          <t>Övriga Aktiebolag</t>
        </is>
      </c>
      <c r="G228" t="n">
        <v>5.3</v>
      </c>
      <c r="H228" t="n">
        <v>0</v>
      </c>
      <c r="I228" t="n">
        <v>2</v>
      </c>
      <c r="J228" t="n">
        <v>2</v>
      </c>
      <c r="K228" t="n">
        <v>0</v>
      </c>
      <c r="L228" t="n">
        <v>0</v>
      </c>
      <c r="M228" t="n">
        <v>0</v>
      </c>
      <c r="N228" t="n">
        <v>0</v>
      </c>
      <c r="O228" t="n">
        <v>2</v>
      </c>
      <c r="P228" t="n">
        <v>0</v>
      </c>
      <c r="Q228" t="n">
        <v>4</v>
      </c>
      <c r="R228" s="2" t="inlineStr">
        <is>
          <t>Garnlav
Tallticka
Blodticka
Grönpyrola</t>
        </is>
      </c>
      <c r="S228">
        <f>HYPERLINK("https://klasma.github.io/Logging_0331/artfynd/A 40648-2023 artfynd.xlsx", "A 40648-2023")</f>
        <v/>
      </c>
      <c r="T228">
        <f>HYPERLINK("https://klasma.github.io/Logging_0331/kartor/A 40648-2023 karta.png", "A 40648-2023")</f>
        <v/>
      </c>
      <c r="U228">
        <f>HYPERLINK("https://klasma.github.io/Logging_0331/knärot/A 40648-2023 karta knärot.png", "A 40648-2023")</f>
        <v/>
      </c>
      <c r="V228">
        <f>HYPERLINK("https://klasma.github.io/Logging_0331/klagomål/A 40648-2023 FSC-klagomål.docx", "A 40648-2023")</f>
        <v/>
      </c>
      <c r="W228">
        <f>HYPERLINK("https://klasma.github.io/Logging_0331/klagomålsmail/A 40648-2023 FSC-klagomål mail.docx", "A 40648-2023")</f>
        <v/>
      </c>
      <c r="X228">
        <f>HYPERLINK("https://klasma.github.io/Logging_0331/tillsyn/A 40648-2023 tillsynsbegäran.docx", "A 40648-2023")</f>
        <v/>
      </c>
      <c r="Y228">
        <f>HYPERLINK("https://klasma.github.io/Logging_0331/tillsynsmail/A 40648-2023 tillsynsbegäran mail.docx", "A 40648-2023")</f>
        <v/>
      </c>
    </row>
    <row r="229" ht="15" customHeight="1">
      <c r="A229" t="inlineStr">
        <is>
          <t>A 41808-2023</t>
        </is>
      </c>
      <c r="B229" s="1" t="n">
        <v>45176</v>
      </c>
      <c r="C229" s="1" t="n">
        <v>45846</v>
      </c>
      <c r="D229" t="inlineStr">
        <is>
          <t>UPPSALA LÄN</t>
        </is>
      </c>
      <c r="E229" t="inlineStr">
        <is>
          <t>TIERP</t>
        </is>
      </c>
      <c r="F229" t="inlineStr">
        <is>
          <t>Bergvik skog öst AB</t>
        </is>
      </c>
      <c r="G229" t="n">
        <v>2.5</v>
      </c>
      <c r="H229" t="n">
        <v>0</v>
      </c>
      <c r="I229" t="n">
        <v>3</v>
      </c>
      <c r="J229" t="n">
        <v>0</v>
      </c>
      <c r="K229" t="n">
        <v>1</v>
      </c>
      <c r="L229" t="n">
        <v>0</v>
      </c>
      <c r="M229" t="n">
        <v>0</v>
      </c>
      <c r="N229" t="n">
        <v>0</v>
      </c>
      <c r="O229" t="n">
        <v>1</v>
      </c>
      <c r="P229" t="n">
        <v>1</v>
      </c>
      <c r="Q229" t="n">
        <v>4</v>
      </c>
      <c r="R229" s="2" t="inlineStr">
        <is>
          <t>Läderdoftande fingersvamp
Fjällig taggsvamp s.str.
Skarp dropptaggsvamp
Zontaggsvamp</t>
        </is>
      </c>
      <c r="S229">
        <f>HYPERLINK("https://klasma.github.io/Logging_0360/artfynd/A 41808-2023 artfynd.xlsx", "A 41808-2023")</f>
        <v/>
      </c>
      <c r="T229">
        <f>HYPERLINK("https://klasma.github.io/Logging_0360/kartor/A 41808-2023 karta.png", "A 41808-2023")</f>
        <v/>
      </c>
      <c r="V229">
        <f>HYPERLINK("https://klasma.github.io/Logging_0360/klagomål/A 41808-2023 FSC-klagomål.docx", "A 41808-2023")</f>
        <v/>
      </c>
      <c r="W229">
        <f>HYPERLINK("https://klasma.github.io/Logging_0360/klagomålsmail/A 41808-2023 FSC-klagomål mail.docx", "A 41808-2023")</f>
        <v/>
      </c>
      <c r="X229">
        <f>HYPERLINK("https://klasma.github.io/Logging_0360/tillsyn/A 41808-2023 tillsynsbegäran.docx", "A 41808-2023")</f>
        <v/>
      </c>
      <c r="Y229">
        <f>HYPERLINK("https://klasma.github.io/Logging_0360/tillsynsmail/A 41808-2023 tillsynsbegäran mail.docx", "A 41808-2023")</f>
        <v/>
      </c>
    </row>
    <row r="230" ht="15" customHeight="1">
      <c r="A230" t="inlineStr">
        <is>
          <t>A 42343-2023</t>
        </is>
      </c>
      <c r="B230" s="1" t="n">
        <v>45180</v>
      </c>
      <c r="C230" s="1" t="n">
        <v>45846</v>
      </c>
      <c r="D230" t="inlineStr">
        <is>
          <t>UPPSALA LÄN</t>
        </is>
      </c>
      <c r="E230" t="inlineStr">
        <is>
          <t>TIERP</t>
        </is>
      </c>
      <c r="F230" t="inlineStr">
        <is>
          <t>Bergvik skog väst AB</t>
        </is>
      </c>
      <c r="G230" t="n">
        <v>13.6</v>
      </c>
      <c r="H230" t="n">
        <v>1</v>
      </c>
      <c r="I230" t="n">
        <v>3</v>
      </c>
      <c r="J230" t="n">
        <v>0</v>
      </c>
      <c r="K230" t="n">
        <v>0</v>
      </c>
      <c r="L230" t="n">
        <v>0</v>
      </c>
      <c r="M230" t="n">
        <v>0</v>
      </c>
      <c r="N230" t="n">
        <v>0</v>
      </c>
      <c r="O230" t="n">
        <v>0</v>
      </c>
      <c r="P230" t="n">
        <v>0</v>
      </c>
      <c r="Q230" t="n">
        <v>4</v>
      </c>
      <c r="R230" s="2" t="inlineStr">
        <is>
          <t>Bronshjon
Myskmadra
Thomsons trägnagare
Blåsippa</t>
        </is>
      </c>
      <c r="S230">
        <f>HYPERLINK("https://klasma.github.io/Logging_0360/artfynd/A 42343-2023 artfynd.xlsx", "A 42343-2023")</f>
        <v/>
      </c>
      <c r="T230">
        <f>HYPERLINK("https://klasma.github.io/Logging_0360/kartor/A 42343-2023 karta.png", "A 42343-2023")</f>
        <v/>
      </c>
      <c r="V230">
        <f>HYPERLINK("https://klasma.github.io/Logging_0360/klagomål/A 42343-2023 FSC-klagomål.docx", "A 42343-2023")</f>
        <v/>
      </c>
      <c r="W230">
        <f>HYPERLINK("https://klasma.github.io/Logging_0360/klagomålsmail/A 42343-2023 FSC-klagomål mail.docx", "A 42343-2023")</f>
        <v/>
      </c>
      <c r="X230">
        <f>HYPERLINK("https://klasma.github.io/Logging_0360/tillsyn/A 42343-2023 tillsynsbegäran.docx", "A 42343-2023")</f>
        <v/>
      </c>
      <c r="Y230">
        <f>HYPERLINK("https://klasma.github.io/Logging_0360/tillsynsmail/A 42343-2023 tillsynsbegäran mail.docx", "A 42343-2023")</f>
        <v/>
      </c>
    </row>
    <row r="231" ht="15" customHeight="1">
      <c r="A231" t="inlineStr">
        <is>
          <t>A 55610-2023</t>
        </is>
      </c>
      <c r="B231" s="1" t="n">
        <v>45238</v>
      </c>
      <c r="C231" s="1" t="n">
        <v>45846</v>
      </c>
      <c r="D231" t="inlineStr">
        <is>
          <t>UPPSALA LÄN</t>
        </is>
      </c>
      <c r="E231" t="inlineStr">
        <is>
          <t>ENKÖPING</t>
        </is>
      </c>
      <c r="F231" t="inlineStr">
        <is>
          <t>Allmännings- och besparingsskogar</t>
        </is>
      </c>
      <c r="G231" t="n">
        <v>4.4</v>
      </c>
      <c r="H231" t="n">
        <v>4</v>
      </c>
      <c r="I231" t="n">
        <v>0</v>
      </c>
      <c r="J231" t="n">
        <v>3</v>
      </c>
      <c r="K231" t="n">
        <v>1</v>
      </c>
      <c r="L231" t="n">
        <v>0</v>
      </c>
      <c r="M231" t="n">
        <v>0</v>
      </c>
      <c r="N231" t="n">
        <v>0</v>
      </c>
      <c r="O231" t="n">
        <v>4</v>
      </c>
      <c r="P231" t="n">
        <v>1</v>
      </c>
      <c r="Q231" t="n">
        <v>4</v>
      </c>
      <c r="R231" s="2" t="inlineStr">
        <is>
          <t>Kricka
Havsörn
Smålom
Spillkråka</t>
        </is>
      </c>
      <c r="S231">
        <f>HYPERLINK("https://klasma.github.io/Logging_0381/artfynd/A 55610-2023 artfynd.xlsx", "A 55610-2023")</f>
        <v/>
      </c>
      <c r="T231">
        <f>HYPERLINK("https://klasma.github.io/Logging_0381/kartor/A 55610-2023 karta.png", "A 55610-2023")</f>
        <v/>
      </c>
      <c r="V231">
        <f>HYPERLINK("https://klasma.github.io/Logging_0381/klagomål/A 55610-2023 FSC-klagomål.docx", "A 55610-2023")</f>
        <v/>
      </c>
      <c r="W231">
        <f>HYPERLINK("https://klasma.github.io/Logging_0381/klagomålsmail/A 55610-2023 FSC-klagomål mail.docx", "A 55610-2023")</f>
        <v/>
      </c>
      <c r="X231">
        <f>HYPERLINK("https://klasma.github.io/Logging_0381/tillsyn/A 55610-2023 tillsynsbegäran.docx", "A 55610-2023")</f>
        <v/>
      </c>
      <c r="Y231">
        <f>HYPERLINK("https://klasma.github.io/Logging_0381/tillsynsmail/A 55610-2023 tillsynsbegäran mail.docx", "A 55610-2023")</f>
        <v/>
      </c>
      <c r="Z231">
        <f>HYPERLINK("https://klasma.github.io/Logging_0381/fåglar/A 55610-2023 prioriterade fågelarter.docx", "A 55610-2023")</f>
        <v/>
      </c>
    </row>
    <row r="232" ht="15" customHeight="1">
      <c r="A232" t="inlineStr">
        <is>
          <t>A 11217-2024</t>
        </is>
      </c>
      <c r="B232" s="1" t="n">
        <v>45371</v>
      </c>
      <c r="C232" s="1" t="n">
        <v>45846</v>
      </c>
      <c r="D232" t="inlineStr">
        <is>
          <t>UPPSALA LÄN</t>
        </is>
      </c>
      <c r="E232" t="inlineStr">
        <is>
          <t>UPPSALA</t>
        </is>
      </c>
      <c r="F232" t="inlineStr">
        <is>
          <t>Kommuner</t>
        </is>
      </c>
      <c r="G232" t="n">
        <v>1.5</v>
      </c>
      <c r="H232" t="n">
        <v>1</v>
      </c>
      <c r="I232" t="n">
        <v>4</v>
      </c>
      <c r="J232" t="n">
        <v>0</v>
      </c>
      <c r="K232" t="n">
        <v>0</v>
      </c>
      <c r="L232" t="n">
        <v>0</v>
      </c>
      <c r="M232" t="n">
        <v>0</v>
      </c>
      <c r="N232" t="n">
        <v>0</v>
      </c>
      <c r="O232" t="n">
        <v>0</v>
      </c>
      <c r="P232" t="n">
        <v>0</v>
      </c>
      <c r="Q232" t="n">
        <v>4</v>
      </c>
      <c r="R232" s="2" t="inlineStr">
        <is>
          <t>Fällmossa
Grön sköldmossa
Lönnlav
Stor aspticka</t>
        </is>
      </c>
      <c r="S232">
        <f>HYPERLINK("https://klasma.github.io/Logging_0380/artfynd/A 11217-2024 artfynd.xlsx", "A 11217-2024")</f>
        <v/>
      </c>
      <c r="T232">
        <f>HYPERLINK("https://klasma.github.io/Logging_0380/kartor/A 11217-2024 karta.png", "A 11217-2024")</f>
        <v/>
      </c>
      <c r="V232">
        <f>HYPERLINK("https://klasma.github.io/Logging_0380/klagomål/A 11217-2024 FSC-klagomål.docx", "A 11217-2024")</f>
        <v/>
      </c>
      <c r="W232">
        <f>HYPERLINK("https://klasma.github.io/Logging_0380/klagomålsmail/A 11217-2024 FSC-klagomål mail.docx", "A 11217-2024")</f>
        <v/>
      </c>
      <c r="X232">
        <f>HYPERLINK("https://klasma.github.io/Logging_0380/tillsyn/A 11217-2024 tillsynsbegäran.docx", "A 11217-2024")</f>
        <v/>
      </c>
      <c r="Y232">
        <f>HYPERLINK("https://klasma.github.io/Logging_0380/tillsynsmail/A 11217-2024 tillsynsbegäran mail.docx", "A 11217-2024")</f>
        <v/>
      </c>
    </row>
    <row r="233" ht="15" customHeight="1">
      <c r="A233" t="inlineStr">
        <is>
          <t>A 11738-2024</t>
        </is>
      </c>
      <c r="B233" s="1" t="n">
        <v>45373</v>
      </c>
      <c r="C233" s="1" t="n">
        <v>45846</v>
      </c>
      <c r="D233" t="inlineStr">
        <is>
          <t>UPPSALA LÄN</t>
        </is>
      </c>
      <c r="E233" t="inlineStr">
        <is>
          <t>ÖSTHAMMAR</t>
        </is>
      </c>
      <c r="G233" t="n">
        <v>2.6</v>
      </c>
      <c r="H233" t="n">
        <v>1</v>
      </c>
      <c r="I233" t="n">
        <v>2</v>
      </c>
      <c r="J233" t="n">
        <v>1</v>
      </c>
      <c r="K233" t="n">
        <v>0</v>
      </c>
      <c r="L233" t="n">
        <v>0</v>
      </c>
      <c r="M233" t="n">
        <v>0</v>
      </c>
      <c r="N233" t="n">
        <v>0</v>
      </c>
      <c r="O233" t="n">
        <v>1</v>
      </c>
      <c r="P233" t="n">
        <v>0</v>
      </c>
      <c r="Q233" t="n">
        <v>4</v>
      </c>
      <c r="R233" s="2" t="inlineStr">
        <is>
          <t>Såpfingersvamp
Fjällig taggsvamp s.str.
Stor aspticka
Blåsippa</t>
        </is>
      </c>
      <c r="S233">
        <f>HYPERLINK("https://klasma.github.io/Logging_0382/artfynd/A 11738-2024 artfynd.xlsx", "A 11738-2024")</f>
        <v/>
      </c>
      <c r="T233">
        <f>HYPERLINK("https://klasma.github.io/Logging_0382/kartor/A 11738-2024 karta.png", "A 11738-2024")</f>
        <v/>
      </c>
      <c r="V233">
        <f>HYPERLINK("https://klasma.github.io/Logging_0382/klagomål/A 11738-2024 FSC-klagomål.docx", "A 11738-2024")</f>
        <v/>
      </c>
      <c r="W233">
        <f>HYPERLINK("https://klasma.github.io/Logging_0382/klagomålsmail/A 11738-2024 FSC-klagomål mail.docx", "A 11738-2024")</f>
        <v/>
      </c>
      <c r="X233">
        <f>HYPERLINK("https://klasma.github.io/Logging_0382/tillsyn/A 11738-2024 tillsynsbegäran.docx", "A 11738-2024")</f>
        <v/>
      </c>
      <c r="Y233">
        <f>HYPERLINK("https://klasma.github.io/Logging_0382/tillsynsmail/A 11738-2024 tillsynsbegäran mail.docx", "A 11738-2024")</f>
        <v/>
      </c>
    </row>
    <row r="234" ht="15" customHeight="1">
      <c r="A234" t="inlineStr">
        <is>
          <t>A 16618-2024</t>
        </is>
      </c>
      <c r="B234" s="1" t="n">
        <v>45408</v>
      </c>
      <c r="C234" s="1" t="n">
        <v>45846</v>
      </c>
      <c r="D234" t="inlineStr">
        <is>
          <t>UPPSALA LÄN</t>
        </is>
      </c>
      <c r="E234" t="inlineStr">
        <is>
          <t>HÅBO</t>
        </is>
      </c>
      <c r="G234" t="n">
        <v>3.5</v>
      </c>
      <c r="H234" t="n">
        <v>2</v>
      </c>
      <c r="I234" t="n">
        <v>1</v>
      </c>
      <c r="J234" t="n">
        <v>1</v>
      </c>
      <c r="K234" t="n">
        <v>0</v>
      </c>
      <c r="L234" t="n">
        <v>1</v>
      </c>
      <c r="M234" t="n">
        <v>0</v>
      </c>
      <c r="N234" t="n">
        <v>0</v>
      </c>
      <c r="O234" t="n">
        <v>2</v>
      </c>
      <c r="P234" t="n">
        <v>1</v>
      </c>
      <c r="Q234" t="n">
        <v>4</v>
      </c>
      <c r="R234" s="2" t="inlineStr">
        <is>
          <t>Prakttagging
Backklöver
Nästrot
Blåsippa</t>
        </is>
      </c>
      <c r="S234">
        <f>HYPERLINK("https://klasma.github.io/Logging_0305/artfynd/A 16618-2024 artfynd.xlsx", "A 16618-2024")</f>
        <v/>
      </c>
      <c r="T234">
        <f>HYPERLINK("https://klasma.github.io/Logging_0305/kartor/A 16618-2024 karta.png", "A 16618-2024")</f>
        <v/>
      </c>
      <c r="V234">
        <f>HYPERLINK("https://klasma.github.io/Logging_0305/klagomål/A 16618-2024 FSC-klagomål.docx", "A 16618-2024")</f>
        <v/>
      </c>
      <c r="W234">
        <f>HYPERLINK("https://klasma.github.io/Logging_0305/klagomålsmail/A 16618-2024 FSC-klagomål mail.docx", "A 16618-2024")</f>
        <v/>
      </c>
      <c r="X234">
        <f>HYPERLINK("https://klasma.github.io/Logging_0305/tillsyn/A 16618-2024 tillsynsbegäran.docx", "A 16618-2024")</f>
        <v/>
      </c>
      <c r="Y234">
        <f>HYPERLINK("https://klasma.github.io/Logging_0305/tillsynsmail/A 16618-2024 tillsynsbegäran mail.docx", "A 16618-2024")</f>
        <v/>
      </c>
    </row>
    <row r="235" ht="15" customHeight="1">
      <c r="A235" t="inlineStr">
        <is>
          <t>A 21809-2024</t>
        </is>
      </c>
      <c r="B235" s="1" t="n">
        <v>45442</v>
      </c>
      <c r="C235" s="1" t="n">
        <v>45846</v>
      </c>
      <c r="D235" t="inlineStr">
        <is>
          <t>UPPSALA LÄN</t>
        </is>
      </c>
      <c r="E235" t="inlineStr">
        <is>
          <t>UPPSALA</t>
        </is>
      </c>
      <c r="F235" t="inlineStr">
        <is>
          <t>Övriga statliga verk och myndigheter</t>
        </is>
      </c>
      <c r="G235" t="n">
        <v>6.6</v>
      </c>
      <c r="H235" t="n">
        <v>3</v>
      </c>
      <c r="I235" t="n">
        <v>1</v>
      </c>
      <c r="J235" t="n">
        <v>1</v>
      </c>
      <c r="K235" t="n">
        <v>0</v>
      </c>
      <c r="L235" t="n">
        <v>0</v>
      </c>
      <c r="M235" t="n">
        <v>0</v>
      </c>
      <c r="N235" t="n">
        <v>0</v>
      </c>
      <c r="O235" t="n">
        <v>1</v>
      </c>
      <c r="P235" t="n">
        <v>0</v>
      </c>
      <c r="Q235" t="n">
        <v>4</v>
      </c>
      <c r="R235" s="2" t="inlineStr">
        <is>
          <t>Nordfladdermus
Vågbandad barkbock
Dvärgpipistrell
Blåsippa</t>
        </is>
      </c>
      <c r="S235">
        <f>HYPERLINK("https://klasma.github.io/Logging_0380/artfynd/A 21809-2024 artfynd.xlsx", "A 21809-2024")</f>
        <v/>
      </c>
      <c r="T235">
        <f>HYPERLINK("https://klasma.github.io/Logging_0380/kartor/A 21809-2024 karta.png", "A 21809-2024")</f>
        <v/>
      </c>
      <c r="V235">
        <f>HYPERLINK("https://klasma.github.io/Logging_0380/klagomål/A 21809-2024 FSC-klagomål.docx", "A 21809-2024")</f>
        <v/>
      </c>
      <c r="W235">
        <f>HYPERLINK("https://klasma.github.io/Logging_0380/klagomålsmail/A 21809-2024 FSC-klagomål mail.docx", "A 21809-2024")</f>
        <v/>
      </c>
      <c r="X235">
        <f>HYPERLINK("https://klasma.github.io/Logging_0380/tillsyn/A 21809-2024 tillsynsbegäran.docx", "A 21809-2024")</f>
        <v/>
      </c>
      <c r="Y235">
        <f>HYPERLINK("https://klasma.github.io/Logging_0380/tillsynsmail/A 21809-2024 tillsynsbegäran mail.docx", "A 21809-2024")</f>
        <v/>
      </c>
    </row>
    <row r="236" ht="15" customHeight="1">
      <c r="A236" t="inlineStr">
        <is>
          <t>A 23691-2024</t>
        </is>
      </c>
      <c r="B236" s="1" t="n">
        <v>45454</v>
      </c>
      <c r="C236" s="1" t="n">
        <v>45846</v>
      </c>
      <c r="D236" t="inlineStr">
        <is>
          <t>UPPSALA LÄN</t>
        </is>
      </c>
      <c r="E236" t="inlineStr">
        <is>
          <t>UPPSALA</t>
        </is>
      </c>
      <c r="F236" t="inlineStr">
        <is>
          <t>Holmen skog AB</t>
        </is>
      </c>
      <c r="G236" t="n">
        <v>2.2</v>
      </c>
      <c r="H236" t="n">
        <v>0</v>
      </c>
      <c r="I236" t="n">
        <v>1</v>
      </c>
      <c r="J236" t="n">
        <v>3</v>
      </c>
      <c r="K236" t="n">
        <v>0</v>
      </c>
      <c r="L236" t="n">
        <v>0</v>
      </c>
      <c r="M236" t="n">
        <v>0</v>
      </c>
      <c r="N236" t="n">
        <v>0</v>
      </c>
      <c r="O236" t="n">
        <v>3</v>
      </c>
      <c r="P236" t="n">
        <v>0</v>
      </c>
      <c r="Q236" t="n">
        <v>4</v>
      </c>
      <c r="R236" s="2" t="inlineStr">
        <is>
          <t>Ekticka
Lunglav
Skuggorangelav
Gulpudrad spiklav</t>
        </is>
      </c>
      <c r="S236">
        <f>HYPERLINK("https://klasma.github.io/Logging_0380/artfynd/A 23691-2024 artfynd.xlsx", "A 23691-2024")</f>
        <v/>
      </c>
      <c r="T236">
        <f>HYPERLINK("https://klasma.github.io/Logging_0380/kartor/A 23691-2024 karta.png", "A 23691-2024")</f>
        <v/>
      </c>
      <c r="V236">
        <f>HYPERLINK("https://klasma.github.io/Logging_0380/klagomål/A 23691-2024 FSC-klagomål.docx", "A 23691-2024")</f>
        <v/>
      </c>
      <c r="W236">
        <f>HYPERLINK("https://klasma.github.io/Logging_0380/klagomålsmail/A 23691-2024 FSC-klagomål mail.docx", "A 23691-2024")</f>
        <v/>
      </c>
      <c r="X236">
        <f>HYPERLINK("https://klasma.github.io/Logging_0380/tillsyn/A 23691-2024 tillsynsbegäran.docx", "A 23691-2024")</f>
        <v/>
      </c>
      <c r="Y236">
        <f>HYPERLINK("https://klasma.github.io/Logging_0380/tillsynsmail/A 23691-2024 tillsynsbegäran mail.docx", "A 23691-2024")</f>
        <v/>
      </c>
    </row>
    <row r="237" ht="15" customHeight="1">
      <c r="A237" t="inlineStr">
        <is>
          <t>A 23807-2024</t>
        </is>
      </c>
      <c r="B237" s="1" t="n">
        <v>45455</v>
      </c>
      <c r="C237" s="1" t="n">
        <v>45846</v>
      </c>
      <c r="D237" t="inlineStr">
        <is>
          <t>UPPSALA LÄN</t>
        </is>
      </c>
      <c r="E237" t="inlineStr">
        <is>
          <t>UPPSALA</t>
        </is>
      </c>
      <c r="F237" t="inlineStr">
        <is>
          <t>Holmen skog AB</t>
        </is>
      </c>
      <c r="G237" t="n">
        <v>8.800000000000001</v>
      </c>
      <c r="H237" t="n">
        <v>2</v>
      </c>
      <c r="I237" t="n">
        <v>2</v>
      </c>
      <c r="J237" t="n">
        <v>0</v>
      </c>
      <c r="K237" t="n">
        <v>0</v>
      </c>
      <c r="L237" t="n">
        <v>0</v>
      </c>
      <c r="M237" t="n">
        <v>0</v>
      </c>
      <c r="N237" t="n">
        <v>0</v>
      </c>
      <c r="O237" t="n">
        <v>0</v>
      </c>
      <c r="P237" t="n">
        <v>0</v>
      </c>
      <c r="Q237" t="n">
        <v>4</v>
      </c>
      <c r="R237" s="2" t="inlineStr">
        <is>
          <t>Sotlav
Underviol
Blåsippa
Gullviva</t>
        </is>
      </c>
      <c r="S237">
        <f>HYPERLINK("https://klasma.github.io/Logging_0380/artfynd/A 23807-2024 artfynd.xlsx", "A 23807-2024")</f>
        <v/>
      </c>
      <c r="T237">
        <f>HYPERLINK("https://klasma.github.io/Logging_0380/kartor/A 23807-2024 karta.png", "A 23807-2024")</f>
        <v/>
      </c>
      <c r="V237">
        <f>HYPERLINK("https://klasma.github.io/Logging_0380/klagomål/A 23807-2024 FSC-klagomål.docx", "A 23807-2024")</f>
        <v/>
      </c>
      <c r="W237">
        <f>HYPERLINK("https://klasma.github.io/Logging_0380/klagomålsmail/A 23807-2024 FSC-klagomål mail.docx", "A 23807-2024")</f>
        <v/>
      </c>
      <c r="X237">
        <f>HYPERLINK("https://klasma.github.io/Logging_0380/tillsyn/A 23807-2024 tillsynsbegäran.docx", "A 23807-2024")</f>
        <v/>
      </c>
      <c r="Y237">
        <f>HYPERLINK("https://klasma.github.io/Logging_0380/tillsynsmail/A 23807-2024 tillsynsbegäran mail.docx", "A 23807-2024")</f>
        <v/>
      </c>
    </row>
    <row r="238" ht="15" customHeight="1">
      <c r="A238" t="inlineStr">
        <is>
          <t>A 26279-2024</t>
        </is>
      </c>
      <c r="B238" s="1" t="n">
        <v>45468</v>
      </c>
      <c r="C238" s="1" t="n">
        <v>45846</v>
      </c>
      <c r="D238" t="inlineStr">
        <is>
          <t>UPPSALA LÄN</t>
        </is>
      </c>
      <c r="E238" t="inlineStr">
        <is>
          <t>ÖSTHAMMAR</t>
        </is>
      </c>
      <c r="G238" t="n">
        <v>2.8</v>
      </c>
      <c r="H238" t="n">
        <v>2</v>
      </c>
      <c r="I238" t="n">
        <v>4</v>
      </c>
      <c r="J238" t="n">
        <v>0</v>
      </c>
      <c r="K238" t="n">
        <v>0</v>
      </c>
      <c r="L238" t="n">
        <v>0</v>
      </c>
      <c r="M238" t="n">
        <v>0</v>
      </c>
      <c r="N238" t="n">
        <v>0</v>
      </c>
      <c r="O238" t="n">
        <v>0</v>
      </c>
      <c r="P238" t="n">
        <v>0</v>
      </c>
      <c r="Q238" t="n">
        <v>4</v>
      </c>
      <c r="R238" s="2" t="inlineStr">
        <is>
          <t>Nästrot
Skogsknipprot
Sårläka
Vårärt</t>
        </is>
      </c>
      <c r="S238">
        <f>HYPERLINK("https://klasma.github.io/Logging_0382/artfynd/A 26279-2024 artfynd.xlsx", "A 26279-2024")</f>
        <v/>
      </c>
      <c r="T238">
        <f>HYPERLINK("https://klasma.github.io/Logging_0382/kartor/A 26279-2024 karta.png", "A 26279-2024")</f>
        <v/>
      </c>
      <c r="V238">
        <f>HYPERLINK("https://klasma.github.io/Logging_0382/klagomål/A 26279-2024 FSC-klagomål.docx", "A 26279-2024")</f>
        <v/>
      </c>
      <c r="W238">
        <f>HYPERLINK("https://klasma.github.io/Logging_0382/klagomålsmail/A 26279-2024 FSC-klagomål mail.docx", "A 26279-2024")</f>
        <v/>
      </c>
      <c r="X238">
        <f>HYPERLINK("https://klasma.github.io/Logging_0382/tillsyn/A 26279-2024 tillsynsbegäran.docx", "A 26279-2024")</f>
        <v/>
      </c>
      <c r="Y238">
        <f>HYPERLINK("https://klasma.github.io/Logging_0382/tillsynsmail/A 26279-2024 tillsynsbegäran mail.docx", "A 26279-2024")</f>
        <v/>
      </c>
    </row>
    <row r="239" ht="15" customHeight="1">
      <c r="A239" t="inlineStr">
        <is>
          <t>A 30090-2024</t>
        </is>
      </c>
      <c r="B239" s="1" t="n">
        <v>45485</v>
      </c>
      <c r="C239" s="1" t="n">
        <v>45846</v>
      </c>
      <c r="D239" t="inlineStr">
        <is>
          <t>UPPSALA LÄN</t>
        </is>
      </c>
      <c r="E239" t="inlineStr">
        <is>
          <t>HEBY</t>
        </is>
      </c>
      <c r="F239" t="inlineStr">
        <is>
          <t>Bergvik skog väst AB</t>
        </is>
      </c>
      <c r="G239" t="n">
        <v>2.1</v>
      </c>
      <c r="H239" t="n">
        <v>0</v>
      </c>
      <c r="I239" t="n">
        <v>3</v>
      </c>
      <c r="J239" t="n">
        <v>0</v>
      </c>
      <c r="K239" t="n">
        <v>1</v>
      </c>
      <c r="L239" t="n">
        <v>0</v>
      </c>
      <c r="M239" t="n">
        <v>0</v>
      </c>
      <c r="N239" t="n">
        <v>0</v>
      </c>
      <c r="O239" t="n">
        <v>1</v>
      </c>
      <c r="P239" t="n">
        <v>1</v>
      </c>
      <c r="Q239" t="n">
        <v>4</v>
      </c>
      <c r="R239" s="2" t="inlineStr">
        <is>
          <t>Aspsplintbock
Aspvedgnagare
Björksplintborre
Jättesvampmal</t>
        </is>
      </c>
      <c r="S239">
        <f>HYPERLINK("https://klasma.github.io/Logging_0331/artfynd/A 30090-2024 artfynd.xlsx", "A 30090-2024")</f>
        <v/>
      </c>
      <c r="T239">
        <f>HYPERLINK("https://klasma.github.io/Logging_0331/kartor/A 30090-2024 karta.png", "A 30090-2024")</f>
        <v/>
      </c>
      <c r="V239">
        <f>HYPERLINK("https://klasma.github.io/Logging_0331/klagomål/A 30090-2024 FSC-klagomål.docx", "A 30090-2024")</f>
        <v/>
      </c>
      <c r="W239">
        <f>HYPERLINK("https://klasma.github.io/Logging_0331/klagomålsmail/A 30090-2024 FSC-klagomål mail.docx", "A 30090-2024")</f>
        <v/>
      </c>
      <c r="X239">
        <f>HYPERLINK("https://klasma.github.io/Logging_0331/tillsyn/A 30090-2024 tillsynsbegäran.docx", "A 30090-2024")</f>
        <v/>
      </c>
      <c r="Y239">
        <f>HYPERLINK("https://klasma.github.io/Logging_0331/tillsynsmail/A 30090-2024 tillsynsbegäran mail.docx", "A 30090-2024")</f>
        <v/>
      </c>
    </row>
    <row r="240" ht="15" customHeight="1">
      <c r="A240" t="inlineStr">
        <is>
          <t>A 38956-2024</t>
        </is>
      </c>
      <c r="B240" s="1" t="n">
        <v>45548</v>
      </c>
      <c r="C240" s="1" t="n">
        <v>45846</v>
      </c>
      <c r="D240" t="inlineStr">
        <is>
          <t>UPPSALA LÄN</t>
        </is>
      </c>
      <c r="E240" t="inlineStr">
        <is>
          <t>TIERP</t>
        </is>
      </c>
      <c r="F240" t="inlineStr">
        <is>
          <t>Bergvik skog öst AB</t>
        </is>
      </c>
      <c r="G240" t="n">
        <v>24.8</v>
      </c>
      <c r="H240" t="n">
        <v>1</v>
      </c>
      <c r="I240" t="n">
        <v>0</v>
      </c>
      <c r="J240" t="n">
        <v>3</v>
      </c>
      <c r="K240" t="n">
        <v>0</v>
      </c>
      <c r="L240" t="n">
        <v>0</v>
      </c>
      <c r="M240" t="n">
        <v>0</v>
      </c>
      <c r="N240" t="n">
        <v>0</v>
      </c>
      <c r="O240" t="n">
        <v>3</v>
      </c>
      <c r="P240" t="n">
        <v>0</v>
      </c>
      <c r="Q240" t="n">
        <v>4</v>
      </c>
      <c r="R240" s="2" t="inlineStr">
        <is>
          <t>Majviva
Slåtterfibbla
Solvända
Brudsporre</t>
        </is>
      </c>
      <c r="S240">
        <f>HYPERLINK("https://klasma.github.io/Logging_0360/artfynd/A 38956-2024 artfynd.xlsx", "A 38956-2024")</f>
        <v/>
      </c>
      <c r="T240">
        <f>HYPERLINK("https://klasma.github.io/Logging_0360/kartor/A 38956-2024 karta.png", "A 38956-2024")</f>
        <v/>
      </c>
      <c r="V240">
        <f>HYPERLINK("https://klasma.github.io/Logging_0360/klagomål/A 38956-2024 FSC-klagomål.docx", "A 38956-2024")</f>
        <v/>
      </c>
      <c r="W240">
        <f>HYPERLINK("https://klasma.github.io/Logging_0360/klagomålsmail/A 38956-2024 FSC-klagomål mail.docx", "A 38956-2024")</f>
        <v/>
      </c>
      <c r="X240">
        <f>HYPERLINK("https://klasma.github.io/Logging_0360/tillsyn/A 38956-2024 tillsynsbegäran.docx", "A 38956-2024")</f>
        <v/>
      </c>
      <c r="Y240">
        <f>HYPERLINK("https://klasma.github.io/Logging_0360/tillsynsmail/A 38956-2024 tillsynsbegäran mail.docx", "A 38956-2024")</f>
        <v/>
      </c>
    </row>
    <row r="241" ht="15" customHeight="1">
      <c r="A241" t="inlineStr">
        <is>
          <t>A 39168-2024</t>
        </is>
      </c>
      <c r="B241" s="1" t="n">
        <v>45548</v>
      </c>
      <c r="C241" s="1" t="n">
        <v>45846</v>
      </c>
      <c r="D241" t="inlineStr">
        <is>
          <t>UPPSALA LÄN</t>
        </is>
      </c>
      <c r="E241" t="inlineStr">
        <is>
          <t>TIERP</t>
        </is>
      </c>
      <c r="F241" t="inlineStr">
        <is>
          <t>Bergvik skog väst AB</t>
        </is>
      </c>
      <c r="G241" t="n">
        <v>25.6</v>
      </c>
      <c r="H241" t="n">
        <v>2</v>
      </c>
      <c r="I241" t="n">
        <v>4</v>
      </c>
      <c r="J241" t="n">
        <v>0</v>
      </c>
      <c r="K241" t="n">
        <v>0</v>
      </c>
      <c r="L241" t="n">
        <v>0</v>
      </c>
      <c r="M241" t="n">
        <v>0</v>
      </c>
      <c r="N241" t="n">
        <v>0</v>
      </c>
      <c r="O241" t="n">
        <v>0</v>
      </c>
      <c r="P241" t="n">
        <v>0</v>
      </c>
      <c r="Q241" t="n">
        <v>4</v>
      </c>
      <c r="R241" s="2" t="inlineStr">
        <is>
          <t>Fransig jordstjärna
Skogsknipprot
Tibast
Tvåblad</t>
        </is>
      </c>
      <c r="S241">
        <f>HYPERLINK("https://klasma.github.io/Logging_0360/artfynd/A 39168-2024 artfynd.xlsx", "A 39168-2024")</f>
        <v/>
      </c>
      <c r="T241">
        <f>HYPERLINK("https://klasma.github.io/Logging_0360/kartor/A 39168-2024 karta.png", "A 39168-2024")</f>
        <v/>
      </c>
      <c r="V241">
        <f>HYPERLINK("https://klasma.github.io/Logging_0360/klagomål/A 39168-2024 FSC-klagomål.docx", "A 39168-2024")</f>
        <v/>
      </c>
      <c r="W241">
        <f>HYPERLINK("https://klasma.github.io/Logging_0360/klagomålsmail/A 39168-2024 FSC-klagomål mail.docx", "A 39168-2024")</f>
        <v/>
      </c>
      <c r="X241">
        <f>HYPERLINK("https://klasma.github.io/Logging_0360/tillsyn/A 39168-2024 tillsynsbegäran.docx", "A 39168-2024")</f>
        <v/>
      </c>
      <c r="Y241">
        <f>HYPERLINK("https://klasma.github.io/Logging_0360/tillsynsmail/A 39168-2024 tillsynsbegäran mail.docx", "A 39168-2024")</f>
        <v/>
      </c>
    </row>
    <row r="242" ht="15" customHeight="1">
      <c r="A242" t="inlineStr">
        <is>
          <t>A 52609-2024</t>
        </is>
      </c>
      <c r="B242" s="1" t="n">
        <v>45609</v>
      </c>
      <c r="C242" s="1" t="n">
        <v>45846</v>
      </c>
      <c r="D242" t="inlineStr">
        <is>
          <t>UPPSALA LÄN</t>
        </is>
      </c>
      <c r="E242" t="inlineStr">
        <is>
          <t>TIERP</t>
        </is>
      </c>
      <c r="G242" t="n">
        <v>2.1</v>
      </c>
      <c r="H242" t="n">
        <v>0</v>
      </c>
      <c r="I242" t="n">
        <v>2</v>
      </c>
      <c r="J242" t="n">
        <v>1</v>
      </c>
      <c r="K242" t="n">
        <v>1</v>
      </c>
      <c r="L242" t="n">
        <v>0</v>
      </c>
      <c r="M242" t="n">
        <v>0</v>
      </c>
      <c r="N242" t="n">
        <v>0</v>
      </c>
      <c r="O242" t="n">
        <v>2</v>
      </c>
      <c r="P242" t="n">
        <v>1</v>
      </c>
      <c r="Q242" t="n">
        <v>4</v>
      </c>
      <c r="R242" s="2" t="inlineStr">
        <is>
          <t>Gyllenspindling
Orange taggsvamp
Anisspindling
Olivspindling</t>
        </is>
      </c>
      <c r="S242">
        <f>HYPERLINK("https://klasma.github.io/Logging_0360/artfynd/A 52609-2024 artfynd.xlsx", "A 52609-2024")</f>
        <v/>
      </c>
      <c r="T242">
        <f>HYPERLINK("https://klasma.github.io/Logging_0360/kartor/A 52609-2024 karta.png", "A 52609-2024")</f>
        <v/>
      </c>
      <c r="V242">
        <f>HYPERLINK("https://klasma.github.io/Logging_0360/klagomål/A 52609-2024 FSC-klagomål.docx", "A 52609-2024")</f>
        <v/>
      </c>
      <c r="W242">
        <f>HYPERLINK("https://klasma.github.io/Logging_0360/klagomålsmail/A 52609-2024 FSC-klagomål mail.docx", "A 52609-2024")</f>
        <v/>
      </c>
      <c r="X242">
        <f>HYPERLINK("https://klasma.github.io/Logging_0360/tillsyn/A 52609-2024 tillsynsbegäran.docx", "A 52609-2024")</f>
        <v/>
      </c>
      <c r="Y242">
        <f>HYPERLINK("https://klasma.github.io/Logging_0360/tillsynsmail/A 52609-2024 tillsynsbegäran mail.docx", "A 52609-2024")</f>
        <v/>
      </c>
    </row>
    <row r="243" ht="15" customHeight="1">
      <c r="A243" t="inlineStr">
        <is>
          <t>A 53479-2024</t>
        </is>
      </c>
      <c r="B243" s="1" t="n">
        <v>45614</v>
      </c>
      <c r="C243" s="1" t="n">
        <v>45846</v>
      </c>
      <c r="D243" t="inlineStr">
        <is>
          <t>UPPSALA LÄN</t>
        </is>
      </c>
      <c r="E243" t="inlineStr">
        <is>
          <t>ÖSTHAMMAR</t>
        </is>
      </c>
      <c r="G243" t="n">
        <v>2.8</v>
      </c>
      <c r="H243" t="n">
        <v>0</v>
      </c>
      <c r="I243" t="n">
        <v>3</v>
      </c>
      <c r="J243" t="n">
        <v>1</v>
      </c>
      <c r="K243" t="n">
        <v>0</v>
      </c>
      <c r="L243" t="n">
        <v>0</v>
      </c>
      <c r="M243" t="n">
        <v>0</v>
      </c>
      <c r="N243" t="n">
        <v>0</v>
      </c>
      <c r="O243" t="n">
        <v>1</v>
      </c>
      <c r="P243" t="n">
        <v>0</v>
      </c>
      <c r="Q243" t="n">
        <v>4</v>
      </c>
      <c r="R243" s="2" t="inlineStr">
        <is>
          <t>Kungsspindling
Brandmusseron
Olivspindling
Strimspindling</t>
        </is>
      </c>
      <c r="S243">
        <f>HYPERLINK("https://klasma.github.io/Logging_0382/artfynd/A 53479-2024 artfynd.xlsx", "A 53479-2024")</f>
        <v/>
      </c>
      <c r="T243">
        <f>HYPERLINK("https://klasma.github.io/Logging_0382/kartor/A 53479-2024 karta.png", "A 53479-2024")</f>
        <v/>
      </c>
      <c r="V243">
        <f>HYPERLINK("https://klasma.github.io/Logging_0382/klagomål/A 53479-2024 FSC-klagomål.docx", "A 53479-2024")</f>
        <v/>
      </c>
      <c r="W243">
        <f>HYPERLINK("https://klasma.github.io/Logging_0382/klagomålsmail/A 53479-2024 FSC-klagomål mail.docx", "A 53479-2024")</f>
        <v/>
      </c>
      <c r="X243">
        <f>HYPERLINK("https://klasma.github.io/Logging_0382/tillsyn/A 53479-2024 tillsynsbegäran.docx", "A 53479-2024")</f>
        <v/>
      </c>
      <c r="Y243">
        <f>HYPERLINK("https://klasma.github.io/Logging_0382/tillsynsmail/A 53479-2024 tillsynsbegäran mail.docx", "A 53479-2024")</f>
        <v/>
      </c>
    </row>
    <row r="244" ht="15" customHeight="1">
      <c r="A244" t="inlineStr">
        <is>
          <t>A 54492-2024</t>
        </is>
      </c>
      <c r="B244" s="1" t="n">
        <v>45617</v>
      </c>
      <c r="C244" s="1" t="n">
        <v>45846</v>
      </c>
      <c r="D244" t="inlineStr">
        <is>
          <t>UPPSALA LÄN</t>
        </is>
      </c>
      <c r="E244" t="inlineStr">
        <is>
          <t>ÖSTHAMMAR</t>
        </is>
      </c>
      <c r="G244" t="n">
        <v>23.9</v>
      </c>
      <c r="H244" t="n">
        <v>1</v>
      </c>
      <c r="I244" t="n">
        <v>3</v>
      </c>
      <c r="J244" t="n">
        <v>0</v>
      </c>
      <c r="K244" t="n">
        <v>0</v>
      </c>
      <c r="L244" t="n">
        <v>0</v>
      </c>
      <c r="M244" t="n">
        <v>0</v>
      </c>
      <c r="N244" t="n">
        <v>0</v>
      </c>
      <c r="O244" t="n">
        <v>0</v>
      </c>
      <c r="P244" t="n">
        <v>0</v>
      </c>
      <c r="Q244" t="n">
        <v>4</v>
      </c>
      <c r="R244" s="2" t="inlineStr">
        <is>
          <t>Bårdlav
Hasselticka
Läderskål
Blåsippa</t>
        </is>
      </c>
      <c r="S244">
        <f>HYPERLINK("https://klasma.github.io/Logging_0382/artfynd/A 54492-2024 artfynd.xlsx", "A 54492-2024")</f>
        <v/>
      </c>
      <c r="T244">
        <f>HYPERLINK("https://klasma.github.io/Logging_0382/kartor/A 54492-2024 karta.png", "A 54492-2024")</f>
        <v/>
      </c>
      <c r="V244">
        <f>HYPERLINK("https://klasma.github.io/Logging_0382/klagomål/A 54492-2024 FSC-klagomål.docx", "A 54492-2024")</f>
        <v/>
      </c>
      <c r="W244">
        <f>HYPERLINK("https://klasma.github.io/Logging_0382/klagomålsmail/A 54492-2024 FSC-klagomål mail.docx", "A 54492-2024")</f>
        <v/>
      </c>
      <c r="X244">
        <f>HYPERLINK("https://klasma.github.io/Logging_0382/tillsyn/A 54492-2024 tillsynsbegäran.docx", "A 54492-2024")</f>
        <v/>
      </c>
      <c r="Y244">
        <f>HYPERLINK("https://klasma.github.io/Logging_0382/tillsynsmail/A 54492-2024 tillsynsbegäran mail.docx", "A 54492-2024")</f>
        <v/>
      </c>
    </row>
    <row r="245" ht="15" customHeight="1">
      <c r="A245" t="inlineStr">
        <is>
          <t>A 54825-2024</t>
        </is>
      </c>
      <c r="B245" s="1" t="n">
        <v>45618</v>
      </c>
      <c r="C245" s="1" t="n">
        <v>45846</v>
      </c>
      <c r="D245" t="inlineStr">
        <is>
          <t>UPPSALA LÄN</t>
        </is>
      </c>
      <c r="E245" t="inlineStr">
        <is>
          <t>ÖSTHAMMAR</t>
        </is>
      </c>
      <c r="F245" t="inlineStr">
        <is>
          <t>Bergvik skog öst AB</t>
        </is>
      </c>
      <c r="G245" t="n">
        <v>1.7</v>
      </c>
      <c r="H245" t="n">
        <v>3</v>
      </c>
      <c r="I245" t="n">
        <v>1</v>
      </c>
      <c r="J245" t="n">
        <v>1</v>
      </c>
      <c r="K245" t="n">
        <v>1</v>
      </c>
      <c r="L245" t="n">
        <v>0</v>
      </c>
      <c r="M245" t="n">
        <v>0</v>
      </c>
      <c r="N245" t="n">
        <v>0</v>
      </c>
      <c r="O245" t="n">
        <v>2</v>
      </c>
      <c r="P245" t="n">
        <v>1</v>
      </c>
      <c r="Q245" t="n">
        <v>4</v>
      </c>
      <c r="R245" s="2" t="inlineStr">
        <is>
          <t>Knärot
Spillkråka
Vågbandad barkbock
Blåsippa</t>
        </is>
      </c>
      <c r="S245">
        <f>HYPERLINK("https://klasma.github.io/Logging_0382/artfynd/A 54825-2024 artfynd.xlsx", "A 54825-2024")</f>
        <v/>
      </c>
      <c r="T245">
        <f>HYPERLINK("https://klasma.github.io/Logging_0382/kartor/A 54825-2024 karta.png", "A 54825-2024")</f>
        <v/>
      </c>
      <c r="U245">
        <f>HYPERLINK("https://klasma.github.io/Logging_0382/knärot/A 54825-2024 karta knärot.png", "A 54825-2024")</f>
        <v/>
      </c>
      <c r="V245">
        <f>HYPERLINK("https://klasma.github.io/Logging_0382/klagomål/A 54825-2024 FSC-klagomål.docx", "A 54825-2024")</f>
        <v/>
      </c>
      <c r="W245">
        <f>HYPERLINK("https://klasma.github.io/Logging_0382/klagomålsmail/A 54825-2024 FSC-klagomål mail.docx", "A 54825-2024")</f>
        <v/>
      </c>
      <c r="X245">
        <f>HYPERLINK("https://klasma.github.io/Logging_0382/tillsyn/A 54825-2024 tillsynsbegäran.docx", "A 54825-2024")</f>
        <v/>
      </c>
      <c r="Y245">
        <f>HYPERLINK("https://klasma.github.io/Logging_0382/tillsynsmail/A 54825-2024 tillsynsbegäran mail.docx", "A 54825-2024")</f>
        <v/>
      </c>
      <c r="Z245">
        <f>HYPERLINK("https://klasma.github.io/Logging_0382/fåglar/A 54825-2024 prioriterade fågelarter.docx", "A 54825-2024")</f>
        <v/>
      </c>
    </row>
    <row r="246" ht="15" customHeight="1">
      <c r="A246" t="inlineStr">
        <is>
          <t>A 221-2025</t>
        </is>
      </c>
      <c r="B246" s="1" t="n">
        <v>45660</v>
      </c>
      <c r="C246" s="1" t="n">
        <v>45846</v>
      </c>
      <c r="D246" t="inlineStr">
        <is>
          <t>UPPSALA LÄN</t>
        </is>
      </c>
      <c r="E246" t="inlineStr">
        <is>
          <t>ÖSTHAMMAR</t>
        </is>
      </c>
      <c r="F246" t="inlineStr">
        <is>
          <t>Bergvik skog öst AB</t>
        </is>
      </c>
      <c r="G246" t="n">
        <v>1.3</v>
      </c>
      <c r="H246" t="n">
        <v>2</v>
      </c>
      <c r="I246" t="n">
        <v>3</v>
      </c>
      <c r="J246" t="n">
        <v>0</v>
      </c>
      <c r="K246" t="n">
        <v>0</v>
      </c>
      <c r="L246" t="n">
        <v>0</v>
      </c>
      <c r="M246" t="n">
        <v>0</v>
      </c>
      <c r="N246" t="n">
        <v>0</v>
      </c>
      <c r="O246" t="n">
        <v>0</v>
      </c>
      <c r="P246" t="n">
        <v>0</v>
      </c>
      <c r="Q246" t="n">
        <v>4</v>
      </c>
      <c r="R246" s="2" t="inlineStr">
        <is>
          <t>Grön sköldmossa
Korallblylav
Rödgul trumpetsvamp
Blåsippa</t>
        </is>
      </c>
      <c r="S246">
        <f>HYPERLINK("https://klasma.github.io/Logging_0382/artfynd/A 221-2025 artfynd.xlsx", "A 221-2025")</f>
        <v/>
      </c>
      <c r="T246">
        <f>HYPERLINK("https://klasma.github.io/Logging_0382/kartor/A 221-2025 karta.png", "A 221-2025")</f>
        <v/>
      </c>
      <c r="V246">
        <f>HYPERLINK("https://klasma.github.io/Logging_0382/klagomål/A 221-2025 FSC-klagomål.docx", "A 221-2025")</f>
        <v/>
      </c>
      <c r="W246">
        <f>HYPERLINK("https://klasma.github.io/Logging_0382/klagomålsmail/A 221-2025 FSC-klagomål mail.docx", "A 221-2025")</f>
        <v/>
      </c>
      <c r="X246">
        <f>HYPERLINK("https://klasma.github.io/Logging_0382/tillsyn/A 221-2025 tillsynsbegäran.docx", "A 221-2025")</f>
        <v/>
      </c>
      <c r="Y246">
        <f>HYPERLINK("https://klasma.github.io/Logging_0382/tillsynsmail/A 221-2025 tillsynsbegäran mail.docx", "A 221-2025")</f>
        <v/>
      </c>
    </row>
    <row r="247" ht="15" customHeight="1">
      <c r="A247" t="inlineStr">
        <is>
          <t>A 220-2025</t>
        </is>
      </c>
      <c r="B247" s="1" t="n">
        <v>45660</v>
      </c>
      <c r="C247" s="1" t="n">
        <v>45846</v>
      </c>
      <c r="D247" t="inlineStr">
        <is>
          <t>UPPSALA LÄN</t>
        </is>
      </c>
      <c r="E247" t="inlineStr">
        <is>
          <t>TIERP</t>
        </is>
      </c>
      <c r="F247" t="inlineStr">
        <is>
          <t>Bergvik skog öst AB</t>
        </is>
      </c>
      <c r="G247" t="n">
        <v>3.2</v>
      </c>
      <c r="H247" t="n">
        <v>2</v>
      </c>
      <c r="I247" t="n">
        <v>1</v>
      </c>
      <c r="J247" t="n">
        <v>2</v>
      </c>
      <c r="K247" t="n">
        <v>0</v>
      </c>
      <c r="L247" t="n">
        <v>0</v>
      </c>
      <c r="M247" t="n">
        <v>0</v>
      </c>
      <c r="N247" t="n">
        <v>0</v>
      </c>
      <c r="O247" t="n">
        <v>2</v>
      </c>
      <c r="P247" t="n">
        <v>0</v>
      </c>
      <c r="Q247" t="n">
        <v>4</v>
      </c>
      <c r="R247" s="2" t="inlineStr">
        <is>
          <t>Spillkråka
Ullticka
Bronshjon
Blåsippa</t>
        </is>
      </c>
      <c r="S247">
        <f>HYPERLINK("https://klasma.github.io/Logging_0360/artfynd/A 220-2025 artfynd.xlsx", "A 220-2025")</f>
        <v/>
      </c>
      <c r="T247">
        <f>HYPERLINK("https://klasma.github.io/Logging_0360/kartor/A 220-2025 karta.png", "A 220-2025")</f>
        <v/>
      </c>
      <c r="V247">
        <f>HYPERLINK("https://klasma.github.io/Logging_0360/klagomål/A 220-2025 FSC-klagomål.docx", "A 220-2025")</f>
        <v/>
      </c>
      <c r="W247">
        <f>HYPERLINK("https://klasma.github.io/Logging_0360/klagomålsmail/A 220-2025 FSC-klagomål mail.docx", "A 220-2025")</f>
        <v/>
      </c>
      <c r="X247">
        <f>HYPERLINK("https://klasma.github.io/Logging_0360/tillsyn/A 220-2025 tillsynsbegäran.docx", "A 220-2025")</f>
        <v/>
      </c>
      <c r="Y247">
        <f>HYPERLINK("https://klasma.github.io/Logging_0360/tillsynsmail/A 220-2025 tillsynsbegäran mail.docx", "A 220-2025")</f>
        <v/>
      </c>
      <c r="Z247">
        <f>HYPERLINK("https://klasma.github.io/Logging_0360/fåglar/A 220-2025 prioriterade fågelarter.docx", "A 220-2025")</f>
        <v/>
      </c>
    </row>
    <row r="248" ht="15" customHeight="1">
      <c r="A248" t="inlineStr">
        <is>
          <t>A 3952-2025</t>
        </is>
      </c>
      <c r="B248" s="1" t="n">
        <v>45684</v>
      </c>
      <c r="C248" s="1" t="n">
        <v>45846</v>
      </c>
      <c r="D248" t="inlineStr">
        <is>
          <t>UPPSALA LÄN</t>
        </is>
      </c>
      <c r="E248" t="inlineStr">
        <is>
          <t>ÄLVKARLEBY</t>
        </is>
      </c>
      <c r="G248" t="n">
        <v>1.5</v>
      </c>
      <c r="H248" t="n">
        <v>3</v>
      </c>
      <c r="I248" t="n">
        <v>2</v>
      </c>
      <c r="J248" t="n">
        <v>1</v>
      </c>
      <c r="K248" t="n">
        <v>0</v>
      </c>
      <c r="L248" t="n">
        <v>0</v>
      </c>
      <c r="M248" t="n">
        <v>0</v>
      </c>
      <c r="N248" t="n">
        <v>0</v>
      </c>
      <c r="O248" t="n">
        <v>1</v>
      </c>
      <c r="P248" t="n">
        <v>0</v>
      </c>
      <c r="Q248" t="n">
        <v>4</v>
      </c>
      <c r="R248" s="2" t="inlineStr">
        <is>
          <t>Mindre bastardsvärmare
Skogsknipprot
Tvåblad
Kärrknipprot</t>
        </is>
      </c>
      <c r="S248">
        <f>HYPERLINK("https://klasma.github.io/Logging_0319/artfynd/A 3952-2025 artfynd.xlsx", "A 3952-2025")</f>
        <v/>
      </c>
      <c r="T248">
        <f>HYPERLINK("https://klasma.github.io/Logging_0319/kartor/A 3952-2025 karta.png", "A 3952-2025")</f>
        <v/>
      </c>
      <c r="V248">
        <f>HYPERLINK("https://klasma.github.io/Logging_0319/klagomål/A 3952-2025 FSC-klagomål.docx", "A 3952-2025")</f>
        <v/>
      </c>
      <c r="W248">
        <f>HYPERLINK("https://klasma.github.io/Logging_0319/klagomålsmail/A 3952-2025 FSC-klagomål mail.docx", "A 3952-2025")</f>
        <v/>
      </c>
      <c r="X248">
        <f>HYPERLINK("https://klasma.github.io/Logging_0319/tillsyn/A 3952-2025 tillsynsbegäran.docx", "A 3952-2025")</f>
        <v/>
      </c>
      <c r="Y248">
        <f>HYPERLINK("https://klasma.github.io/Logging_0319/tillsynsmail/A 3952-2025 tillsynsbegäran mail.docx", "A 3952-2025")</f>
        <v/>
      </c>
    </row>
    <row r="249" ht="15" customHeight="1">
      <c r="A249" t="inlineStr">
        <is>
          <t>A 7896-2025</t>
        </is>
      </c>
      <c r="B249" s="1" t="n">
        <v>45707</v>
      </c>
      <c r="C249" s="1" t="n">
        <v>45846</v>
      </c>
      <c r="D249" t="inlineStr">
        <is>
          <t>UPPSALA LÄN</t>
        </is>
      </c>
      <c r="E249" t="inlineStr">
        <is>
          <t>TIERP</t>
        </is>
      </c>
      <c r="F249" t="inlineStr">
        <is>
          <t>Bergvik skog öst AB</t>
        </is>
      </c>
      <c r="G249" t="n">
        <v>23.9</v>
      </c>
      <c r="H249" t="n">
        <v>1</v>
      </c>
      <c r="I249" t="n">
        <v>1</v>
      </c>
      <c r="J249" t="n">
        <v>1</v>
      </c>
      <c r="K249" t="n">
        <v>1</v>
      </c>
      <c r="L249" t="n">
        <v>0</v>
      </c>
      <c r="M249" t="n">
        <v>0</v>
      </c>
      <c r="N249" t="n">
        <v>0</v>
      </c>
      <c r="O249" t="n">
        <v>2</v>
      </c>
      <c r="P249" t="n">
        <v>1</v>
      </c>
      <c r="Q249" t="n">
        <v>4</v>
      </c>
      <c r="R249" s="2" t="inlineStr">
        <is>
          <t>Rynkskinn
Ullticka
Grönpyrola
Blåsippa</t>
        </is>
      </c>
      <c r="S249">
        <f>HYPERLINK("https://klasma.github.io/Logging_0360/artfynd/A 7896-2025 artfynd.xlsx", "A 7896-2025")</f>
        <v/>
      </c>
      <c r="T249">
        <f>HYPERLINK("https://klasma.github.io/Logging_0360/kartor/A 7896-2025 karta.png", "A 7896-2025")</f>
        <v/>
      </c>
      <c r="V249">
        <f>HYPERLINK("https://klasma.github.io/Logging_0360/klagomål/A 7896-2025 FSC-klagomål.docx", "A 7896-2025")</f>
        <v/>
      </c>
      <c r="W249">
        <f>HYPERLINK("https://klasma.github.io/Logging_0360/klagomålsmail/A 7896-2025 FSC-klagomål mail.docx", "A 7896-2025")</f>
        <v/>
      </c>
      <c r="X249">
        <f>HYPERLINK("https://klasma.github.io/Logging_0360/tillsyn/A 7896-2025 tillsynsbegäran.docx", "A 7896-2025")</f>
        <v/>
      </c>
      <c r="Y249">
        <f>HYPERLINK("https://klasma.github.io/Logging_0360/tillsynsmail/A 7896-2025 tillsynsbegäran mail.docx", "A 7896-2025")</f>
        <v/>
      </c>
    </row>
    <row r="250" ht="15" customHeight="1">
      <c r="A250" t="inlineStr">
        <is>
          <t>A 13594-2025</t>
        </is>
      </c>
      <c r="B250" s="1" t="n">
        <v>45736</v>
      </c>
      <c r="C250" s="1" t="n">
        <v>45846</v>
      </c>
      <c r="D250" t="inlineStr">
        <is>
          <t>UPPSALA LÄN</t>
        </is>
      </c>
      <c r="E250" t="inlineStr">
        <is>
          <t>UPPSALA</t>
        </is>
      </c>
      <c r="F250" t="inlineStr">
        <is>
          <t>Allmännings- och besparingsskogar</t>
        </is>
      </c>
      <c r="G250" t="n">
        <v>11.2</v>
      </c>
      <c r="H250" t="n">
        <v>3</v>
      </c>
      <c r="I250" t="n">
        <v>1</v>
      </c>
      <c r="J250" t="n">
        <v>2</v>
      </c>
      <c r="K250" t="n">
        <v>1</v>
      </c>
      <c r="L250" t="n">
        <v>0</v>
      </c>
      <c r="M250" t="n">
        <v>0</v>
      </c>
      <c r="N250" t="n">
        <v>0</v>
      </c>
      <c r="O250" t="n">
        <v>3</v>
      </c>
      <c r="P250" t="n">
        <v>1</v>
      </c>
      <c r="Q250" t="n">
        <v>4</v>
      </c>
      <c r="R250" s="2" t="inlineStr">
        <is>
          <t>Knärot
Talltita
Vedtrappmossa
Grön sköldmossa</t>
        </is>
      </c>
      <c r="S250">
        <f>HYPERLINK("https://klasma.github.io/Logging_030380/artfynd/A 13594-2025 artfynd.xlsx", "A 13594-2025")</f>
        <v/>
      </c>
      <c r="T250">
        <f>HYPERLINK("https://klasma.github.io/Logging_030380/kartor/A 13594-2025 karta.png", "A 13594-2025")</f>
        <v/>
      </c>
      <c r="U250">
        <f>HYPERLINK("https://klasma.github.io/Logging_030380/knärot/A 13594-2025 karta knärot.png", "A 13594-2025")</f>
        <v/>
      </c>
      <c r="V250">
        <f>HYPERLINK("https://klasma.github.io/Logging_030380/klagomål/A 13594-2025 FSC-klagomål.docx", "A 13594-2025")</f>
        <v/>
      </c>
      <c r="W250">
        <f>HYPERLINK("https://klasma.github.io/Logging_030380/klagomålsmail/A 13594-2025 FSC-klagomål mail.docx", "A 13594-2025")</f>
        <v/>
      </c>
      <c r="X250">
        <f>HYPERLINK("https://klasma.github.io/Logging_030380/tillsyn/A 13594-2025 tillsynsbegäran.docx", "A 13594-2025")</f>
        <v/>
      </c>
      <c r="Y250">
        <f>HYPERLINK("https://klasma.github.io/Logging_030380/tillsynsmail/A 13594-2025 tillsynsbegäran mail.docx", "A 13594-2025")</f>
        <v/>
      </c>
      <c r="Z250">
        <f>HYPERLINK("https://klasma.github.io/Logging_030380/fåglar/A 13594-2025 prioriterade fågelarter.docx", "A 13594-2025")</f>
        <v/>
      </c>
    </row>
    <row r="251" ht="15" customHeight="1">
      <c r="A251" t="inlineStr">
        <is>
          <t>A 14523-2025</t>
        </is>
      </c>
      <c r="B251" s="1" t="n">
        <v>45741</v>
      </c>
      <c r="C251" s="1" t="n">
        <v>45846</v>
      </c>
      <c r="D251" t="inlineStr">
        <is>
          <t>UPPSALA LÄN</t>
        </is>
      </c>
      <c r="E251" t="inlineStr">
        <is>
          <t>TIERP</t>
        </is>
      </c>
      <c r="F251" t="inlineStr">
        <is>
          <t>Bergvik skog väst AB</t>
        </is>
      </c>
      <c r="G251" t="n">
        <v>6.4</v>
      </c>
      <c r="H251" t="n">
        <v>0</v>
      </c>
      <c r="I251" t="n">
        <v>2</v>
      </c>
      <c r="J251" t="n">
        <v>2</v>
      </c>
      <c r="K251" t="n">
        <v>0</v>
      </c>
      <c r="L251" t="n">
        <v>0</v>
      </c>
      <c r="M251" t="n">
        <v>0</v>
      </c>
      <c r="N251" t="n">
        <v>0</v>
      </c>
      <c r="O251" t="n">
        <v>2</v>
      </c>
      <c r="P251" t="n">
        <v>0</v>
      </c>
      <c r="Q251" t="n">
        <v>4</v>
      </c>
      <c r="R251" s="2" t="inlineStr">
        <is>
          <t>Dofttaggsvamp
Svartvit taggsvamp
Rostfläck
Skarp dropptaggsvamp</t>
        </is>
      </c>
      <c r="S251">
        <f>HYPERLINK("https://klasma.github.io/Logging_030360/artfynd/A 14523-2025 artfynd.xlsx", "A 14523-2025")</f>
        <v/>
      </c>
      <c r="T251">
        <f>HYPERLINK("https://klasma.github.io/Logging_030360/kartor/A 14523-2025 karta.png", "A 14523-2025")</f>
        <v/>
      </c>
      <c r="V251">
        <f>HYPERLINK("https://klasma.github.io/Logging_030360/klagomål/A 14523-2025 FSC-klagomål.docx", "A 14523-2025")</f>
        <v/>
      </c>
      <c r="W251">
        <f>HYPERLINK("https://klasma.github.io/Logging_030360/klagomålsmail/A 14523-2025 FSC-klagomål mail.docx", "A 14523-2025")</f>
        <v/>
      </c>
      <c r="X251">
        <f>HYPERLINK("https://klasma.github.io/Logging_030360/tillsyn/A 14523-2025 tillsynsbegäran.docx", "A 14523-2025")</f>
        <v/>
      </c>
      <c r="Y251">
        <f>HYPERLINK("https://klasma.github.io/Logging_030360/tillsynsmail/A 14523-2025 tillsynsbegäran mail.docx", "A 14523-2025")</f>
        <v/>
      </c>
    </row>
    <row r="252" ht="15" customHeight="1">
      <c r="A252" t="inlineStr">
        <is>
          <t>A 20503-2025</t>
        </is>
      </c>
      <c r="B252" s="1" t="n">
        <v>45775</v>
      </c>
      <c r="C252" s="1" t="n">
        <v>45846</v>
      </c>
      <c r="D252" t="inlineStr">
        <is>
          <t>UPPSALA LÄN</t>
        </is>
      </c>
      <c r="E252" t="inlineStr">
        <is>
          <t>TIERP</t>
        </is>
      </c>
      <c r="F252" t="inlineStr">
        <is>
          <t>Bergvik skog väst AB</t>
        </is>
      </c>
      <c r="G252" t="n">
        <v>29.8</v>
      </c>
      <c r="H252" t="n">
        <v>0</v>
      </c>
      <c r="I252" t="n">
        <v>2</v>
      </c>
      <c r="J252" t="n">
        <v>2</v>
      </c>
      <c r="K252" t="n">
        <v>0</v>
      </c>
      <c r="L252" t="n">
        <v>0</v>
      </c>
      <c r="M252" t="n">
        <v>0</v>
      </c>
      <c r="N252" t="n">
        <v>0</v>
      </c>
      <c r="O252" t="n">
        <v>2</v>
      </c>
      <c r="P252" t="n">
        <v>0</v>
      </c>
      <c r="Q252" t="n">
        <v>4</v>
      </c>
      <c r="R252" s="2" t="inlineStr">
        <is>
          <t>Rutskinn
Rödbrun blekspik
Sotlav
Vätteros</t>
        </is>
      </c>
      <c r="S252">
        <f>HYPERLINK("https://klasma.github.io/Logging_030360/artfynd/A 20503-2025 artfynd.xlsx", "A 20503-2025")</f>
        <v/>
      </c>
      <c r="T252">
        <f>HYPERLINK("https://klasma.github.io/Logging_030360/kartor/A 20503-2025 karta.png", "A 20503-2025")</f>
        <v/>
      </c>
      <c r="V252">
        <f>HYPERLINK("https://klasma.github.io/Logging_030360/klagomål/A 20503-2025 FSC-klagomål.docx", "A 20503-2025")</f>
        <v/>
      </c>
      <c r="W252">
        <f>HYPERLINK("https://klasma.github.io/Logging_030360/klagomålsmail/A 20503-2025 FSC-klagomål mail.docx", "A 20503-2025")</f>
        <v/>
      </c>
      <c r="X252">
        <f>HYPERLINK("https://klasma.github.io/Logging_030360/tillsyn/A 20503-2025 tillsynsbegäran.docx", "A 20503-2025")</f>
        <v/>
      </c>
      <c r="Y252">
        <f>HYPERLINK("https://klasma.github.io/Logging_030360/tillsynsmail/A 20503-2025 tillsynsbegäran mail.docx", "A 20503-2025")</f>
        <v/>
      </c>
    </row>
    <row r="253" ht="15" customHeight="1">
      <c r="A253" t="inlineStr">
        <is>
          <t>A 30596-2025</t>
        </is>
      </c>
      <c r="B253" s="1" t="n">
        <v>45831</v>
      </c>
      <c r="C253" s="1" t="n">
        <v>45846</v>
      </c>
      <c r="D253" t="inlineStr">
        <is>
          <t>UPPSALA LÄN</t>
        </is>
      </c>
      <c r="E253" t="inlineStr">
        <is>
          <t>TIERP</t>
        </is>
      </c>
      <c r="F253" t="inlineStr">
        <is>
          <t>Bergvik skog väst AB</t>
        </is>
      </c>
      <c r="G253" t="n">
        <v>32.1</v>
      </c>
      <c r="H253" t="n">
        <v>0</v>
      </c>
      <c r="I253" t="n">
        <v>2</v>
      </c>
      <c r="J253" t="n">
        <v>1</v>
      </c>
      <c r="K253" t="n">
        <v>0</v>
      </c>
      <c r="L253" t="n">
        <v>1</v>
      </c>
      <c r="M253" t="n">
        <v>0</v>
      </c>
      <c r="N253" t="n">
        <v>0</v>
      </c>
      <c r="O253" t="n">
        <v>2</v>
      </c>
      <c r="P253" t="n">
        <v>1</v>
      </c>
      <c r="Q253" t="n">
        <v>4</v>
      </c>
      <c r="R253" s="2" t="inlineStr">
        <is>
          <t>Ask
Rödbrun blekspik
Brun nållav
Kamjordstjärna</t>
        </is>
      </c>
      <c r="S253">
        <f>HYPERLINK("https://klasma.github.io/Logging_030360/artfynd/A 30596-2025 artfynd.xlsx", "A 30596-2025")</f>
        <v/>
      </c>
      <c r="T253">
        <f>HYPERLINK("https://klasma.github.io/Logging_030360/kartor/A 30596-2025 karta.png", "A 30596-2025")</f>
        <v/>
      </c>
      <c r="V253">
        <f>HYPERLINK("https://klasma.github.io/Logging_030360/klagomål/A 30596-2025 FSC-klagomål.docx", "A 30596-2025")</f>
        <v/>
      </c>
      <c r="W253">
        <f>HYPERLINK("https://klasma.github.io/Logging_030360/klagomålsmail/A 30596-2025 FSC-klagomål mail.docx", "A 30596-2025")</f>
        <v/>
      </c>
      <c r="X253">
        <f>HYPERLINK("https://klasma.github.io/Logging_030360/tillsyn/A 30596-2025 tillsynsbegäran.docx", "A 30596-2025")</f>
        <v/>
      </c>
      <c r="Y253">
        <f>HYPERLINK("https://klasma.github.io/Logging_030360/tillsynsmail/A 30596-2025 tillsynsbegäran mail.docx", "A 30596-2025")</f>
        <v/>
      </c>
    </row>
    <row r="254" ht="15" customHeight="1">
      <c r="A254" t="inlineStr">
        <is>
          <t>A 33636-2025</t>
        </is>
      </c>
      <c r="B254" s="1" t="n">
        <v>45841</v>
      </c>
      <c r="C254" s="1" t="n">
        <v>45846</v>
      </c>
      <c r="D254" t="inlineStr">
        <is>
          <t>UPPSALA LÄN</t>
        </is>
      </c>
      <c r="E254" t="inlineStr">
        <is>
          <t>UPPSALA</t>
        </is>
      </c>
      <c r="F254" t="inlineStr">
        <is>
          <t>Holmen skog AB</t>
        </is>
      </c>
      <c r="G254" t="n">
        <v>13.3</v>
      </c>
      <c r="H254" t="n">
        <v>0</v>
      </c>
      <c r="I254" t="n">
        <v>2</v>
      </c>
      <c r="J254" t="n">
        <v>2</v>
      </c>
      <c r="K254" t="n">
        <v>0</v>
      </c>
      <c r="L254" t="n">
        <v>0</v>
      </c>
      <c r="M254" t="n">
        <v>0</v>
      </c>
      <c r="N254" t="n">
        <v>0</v>
      </c>
      <c r="O254" t="n">
        <v>2</v>
      </c>
      <c r="P254" t="n">
        <v>0</v>
      </c>
      <c r="Q254" t="n">
        <v>4</v>
      </c>
      <c r="R254" s="2" t="inlineStr">
        <is>
          <t>Lunglav
Rödbrun blekspik
Brun nållav
Fällmossa</t>
        </is>
      </c>
      <c r="S254">
        <f>HYPERLINK("https://klasma.github.io/Logging_030380/artfynd/A 33636-2025 artfynd.xlsx", "A 33636-2025")</f>
        <v/>
      </c>
      <c r="T254">
        <f>HYPERLINK("https://klasma.github.io/Logging_030380/kartor/A 33636-2025 karta.png", "A 33636-2025")</f>
        <v/>
      </c>
      <c r="V254">
        <f>HYPERLINK("https://klasma.github.io/Logging_030380/klagomål/A 33636-2025 FSC-klagomål.docx", "A 33636-2025")</f>
        <v/>
      </c>
      <c r="W254">
        <f>HYPERLINK("https://klasma.github.io/Logging_030380/klagomålsmail/A 33636-2025 FSC-klagomål mail.docx", "A 33636-2025")</f>
        <v/>
      </c>
      <c r="X254">
        <f>HYPERLINK("https://klasma.github.io/Logging_030380/tillsyn/A 33636-2025 tillsynsbegäran.docx", "A 33636-2025")</f>
        <v/>
      </c>
      <c r="Y254">
        <f>HYPERLINK("https://klasma.github.io/Logging_030380/tillsynsmail/A 33636-2025 tillsynsbegäran mail.docx", "A 33636-2025")</f>
        <v/>
      </c>
    </row>
    <row r="255" ht="15" customHeight="1">
      <c r="A255" t="inlineStr">
        <is>
          <t>A 36346-2019</t>
        </is>
      </c>
      <c r="B255" s="1" t="n">
        <v>43661</v>
      </c>
      <c r="C255" s="1" t="n">
        <v>45846</v>
      </c>
      <c r="D255" t="inlineStr">
        <is>
          <t>UPPSALA LÄN</t>
        </is>
      </c>
      <c r="E255" t="inlineStr">
        <is>
          <t>UPPSALA</t>
        </is>
      </c>
      <c r="G255" t="n">
        <v>15.8</v>
      </c>
      <c r="H255" t="n">
        <v>2</v>
      </c>
      <c r="I255" t="n">
        <v>0</v>
      </c>
      <c r="J255" t="n">
        <v>3</v>
      </c>
      <c r="K255" t="n">
        <v>0</v>
      </c>
      <c r="L255" t="n">
        <v>0</v>
      </c>
      <c r="M255" t="n">
        <v>0</v>
      </c>
      <c r="N255" t="n">
        <v>0</v>
      </c>
      <c r="O255" t="n">
        <v>3</v>
      </c>
      <c r="P255" t="n">
        <v>0</v>
      </c>
      <c r="Q255" t="n">
        <v>3</v>
      </c>
      <c r="R255" s="2" t="inlineStr">
        <is>
          <t>Gulsparv
Rosenticka
Svartvit flugsnappare</t>
        </is>
      </c>
      <c r="S255">
        <f>HYPERLINK("https://klasma.github.io/Logging_0380/artfynd/A 36346-2019 artfynd.xlsx", "A 36346-2019")</f>
        <v/>
      </c>
      <c r="T255">
        <f>HYPERLINK("https://klasma.github.io/Logging_0380/kartor/A 36346-2019 karta.png", "A 36346-2019")</f>
        <v/>
      </c>
      <c r="V255">
        <f>HYPERLINK("https://klasma.github.io/Logging_0380/klagomål/A 36346-2019 FSC-klagomål.docx", "A 36346-2019")</f>
        <v/>
      </c>
      <c r="W255">
        <f>HYPERLINK("https://klasma.github.io/Logging_0380/klagomålsmail/A 36346-2019 FSC-klagomål mail.docx", "A 36346-2019")</f>
        <v/>
      </c>
      <c r="X255">
        <f>HYPERLINK("https://klasma.github.io/Logging_0380/tillsyn/A 36346-2019 tillsynsbegäran.docx", "A 36346-2019")</f>
        <v/>
      </c>
      <c r="Y255">
        <f>HYPERLINK("https://klasma.github.io/Logging_0380/tillsynsmail/A 36346-2019 tillsynsbegäran mail.docx", "A 36346-2019")</f>
        <v/>
      </c>
      <c r="Z255">
        <f>HYPERLINK("https://klasma.github.io/Logging_0380/fåglar/A 36346-2019 prioriterade fågelarter.docx", "A 36346-2019")</f>
        <v/>
      </c>
    </row>
    <row r="256" ht="15" customHeight="1">
      <c r="A256" t="inlineStr">
        <is>
          <t>A 49258-2019</t>
        </is>
      </c>
      <c r="B256" s="1" t="n">
        <v>43731</v>
      </c>
      <c r="C256" s="1" t="n">
        <v>45846</v>
      </c>
      <c r="D256" t="inlineStr">
        <is>
          <t>UPPSALA LÄN</t>
        </is>
      </c>
      <c r="E256" t="inlineStr">
        <is>
          <t>UPPSALA</t>
        </is>
      </c>
      <c r="G256" t="n">
        <v>0.9</v>
      </c>
      <c r="H256" t="n">
        <v>0</v>
      </c>
      <c r="I256" t="n">
        <v>0</v>
      </c>
      <c r="J256" t="n">
        <v>1</v>
      </c>
      <c r="K256" t="n">
        <v>2</v>
      </c>
      <c r="L256" t="n">
        <v>0</v>
      </c>
      <c r="M256" t="n">
        <v>0</v>
      </c>
      <c r="N256" t="n">
        <v>0</v>
      </c>
      <c r="O256" t="n">
        <v>3</v>
      </c>
      <c r="P256" t="n">
        <v>2</v>
      </c>
      <c r="Q256" t="n">
        <v>3</v>
      </c>
      <c r="R256" s="2" t="inlineStr">
        <is>
          <t>Liten blekspik
Ostticka
Vedtrappmossa</t>
        </is>
      </c>
      <c r="S256">
        <f>HYPERLINK("https://klasma.github.io/Logging_0380/artfynd/A 49258-2019 artfynd.xlsx", "A 49258-2019")</f>
        <v/>
      </c>
      <c r="T256">
        <f>HYPERLINK("https://klasma.github.io/Logging_0380/kartor/A 49258-2019 karta.png", "A 49258-2019")</f>
        <v/>
      </c>
      <c r="V256">
        <f>HYPERLINK("https://klasma.github.io/Logging_0380/klagomål/A 49258-2019 FSC-klagomål.docx", "A 49258-2019")</f>
        <v/>
      </c>
      <c r="W256">
        <f>HYPERLINK("https://klasma.github.io/Logging_0380/klagomålsmail/A 49258-2019 FSC-klagomål mail.docx", "A 49258-2019")</f>
        <v/>
      </c>
      <c r="X256">
        <f>HYPERLINK("https://klasma.github.io/Logging_0380/tillsyn/A 49258-2019 tillsynsbegäran.docx", "A 49258-2019")</f>
        <v/>
      </c>
      <c r="Y256">
        <f>HYPERLINK("https://klasma.github.io/Logging_0380/tillsynsmail/A 49258-2019 tillsynsbegäran mail.docx", "A 49258-2019")</f>
        <v/>
      </c>
    </row>
    <row r="257" ht="15" customHeight="1">
      <c r="A257" t="inlineStr">
        <is>
          <t>A 52050-2019</t>
        </is>
      </c>
      <c r="B257" s="1" t="n">
        <v>43742</v>
      </c>
      <c r="C257" s="1" t="n">
        <v>45846</v>
      </c>
      <c r="D257" t="inlineStr">
        <is>
          <t>UPPSALA LÄN</t>
        </is>
      </c>
      <c r="E257" t="inlineStr">
        <is>
          <t>ENKÖPING</t>
        </is>
      </c>
      <c r="G257" t="n">
        <v>6.6</v>
      </c>
      <c r="H257" t="n">
        <v>0</v>
      </c>
      <c r="I257" t="n">
        <v>3</v>
      </c>
      <c r="J257" t="n">
        <v>0</v>
      </c>
      <c r="K257" t="n">
        <v>0</v>
      </c>
      <c r="L257" t="n">
        <v>0</v>
      </c>
      <c r="M257" t="n">
        <v>0</v>
      </c>
      <c r="N257" t="n">
        <v>0</v>
      </c>
      <c r="O257" t="n">
        <v>0</v>
      </c>
      <c r="P257" t="n">
        <v>0</v>
      </c>
      <c r="Q257" t="n">
        <v>3</v>
      </c>
      <c r="R257" s="2" t="inlineStr">
        <is>
          <t>Aspvedgnagare
Barkticka
Hasselticka</t>
        </is>
      </c>
      <c r="S257">
        <f>HYPERLINK("https://klasma.github.io/Logging_0381/artfynd/A 52050-2019 artfynd.xlsx", "A 52050-2019")</f>
        <v/>
      </c>
      <c r="T257">
        <f>HYPERLINK("https://klasma.github.io/Logging_0381/kartor/A 52050-2019 karta.png", "A 52050-2019")</f>
        <v/>
      </c>
      <c r="V257">
        <f>HYPERLINK("https://klasma.github.io/Logging_0381/klagomål/A 52050-2019 FSC-klagomål.docx", "A 52050-2019")</f>
        <v/>
      </c>
      <c r="W257">
        <f>HYPERLINK("https://klasma.github.io/Logging_0381/klagomålsmail/A 52050-2019 FSC-klagomål mail.docx", "A 52050-2019")</f>
        <v/>
      </c>
      <c r="X257">
        <f>HYPERLINK("https://klasma.github.io/Logging_0381/tillsyn/A 52050-2019 tillsynsbegäran.docx", "A 52050-2019")</f>
        <v/>
      </c>
      <c r="Y257">
        <f>HYPERLINK("https://klasma.github.io/Logging_0381/tillsynsmail/A 52050-2019 tillsynsbegäran mail.docx", "A 52050-2019")</f>
        <v/>
      </c>
    </row>
    <row r="258" ht="15" customHeight="1">
      <c r="A258" t="inlineStr">
        <is>
          <t>A 57665-2019</t>
        </is>
      </c>
      <c r="B258" s="1" t="n">
        <v>43768</v>
      </c>
      <c r="C258" s="1" t="n">
        <v>45846</v>
      </c>
      <c r="D258" t="inlineStr">
        <is>
          <t>UPPSALA LÄN</t>
        </is>
      </c>
      <c r="E258" t="inlineStr">
        <is>
          <t>TIERP</t>
        </is>
      </c>
      <c r="G258" t="n">
        <v>4</v>
      </c>
      <c r="H258" t="n">
        <v>1</v>
      </c>
      <c r="I258" t="n">
        <v>1</v>
      </c>
      <c r="J258" t="n">
        <v>0</v>
      </c>
      <c r="K258" t="n">
        <v>2</v>
      </c>
      <c r="L258" t="n">
        <v>0</v>
      </c>
      <c r="M258" t="n">
        <v>0</v>
      </c>
      <c r="N258" t="n">
        <v>0</v>
      </c>
      <c r="O258" t="n">
        <v>2</v>
      </c>
      <c r="P258" t="n">
        <v>2</v>
      </c>
      <c r="Q258" t="n">
        <v>3</v>
      </c>
      <c r="R258" s="2" t="inlineStr">
        <is>
          <t>Bombmurkla
Rynkskinn
Stor aspticka</t>
        </is>
      </c>
      <c r="S258">
        <f>HYPERLINK("https://klasma.github.io/Logging_0360/artfynd/A 57665-2019 artfynd.xlsx", "A 57665-2019")</f>
        <v/>
      </c>
      <c r="T258">
        <f>HYPERLINK("https://klasma.github.io/Logging_0360/kartor/A 57665-2019 karta.png", "A 57665-2019")</f>
        <v/>
      </c>
      <c r="V258">
        <f>HYPERLINK("https://klasma.github.io/Logging_0360/klagomål/A 57665-2019 FSC-klagomål.docx", "A 57665-2019")</f>
        <v/>
      </c>
      <c r="W258">
        <f>HYPERLINK("https://klasma.github.io/Logging_0360/klagomålsmail/A 57665-2019 FSC-klagomål mail.docx", "A 57665-2019")</f>
        <v/>
      </c>
      <c r="X258">
        <f>HYPERLINK("https://klasma.github.io/Logging_0360/tillsyn/A 57665-2019 tillsynsbegäran.docx", "A 57665-2019")</f>
        <v/>
      </c>
      <c r="Y258">
        <f>HYPERLINK("https://klasma.github.io/Logging_0360/tillsynsmail/A 57665-2019 tillsynsbegäran mail.docx", "A 57665-2019")</f>
        <v/>
      </c>
    </row>
    <row r="259" ht="15" customHeight="1">
      <c r="A259" t="inlineStr">
        <is>
          <t>A 63909-2019</t>
        </is>
      </c>
      <c r="B259" s="1" t="n">
        <v>43796</v>
      </c>
      <c r="C259" s="1" t="n">
        <v>45846</v>
      </c>
      <c r="D259" t="inlineStr">
        <is>
          <t>UPPSALA LÄN</t>
        </is>
      </c>
      <c r="E259" t="inlineStr">
        <is>
          <t>UPPSALA</t>
        </is>
      </c>
      <c r="F259" t="inlineStr">
        <is>
          <t>Holmen skog AB</t>
        </is>
      </c>
      <c r="G259" t="n">
        <v>3.8</v>
      </c>
      <c r="H259" t="n">
        <v>0</v>
      </c>
      <c r="I259" t="n">
        <v>0</v>
      </c>
      <c r="J259" t="n">
        <v>3</v>
      </c>
      <c r="K259" t="n">
        <v>0</v>
      </c>
      <c r="L259" t="n">
        <v>0</v>
      </c>
      <c r="M259" t="n">
        <v>0</v>
      </c>
      <c r="N259" t="n">
        <v>0</v>
      </c>
      <c r="O259" t="n">
        <v>3</v>
      </c>
      <c r="P259" t="n">
        <v>0</v>
      </c>
      <c r="Q259" t="n">
        <v>3</v>
      </c>
      <c r="R259" s="2" t="inlineStr">
        <is>
          <t>Ekticka
Rödbrun blekspik
Skuggorangelav</t>
        </is>
      </c>
      <c r="S259">
        <f>HYPERLINK("https://klasma.github.io/Logging_0380/artfynd/A 63909-2019 artfynd.xlsx", "A 63909-2019")</f>
        <v/>
      </c>
      <c r="T259">
        <f>HYPERLINK("https://klasma.github.io/Logging_0380/kartor/A 63909-2019 karta.png", "A 63909-2019")</f>
        <v/>
      </c>
      <c r="V259">
        <f>HYPERLINK("https://klasma.github.io/Logging_0380/klagomål/A 63909-2019 FSC-klagomål.docx", "A 63909-2019")</f>
        <v/>
      </c>
      <c r="W259">
        <f>HYPERLINK("https://klasma.github.io/Logging_0380/klagomålsmail/A 63909-2019 FSC-klagomål mail.docx", "A 63909-2019")</f>
        <v/>
      </c>
      <c r="X259">
        <f>HYPERLINK("https://klasma.github.io/Logging_0380/tillsyn/A 63909-2019 tillsynsbegäran.docx", "A 63909-2019")</f>
        <v/>
      </c>
      <c r="Y259">
        <f>HYPERLINK("https://klasma.github.io/Logging_0380/tillsynsmail/A 63909-2019 tillsynsbegäran mail.docx", "A 63909-2019")</f>
        <v/>
      </c>
    </row>
    <row r="260" ht="15" customHeight="1">
      <c r="A260" t="inlineStr">
        <is>
          <t>A 6195-2020</t>
        </is>
      </c>
      <c r="B260" s="1" t="n">
        <v>43865</v>
      </c>
      <c r="C260" s="1" t="n">
        <v>45846</v>
      </c>
      <c r="D260" t="inlineStr">
        <is>
          <t>UPPSALA LÄN</t>
        </is>
      </c>
      <c r="E260" t="inlineStr">
        <is>
          <t>ENKÖPING</t>
        </is>
      </c>
      <c r="G260" t="n">
        <v>1.2</v>
      </c>
      <c r="H260" t="n">
        <v>3</v>
      </c>
      <c r="I260" t="n">
        <v>0</v>
      </c>
      <c r="J260" t="n">
        <v>0</v>
      </c>
      <c r="K260" t="n">
        <v>0</v>
      </c>
      <c r="L260" t="n">
        <v>0</v>
      </c>
      <c r="M260" t="n">
        <v>0</v>
      </c>
      <c r="N260" t="n">
        <v>0</v>
      </c>
      <c r="O260" t="n">
        <v>0</v>
      </c>
      <c r="P260" t="n">
        <v>0</v>
      </c>
      <c r="Q260" t="n">
        <v>3</v>
      </c>
      <c r="R260" s="2" t="inlineStr">
        <is>
          <t>Gröngöling
Mindre vattensalamander
Blåsippa</t>
        </is>
      </c>
      <c r="S260">
        <f>HYPERLINK("https://klasma.github.io/Logging_0381/artfynd/A 6195-2020 artfynd.xlsx", "A 6195-2020")</f>
        <v/>
      </c>
      <c r="T260">
        <f>HYPERLINK("https://klasma.github.io/Logging_0381/kartor/A 6195-2020 karta.png", "A 6195-2020")</f>
        <v/>
      </c>
      <c r="V260">
        <f>HYPERLINK("https://klasma.github.io/Logging_0381/klagomål/A 6195-2020 FSC-klagomål.docx", "A 6195-2020")</f>
        <v/>
      </c>
      <c r="W260">
        <f>HYPERLINK("https://klasma.github.io/Logging_0381/klagomålsmail/A 6195-2020 FSC-klagomål mail.docx", "A 6195-2020")</f>
        <v/>
      </c>
      <c r="X260">
        <f>HYPERLINK("https://klasma.github.io/Logging_0381/tillsyn/A 6195-2020 tillsynsbegäran.docx", "A 6195-2020")</f>
        <v/>
      </c>
      <c r="Y260">
        <f>HYPERLINK("https://klasma.github.io/Logging_0381/tillsynsmail/A 6195-2020 tillsynsbegäran mail.docx", "A 6195-2020")</f>
        <v/>
      </c>
      <c r="Z260">
        <f>HYPERLINK("https://klasma.github.io/Logging_0381/fåglar/A 6195-2020 prioriterade fågelarter.docx", "A 6195-2020")</f>
        <v/>
      </c>
    </row>
    <row r="261" ht="15" customHeight="1">
      <c r="A261" t="inlineStr">
        <is>
          <t>A 6318-2020</t>
        </is>
      </c>
      <c r="B261" s="1" t="n">
        <v>43866</v>
      </c>
      <c r="C261" s="1" t="n">
        <v>45846</v>
      </c>
      <c r="D261" t="inlineStr">
        <is>
          <t>UPPSALA LÄN</t>
        </is>
      </c>
      <c r="E261" t="inlineStr">
        <is>
          <t>ENKÖPING</t>
        </is>
      </c>
      <c r="F261" t="inlineStr">
        <is>
          <t>Övriga statliga verk och myndigheter</t>
        </is>
      </c>
      <c r="G261" t="n">
        <v>10</v>
      </c>
      <c r="H261" t="n">
        <v>1</v>
      </c>
      <c r="I261" t="n">
        <v>1</v>
      </c>
      <c r="J261" t="n">
        <v>1</v>
      </c>
      <c r="K261" t="n">
        <v>1</v>
      </c>
      <c r="L261" t="n">
        <v>0</v>
      </c>
      <c r="M261" t="n">
        <v>0</v>
      </c>
      <c r="N261" t="n">
        <v>0</v>
      </c>
      <c r="O261" t="n">
        <v>2</v>
      </c>
      <c r="P261" t="n">
        <v>1</v>
      </c>
      <c r="Q261" t="n">
        <v>3</v>
      </c>
      <c r="R261" s="2" t="inlineStr">
        <is>
          <t>Knärot
Vintertagging
Granbarkgnagare</t>
        </is>
      </c>
      <c r="S261">
        <f>HYPERLINK("https://klasma.github.io/Logging_0381/artfynd/A 6318-2020 artfynd.xlsx", "A 6318-2020")</f>
        <v/>
      </c>
      <c r="T261">
        <f>HYPERLINK("https://klasma.github.io/Logging_0381/kartor/A 6318-2020 karta.png", "A 6318-2020")</f>
        <v/>
      </c>
      <c r="U261">
        <f>HYPERLINK("https://klasma.github.io/Logging_0381/knärot/A 6318-2020 karta knärot.png", "A 6318-2020")</f>
        <v/>
      </c>
      <c r="V261">
        <f>HYPERLINK("https://klasma.github.io/Logging_0381/klagomål/A 6318-2020 FSC-klagomål.docx", "A 6318-2020")</f>
        <v/>
      </c>
      <c r="W261">
        <f>HYPERLINK("https://klasma.github.io/Logging_0381/klagomålsmail/A 6318-2020 FSC-klagomål mail.docx", "A 6318-2020")</f>
        <v/>
      </c>
      <c r="X261">
        <f>HYPERLINK("https://klasma.github.io/Logging_0381/tillsyn/A 6318-2020 tillsynsbegäran.docx", "A 6318-2020")</f>
        <v/>
      </c>
      <c r="Y261">
        <f>HYPERLINK("https://klasma.github.io/Logging_0381/tillsynsmail/A 6318-2020 tillsynsbegäran mail.docx", "A 6318-2020")</f>
        <v/>
      </c>
    </row>
    <row r="262" ht="15" customHeight="1">
      <c r="A262" t="inlineStr">
        <is>
          <t>A 8385-2020</t>
        </is>
      </c>
      <c r="B262" s="1" t="n">
        <v>43875</v>
      </c>
      <c r="C262" s="1" t="n">
        <v>45846</v>
      </c>
      <c r="D262" t="inlineStr">
        <is>
          <t>UPPSALA LÄN</t>
        </is>
      </c>
      <c r="E262" t="inlineStr">
        <is>
          <t>ÖSTHAMMAR</t>
        </is>
      </c>
      <c r="F262" t="inlineStr">
        <is>
          <t>Bergvik skog öst AB</t>
        </is>
      </c>
      <c r="G262" t="n">
        <v>0.7</v>
      </c>
      <c r="H262" t="n">
        <v>2</v>
      </c>
      <c r="I262" t="n">
        <v>1</v>
      </c>
      <c r="J262" t="n">
        <v>2</v>
      </c>
      <c r="K262" t="n">
        <v>0</v>
      </c>
      <c r="L262" t="n">
        <v>0</v>
      </c>
      <c r="M262" t="n">
        <v>0</v>
      </c>
      <c r="N262" t="n">
        <v>0</v>
      </c>
      <c r="O262" t="n">
        <v>2</v>
      </c>
      <c r="P262" t="n">
        <v>0</v>
      </c>
      <c r="Q262" t="n">
        <v>3</v>
      </c>
      <c r="R262" s="2" t="inlineStr">
        <is>
          <t>Gulsparv
Svartvit flugsnappare
Svavelriska</t>
        </is>
      </c>
      <c r="S262">
        <f>HYPERLINK("https://klasma.github.io/Logging_0382/artfynd/A 8385-2020 artfynd.xlsx", "A 8385-2020")</f>
        <v/>
      </c>
      <c r="T262">
        <f>HYPERLINK("https://klasma.github.io/Logging_0382/kartor/A 8385-2020 karta.png", "A 8385-2020")</f>
        <v/>
      </c>
      <c r="V262">
        <f>HYPERLINK("https://klasma.github.io/Logging_0382/klagomål/A 8385-2020 FSC-klagomål.docx", "A 8385-2020")</f>
        <v/>
      </c>
      <c r="W262">
        <f>HYPERLINK("https://klasma.github.io/Logging_0382/klagomålsmail/A 8385-2020 FSC-klagomål mail.docx", "A 8385-2020")</f>
        <v/>
      </c>
      <c r="X262">
        <f>HYPERLINK("https://klasma.github.io/Logging_0382/tillsyn/A 8385-2020 tillsynsbegäran.docx", "A 8385-2020")</f>
        <v/>
      </c>
      <c r="Y262">
        <f>HYPERLINK("https://klasma.github.io/Logging_0382/tillsynsmail/A 8385-2020 tillsynsbegäran mail.docx", "A 8385-2020")</f>
        <v/>
      </c>
      <c r="Z262">
        <f>HYPERLINK("https://klasma.github.io/Logging_0382/fåglar/A 8385-2020 prioriterade fågelarter.docx", "A 8385-2020")</f>
        <v/>
      </c>
    </row>
    <row r="263" ht="15" customHeight="1">
      <c r="A263" t="inlineStr">
        <is>
          <t>A 15765-2020</t>
        </is>
      </c>
      <c r="B263" s="1" t="n">
        <v>43915</v>
      </c>
      <c r="C263" s="1" t="n">
        <v>45846</v>
      </c>
      <c r="D263" t="inlineStr">
        <is>
          <t>UPPSALA LÄN</t>
        </is>
      </c>
      <c r="E263" t="inlineStr">
        <is>
          <t>ENKÖPING</t>
        </is>
      </c>
      <c r="G263" t="n">
        <v>0.4</v>
      </c>
      <c r="H263" t="n">
        <v>3</v>
      </c>
      <c r="I263" t="n">
        <v>0</v>
      </c>
      <c r="J263" t="n">
        <v>1</v>
      </c>
      <c r="K263" t="n">
        <v>0</v>
      </c>
      <c r="L263" t="n">
        <v>1</v>
      </c>
      <c r="M263" t="n">
        <v>0</v>
      </c>
      <c r="N263" t="n">
        <v>0</v>
      </c>
      <c r="O263" t="n">
        <v>2</v>
      </c>
      <c r="P263" t="n">
        <v>1</v>
      </c>
      <c r="Q263" t="n">
        <v>3</v>
      </c>
      <c r="R263" s="2" t="inlineStr">
        <is>
          <t>Storspov
Havsörn
Sångsvan</t>
        </is>
      </c>
      <c r="S263">
        <f>HYPERLINK("https://klasma.github.io/Logging_0381/artfynd/A 15765-2020 artfynd.xlsx", "A 15765-2020")</f>
        <v/>
      </c>
      <c r="T263">
        <f>HYPERLINK("https://klasma.github.io/Logging_0381/kartor/A 15765-2020 karta.png", "A 15765-2020")</f>
        <v/>
      </c>
      <c r="V263">
        <f>HYPERLINK("https://klasma.github.io/Logging_0381/klagomål/A 15765-2020 FSC-klagomål.docx", "A 15765-2020")</f>
        <v/>
      </c>
      <c r="W263">
        <f>HYPERLINK("https://klasma.github.io/Logging_0381/klagomålsmail/A 15765-2020 FSC-klagomål mail.docx", "A 15765-2020")</f>
        <v/>
      </c>
      <c r="X263">
        <f>HYPERLINK("https://klasma.github.io/Logging_0381/tillsyn/A 15765-2020 tillsynsbegäran.docx", "A 15765-2020")</f>
        <v/>
      </c>
      <c r="Y263">
        <f>HYPERLINK("https://klasma.github.io/Logging_0381/tillsynsmail/A 15765-2020 tillsynsbegäran mail.docx", "A 15765-2020")</f>
        <v/>
      </c>
      <c r="Z263">
        <f>HYPERLINK("https://klasma.github.io/Logging_0381/fåglar/A 15765-2020 prioriterade fågelarter.docx", "A 15765-2020")</f>
        <v/>
      </c>
    </row>
    <row r="264" ht="15" customHeight="1">
      <c r="A264" t="inlineStr">
        <is>
          <t>A 45714-2020</t>
        </is>
      </c>
      <c r="B264" s="1" t="n">
        <v>44090</v>
      </c>
      <c r="C264" s="1" t="n">
        <v>45846</v>
      </c>
      <c r="D264" t="inlineStr">
        <is>
          <t>UPPSALA LÄN</t>
        </is>
      </c>
      <c r="E264" t="inlineStr">
        <is>
          <t>ÖSTHAMMAR</t>
        </is>
      </c>
      <c r="F264" t="inlineStr">
        <is>
          <t>Övriga Aktiebolag</t>
        </is>
      </c>
      <c r="G264" t="n">
        <v>10.8</v>
      </c>
      <c r="H264" t="n">
        <v>1</v>
      </c>
      <c r="I264" t="n">
        <v>1</v>
      </c>
      <c r="J264" t="n">
        <v>2</v>
      </c>
      <c r="K264" t="n">
        <v>0</v>
      </c>
      <c r="L264" t="n">
        <v>0</v>
      </c>
      <c r="M264" t="n">
        <v>0</v>
      </c>
      <c r="N264" t="n">
        <v>0</v>
      </c>
      <c r="O264" t="n">
        <v>2</v>
      </c>
      <c r="P264" t="n">
        <v>0</v>
      </c>
      <c r="Q264" t="n">
        <v>3</v>
      </c>
      <c r="R264" s="2" t="inlineStr">
        <is>
          <t>Slåtterfibbla
Solvända
Skogsknipprot</t>
        </is>
      </c>
      <c r="S264">
        <f>HYPERLINK("https://klasma.github.io/Logging_0382/artfynd/A 45714-2020 artfynd.xlsx", "A 45714-2020")</f>
        <v/>
      </c>
      <c r="T264">
        <f>HYPERLINK("https://klasma.github.io/Logging_0382/kartor/A 45714-2020 karta.png", "A 45714-2020")</f>
        <v/>
      </c>
      <c r="V264">
        <f>HYPERLINK("https://klasma.github.io/Logging_0382/klagomål/A 45714-2020 FSC-klagomål.docx", "A 45714-2020")</f>
        <v/>
      </c>
      <c r="W264">
        <f>HYPERLINK("https://klasma.github.io/Logging_0382/klagomålsmail/A 45714-2020 FSC-klagomål mail.docx", "A 45714-2020")</f>
        <v/>
      </c>
      <c r="X264">
        <f>HYPERLINK("https://klasma.github.io/Logging_0382/tillsyn/A 45714-2020 tillsynsbegäran.docx", "A 45714-2020")</f>
        <v/>
      </c>
      <c r="Y264">
        <f>HYPERLINK("https://klasma.github.io/Logging_0382/tillsynsmail/A 45714-2020 tillsynsbegäran mail.docx", "A 45714-2020")</f>
        <v/>
      </c>
    </row>
    <row r="265" ht="15" customHeight="1">
      <c r="A265" t="inlineStr">
        <is>
          <t>A 56107-2020</t>
        </is>
      </c>
      <c r="B265" s="1" t="n">
        <v>44133</v>
      </c>
      <c r="C265" s="1" t="n">
        <v>45846</v>
      </c>
      <c r="D265" t="inlineStr">
        <is>
          <t>UPPSALA LÄN</t>
        </is>
      </c>
      <c r="E265" t="inlineStr">
        <is>
          <t>UPPSALA</t>
        </is>
      </c>
      <c r="F265" t="inlineStr">
        <is>
          <t>Allmännings- och besparingsskogar</t>
        </is>
      </c>
      <c r="G265" t="n">
        <v>45.6</v>
      </c>
      <c r="H265" t="n">
        <v>3</v>
      </c>
      <c r="I265" t="n">
        <v>0</v>
      </c>
      <c r="J265" t="n">
        <v>1</v>
      </c>
      <c r="K265" t="n">
        <v>0</v>
      </c>
      <c r="L265" t="n">
        <v>0</v>
      </c>
      <c r="M265" t="n">
        <v>0</v>
      </c>
      <c r="N265" t="n">
        <v>0</v>
      </c>
      <c r="O265" t="n">
        <v>1</v>
      </c>
      <c r="P265" t="n">
        <v>0</v>
      </c>
      <c r="Q265" t="n">
        <v>3</v>
      </c>
      <c r="R265" s="2" t="inlineStr">
        <is>
          <t>Nordfladdermus
Dvärgpipistrell
Vattenfladdermus</t>
        </is>
      </c>
      <c r="S265">
        <f>HYPERLINK("https://klasma.github.io/Logging_0380/artfynd/A 56107-2020 artfynd.xlsx", "A 56107-2020")</f>
        <v/>
      </c>
      <c r="T265">
        <f>HYPERLINK("https://klasma.github.io/Logging_0380/kartor/A 56107-2020 karta.png", "A 56107-2020")</f>
        <v/>
      </c>
      <c r="V265">
        <f>HYPERLINK("https://klasma.github.io/Logging_0380/klagomål/A 56107-2020 FSC-klagomål.docx", "A 56107-2020")</f>
        <v/>
      </c>
      <c r="W265">
        <f>HYPERLINK("https://klasma.github.io/Logging_0380/klagomålsmail/A 56107-2020 FSC-klagomål mail.docx", "A 56107-2020")</f>
        <v/>
      </c>
      <c r="X265">
        <f>HYPERLINK("https://klasma.github.io/Logging_0380/tillsyn/A 56107-2020 tillsynsbegäran.docx", "A 56107-2020")</f>
        <v/>
      </c>
      <c r="Y265">
        <f>HYPERLINK("https://klasma.github.io/Logging_0380/tillsynsmail/A 56107-2020 tillsynsbegäran mail.docx", "A 56107-2020")</f>
        <v/>
      </c>
    </row>
    <row r="266" ht="15" customHeight="1">
      <c r="A266" t="inlineStr">
        <is>
          <t>A 33035-2021</t>
        </is>
      </c>
      <c r="B266" s="1" t="n">
        <v>44376</v>
      </c>
      <c r="C266" s="1" t="n">
        <v>45846</v>
      </c>
      <c r="D266" t="inlineStr">
        <is>
          <t>UPPSALA LÄN</t>
        </is>
      </c>
      <c r="E266" t="inlineStr">
        <is>
          <t>ÖSTHAMMAR</t>
        </is>
      </c>
      <c r="G266" t="n">
        <v>4.3</v>
      </c>
      <c r="H266" t="n">
        <v>0</v>
      </c>
      <c r="I266" t="n">
        <v>0</v>
      </c>
      <c r="J266" t="n">
        <v>1</v>
      </c>
      <c r="K266" t="n">
        <v>2</v>
      </c>
      <c r="L266" t="n">
        <v>0</v>
      </c>
      <c r="M266" t="n">
        <v>0</v>
      </c>
      <c r="N266" t="n">
        <v>0</v>
      </c>
      <c r="O266" t="n">
        <v>3</v>
      </c>
      <c r="P266" t="n">
        <v>2</v>
      </c>
      <c r="Q266" t="n">
        <v>3</v>
      </c>
      <c r="R266" s="2" t="inlineStr">
        <is>
          <t>Granrotsspindling
Gyllenfingersvamp
Dofttaggsvamp</t>
        </is>
      </c>
      <c r="S266">
        <f>HYPERLINK("https://klasma.github.io/Logging_0382/artfynd/A 33035-2021 artfynd.xlsx", "A 33035-2021")</f>
        <v/>
      </c>
      <c r="T266">
        <f>HYPERLINK("https://klasma.github.io/Logging_0382/kartor/A 33035-2021 karta.png", "A 33035-2021")</f>
        <v/>
      </c>
      <c r="V266">
        <f>HYPERLINK("https://klasma.github.io/Logging_0382/klagomål/A 33035-2021 FSC-klagomål.docx", "A 33035-2021")</f>
        <v/>
      </c>
      <c r="W266">
        <f>HYPERLINK("https://klasma.github.io/Logging_0382/klagomålsmail/A 33035-2021 FSC-klagomål mail.docx", "A 33035-2021")</f>
        <v/>
      </c>
      <c r="X266">
        <f>HYPERLINK("https://klasma.github.io/Logging_0382/tillsyn/A 33035-2021 tillsynsbegäran.docx", "A 33035-2021")</f>
        <v/>
      </c>
      <c r="Y266">
        <f>HYPERLINK("https://klasma.github.io/Logging_0382/tillsynsmail/A 33035-2021 tillsynsbegäran mail.docx", "A 33035-2021")</f>
        <v/>
      </c>
    </row>
    <row r="267" ht="15" customHeight="1">
      <c r="A267" t="inlineStr">
        <is>
          <t>A 33441-2021</t>
        </is>
      </c>
      <c r="B267" s="1" t="n">
        <v>44377</v>
      </c>
      <c r="C267" s="1" t="n">
        <v>45846</v>
      </c>
      <c r="D267" t="inlineStr">
        <is>
          <t>UPPSALA LÄN</t>
        </is>
      </c>
      <c r="E267" t="inlineStr">
        <is>
          <t>ÄLVKARLEBY</t>
        </is>
      </c>
      <c r="F267" t="inlineStr">
        <is>
          <t>Bergvik skog väst AB</t>
        </is>
      </c>
      <c r="G267" t="n">
        <v>12</v>
      </c>
      <c r="H267" t="n">
        <v>1</v>
      </c>
      <c r="I267" t="n">
        <v>2</v>
      </c>
      <c r="J267" t="n">
        <v>1</v>
      </c>
      <c r="K267" t="n">
        <v>0</v>
      </c>
      <c r="L267" t="n">
        <v>0</v>
      </c>
      <c r="M267" t="n">
        <v>0</v>
      </c>
      <c r="N267" t="n">
        <v>0</v>
      </c>
      <c r="O267" t="n">
        <v>1</v>
      </c>
      <c r="P267" t="n">
        <v>0</v>
      </c>
      <c r="Q267" t="n">
        <v>3</v>
      </c>
      <c r="R267" s="2" t="inlineStr">
        <is>
          <t>Kalkkärrsgrynsnäcka
Nästrot
Ögonpyrola</t>
        </is>
      </c>
      <c r="S267">
        <f>HYPERLINK("https://klasma.github.io/Logging_0319/artfynd/A 33441-2021 artfynd.xlsx", "A 33441-2021")</f>
        <v/>
      </c>
      <c r="T267">
        <f>HYPERLINK("https://klasma.github.io/Logging_0319/kartor/A 33441-2021 karta.png", "A 33441-2021")</f>
        <v/>
      </c>
      <c r="V267">
        <f>HYPERLINK("https://klasma.github.io/Logging_0319/klagomål/A 33441-2021 FSC-klagomål.docx", "A 33441-2021")</f>
        <v/>
      </c>
      <c r="W267">
        <f>HYPERLINK("https://klasma.github.io/Logging_0319/klagomålsmail/A 33441-2021 FSC-klagomål mail.docx", "A 33441-2021")</f>
        <v/>
      </c>
      <c r="X267">
        <f>HYPERLINK("https://klasma.github.io/Logging_0319/tillsyn/A 33441-2021 tillsynsbegäran.docx", "A 33441-2021")</f>
        <v/>
      </c>
      <c r="Y267">
        <f>HYPERLINK("https://klasma.github.io/Logging_0319/tillsynsmail/A 33441-2021 tillsynsbegäran mail.docx", "A 33441-2021")</f>
        <v/>
      </c>
    </row>
    <row r="268" ht="15" customHeight="1">
      <c r="A268" t="inlineStr">
        <is>
          <t>A 55051-2021</t>
        </is>
      </c>
      <c r="B268" s="1" t="n">
        <v>44474</v>
      </c>
      <c r="C268" s="1" t="n">
        <v>45846</v>
      </c>
      <c r="D268" t="inlineStr">
        <is>
          <t>UPPSALA LÄN</t>
        </is>
      </c>
      <c r="E268" t="inlineStr">
        <is>
          <t>ÖSTHAMMAR</t>
        </is>
      </c>
      <c r="F268" t="inlineStr">
        <is>
          <t>Bergvik skog öst AB</t>
        </is>
      </c>
      <c r="G268" t="n">
        <v>6.5</v>
      </c>
      <c r="H268" t="n">
        <v>1</v>
      </c>
      <c r="I268" t="n">
        <v>2</v>
      </c>
      <c r="J268" t="n">
        <v>0</v>
      </c>
      <c r="K268" t="n">
        <v>0</v>
      </c>
      <c r="L268" t="n">
        <v>0</v>
      </c>
      <c r="M268" t="n">
        <v>0</v>
      </c>
      <c r="N268" t="n">
        <v>0</v>
      </c>
      <c r="O268" t="n">
        <v>0</v>
      </c>
      <c r="P268" t="n">
        <v>0</v>
      </c>
      <c r="Q268" t="n">
        <v>3</v>
      </c>
      <c r="R268" s="2" t="inlineStr">
        <is>
          <t>Svart trolldruva
Tibast
Blåsippa</t>
        </is>
      </c>
      <c r="S268">
        <f>HYPERLINK("https://klasma.github.io/Logging_0382/artfynd/A 55051-2021 artfynd.xlsx", "A 55051-2021")</f>
        <v/>
      </c>
      <c r="T268">
        <f>HYPERLINK("https://klasma.github.io/Logging_0382/kartor/A 55051-2021 karta.png", "A 55051-2021")</f>
        <v/>
      </c>
      <c r="V268">
        <f>HYPERLINK("https://klasma.github.io/Logging_0382/klagomål/A 55051-2021 FSC-klagomål.docx", "A 55051-2021")</f>
        <v/>
      </c>
      <c r="W268">
        <f>HYPERLINK("https://klasma.github.io/Logging_0382/klagomålsmail/A 55051-2021 FSC-klagomål mail.docx", "A 55051-2021")</f>
        <v/>
      </c>
      <c r="X268">
        <f>HYPERLINK("https://klasma.github.io/Logging_0382/tillsyn/A 55051-2021 tillsynsbegäran.docx", "A 55051-2021")</f>
        <v/>
      </c>
      <c r="Y268">
        <f>HYPERLINK("https://klasma.github.io/Logging_0382/tillsynsmail/A 55051-2021 tillsynsbegäran mail.docx", "A 55051-2021")</f>
        <v/>
      </c>
    </row>
    <row r="269" ht="15" customHeight="1">
      <c r="A269" t="inlineStr">
        <is>
          <t>A 60038-2021</t>
        </is>
      </c>
      <c r="B269" s="1" t="n">
        <v>44495</v>
      </c>
      <c r="C269" s="1" t="n">
        <v>45846</v>
      </c>
      <c r="D269" t="inlineStr">
        <is>
          <t>UPPSALA LÄN</t>
        </is>
      </c>
      <c r="E269" t="inlineStr">
        <is>
          <t>UPPSALA</t>
        </is>
      </c>
      <c r="G269" t="n">
        <v>1.2</v>
      </c>
      <c r="H269" t="n">
        <v>1</v>
      </c>
      <c r="I269" t="n">
        <v>0</v>
      </c>
      <c r="J269" t="n">
        <v>1</v>
      </c>
      <c r="K269" t="n">
        <v>1</v>
      </c>
      <c r="L269" t="n">
        <v>0</v>
      </c>
      <c r="M269" t="n">
        <v>0</v>
      </c>
      <c r="N269" t="n">
        <v>0</v>
      </c>
      <c r="O269" t="n">
        <v>2</v>
      </c>
      <c r="P269" t="n">
        <v>1</v>
      </c>
      <c r="Q269" t="n">
        <v>3</v>
      </c>
      <c r="R269" s="2" t="inlineStr">
        <is>
          <t>Rynkskinn
Ullticka
Blåsippa</t>
        </is>
      </c>
      <c r="S269">
        <f>HYPERLINK("https://klasma.github.io/Logging_0380/artfynd/A 60038-2021 artfynd.xlsx", "A 60038-2021")</f>
        <v/>
      </c>
      <c r="T269">
        <f>HYPERLINK("https://klasma.github.io/Logging_0380/kartor/A 60038-2021 karta.png", "A 60038-2021")</f>
        <v/>
      </c>
      <c r="V269">
        <f>HYPERLINK("https://klasma.github.io/Logging_0380/klagomål/A 60038-2021 FSC-klagomål.docx", "A 60038-2021")</f>
        <v/>
      </c>
      <c r="W269">
        <f>HYPERLINK("https://klasma.github.io/Logging_0380/klagomålsmail/A 60038-2021 FSC-klagomål mail.docx", "A 60038-2021")</f>
        <v/>
      </c>
      <c r="X269">
        <f>HYPERLINK("https://klasma.github.io/Logging_0380/tillsyn/A 60038-2021 tillsynsbegäran.docx", "A 60038-2021")</f>
        <v/>
      </c>
      <c r="Y269">
        <f>HYPERLINK("https://klasma.github.io/Logging_0380/tillsynsmail/A 60038-2021 tillsynsbegäran mail.docx", "A 60038-2021")</f>
        <v/>
      </c>
    </row>
    <row r="270" ht="15" customHeight="1">
      <c r="A270" t="inlineStr">
        <is>
          <t>A 69515-2021</t>
        </is>
      </c>
      <c r="B270" s="1" t="n">
        <v>44531</v>
      </c>
      <c r="C270" s="1" t="n">
        <v>45846</v>
      </c>
      <c r="D270" t="inlineStr">
        <is>
          <t>UPPSALA LÄN</t>
        </is>
      </c>
      <c r="E270" t="inlineStr">
        <is>
          <t>ÖSTHAMMAR</t>
        </is>
      </c>
      <c r="G270" t="n">
        <v>7</v>
      </c>
      <c r="H270" t="n">
        <v>1</v>
      </c>
      <c r="I270" t="n">
        <v>2</v>
      </c>
      <c r="J270" t="n">
        <v>0</v>
      </c>
      <c r="K270" t="n">
        <v>0</v>
      </c>
      <c r="L270" t="n">
        <v>0</v>
      </c>
      <c r="M270" t="n">
        <v>0</v>
      </c>
      <c r="N270" t="n">
        <v>0</v>
      </c>
      <c r="O270" t="n">
        <v>0</v>
      </c>
      <c r="P270" t="n">
        <v>0</v>
      </c>
      <c r="Q270" t="n">
        <v>3</v>
      </c>
      <c r="R270" s="2" t="inlineStr">
        <is>
          <t>Svart trolldruva
Underviol
Revlummer</t>
        </is>
      </c>
      <c r="S270">
        <f>HYPERLINK("https://klasma.github.io/Logging_0382/artfynd/A 69515-2021 artfynd.xlsx", "A 69515-2021")</f>
        <v/>
      </c>
      <c r="T270">
        <f>HYPERLINK("https://klasma.github.io/Logging_0382/kartor/A 69515-2021 karta.png", "A 69515-2021")</f>
        <v/>
      </c>
      <c r="V270">
        <f>HYPERLINK("https://klasma.github.io/Logging_0382/klagomål/A 69515-2021 FSC-klagomål.docx", "A 69515-2021")</f>
        <v/>
      </c>
      <c r="W270">
        <f>HYPERLINK("https://klasma.github.io/Logging_0382/klagomålsmail/A 69515-2021 FSC-klagomål mail.docx", "A 69515-2021")</f>
        <v/>
      </c>
      <c r="X270">
        <f>HYPERLINK("https://klasma.github.io/Logging_0382/tillsyn/A 69515-2021 tillsynsbegäran.docx", "A 69515-2021")</f>
        <v/>
      </c>
      <c r="Y270">
        <f>HYPERLINK("https://klasma.github.io/Logging_0382/tillsynsmail/A 69515-2021 tillsynsbegäran mail.docx", "A 69515-2021")</f>
        <v/>
      </c>
    </row>
    <row r="271" ht="15" customHeight="1">
      <c r="A271" t="inlineStr">
        <is>
          <t>A 70017-2021</t>
        </is>
      </c>
      <c r="B271" s="1" t="n">
        <v>44533</v>
      </c>
      <c r="C271" s="1" t="n">
        <v>45846</v>
      </c>
      <c r="D271" t="inlineStr">
        <is>
          <t>UPPSALA LÄN</t>
        </is>
      </c>
      <c r="E271" t="inlineStr">
        <is>
          <t>ÄLVKARLEBY</t>
        </is>
      </c>
      <c r="G271" t="n">
        <v>2.1</v>
      </c>
      <c r="H271" t="n">
        <v>3</v>
      </c>
      <c r="I271" t="n">
        <v>0</v>
      </c>
      <c r="J271" t="n">
        <v>0</v>
      </c>
      <c r="K271" t="n">
        <v>1</v>
      </c>
      <c r="L271" t="n">
        <v>0</v>
      </c>
      <c r="M271" t="n">
        <v>0</v>
      </c>
      <c r="N271" t="n">
        <v>0</v>
      </c>
      <c r="O271" t="n">
        <v>1</v>
      </c>
      <c r="P271" t="n">
        <v>1</v>
      </c>
      <c r="Q271" t="n">
        <v>3</v>
      </c>
      <c r="R271" s="2" t="inlineStr">
        <is>
          <t>Gölgroda
Trana
Mindre vattensalamander</t>
        </is>
      </c>
      <c r="S271">
        <f>HYPERLINK("https://klasma.github.io/Logging_0319/artfynd/A 70017-2021 artfynd.xlsx", "A 70017-2021")</f>
        <v/>
      </c>
      <c r="T271">
        <f>HYPERLINK("https://klasma.github.io/Logging_0319/kartor/A 70017-2021 karta.png", "A 70017-2021")</f>
        <v/>
      </c>
      <c r="V271">
        <f>HYPERLINK("https://klasma.github.io/Logging_0319/klagomål/A 70017-2021 FSC-klagomål.docx", "A 70017-2021")</f>
        <v/>
      </c>
      <c r="W271">
        <f>HYPERLINK("https://klasma.github.io/Logging_0319/klagomålsmail/A 70017-2021 FSC-klagomål mail.docx", "A 70017-2021")</f>
        <v/>
      </c>
      <c r="X271">
        <f>HYPERLINK("https://klasma.github.io/Logging_0319/tillsyn/A 70017-2021 tillsynsbegäran.docx", "A 70017-2021")</f>
        <v/>
      </c>
      <c r="Y271">
        <f>HYPERLINK("https://klasma.github.io/Logging_0319/tillsynsmail/A 70017-2021 tillsynsbegäran mail.docx", "A 70017-2021")</f>
        <v/>
      </c>
      <c r="Z271">
        <f>HYPERLINK("https://klasma.github.io/Logging_0319/fåglar/A 70017-2021 prioriterade fågelarter.docx", "A 70017-2021")</f>
        <v/>
      </c>
    </row>
    <row r="272" ht="15" customHeight="1">
      <c r="A272" t="inlineStr">
        <is>
          <t>A 73005-2021</t>
        </is>
      </c>
      <c r="B272" s="1" t="n">
        <v>44550</v>
      </c>
      <c r="C272" s="1" t="n">
        <v>45846</v>
      </c>
      <c r="D272" t="inlineStr">
        <is>
          <t>UPPSALA LÄN</t>
        </is>
      </c>
      <c r="E272" t="inlineStr">
        <is>
          <t>TIERP</t>
        </is>
      </c>
      <c r="F272" t="inlineStr">
        <is>
          <t>Bergvik skog väst AB</t>
        </is>
      </c>
      <c r="G272" t="n">
        <v>5.7</v>
      </c>
      <c r="H272" t="n">
        <v>0</v>
      </c>
      <c r="I272" t="n">
        <v>2</v>
      </c>
      <c r="J272" t="n">
        <v>1</v>
      </c>
      <c r="K272" t="n">
        <v>0</v>
      </c>
      <c r="L272" t="n">
        <v>0</v>
      </c>
      <c r="M272" t="n">
        <v>0</v>
      </c>
      <c r="N272" t="n">
        <v>0</v>
      </c>
      <c r="O272" t="n">
        <v>1</v>
      </c>
      <c r="P272" t="n">
        <v>0</v>
      </c>
      <c r="Q272" t="n">
        <v>3</v>
      </c>
      <c r="R272" s="2" t="inlineStr">
        <is>
          <t>Ekticka
Dvärghäxört
Jättesvampmal</t>
        </is>
      </c>
      <c r="S272">
        <f>HYPERLINK("https://klasma.github.io/Logging_0360/artfynd/A 73005-2021 artfynd.xlsx", "A 73005-2021")</f>
        <v/>
      </c>
      <c r="T272">
        <f>HYPERLINK("https://klasma.github.io/Logging_0360/kartor/A 73005-2021 karta.png", "A 73005-2021")</f>
        <v/>
      </c>
      <c r="V272">
        <f>HYPERLINK("https://klasma.github.io/Logging_0360/klagomål/A 73005-2021 FSC-klagomål.docx", "A 73005-2021")</f>
        <v/>
      </c>
      <c r="W272">
        <f>HYPERLINK("https://klasma.github.io/Logging_0360/klagomålsmail/A 73005-2021 FSC-klagomål mail.docx", "A 73005-2021")</f>
        <v/>
      </c>
      <c r="X272">
        <f>HYPERLINK("https://klasma.github.io/Logging_0360/tillsyn/A 73005-2021 tillsynsbegäran.docx", "A 73005-2021")</f>
        <v/>
      </c>
      <c r="Y272">
        <f>HYPERLINK("https://klasma.github.io/Logging_0360/tillsynsmail/A 73005-2021 tillsynsbegäran mail.docx", "A 73005-2021")</f>
        <v/>
      </c>
    </row>
    <row r="273" ht="15" customHeight="1">
      <c r="A273" t="inlineStr">
        <is>
          <t>A 73325-2021</t>
        </is>
      </c>
      <c r="B273" s="1" t="n">
        <v>44551</v>
      </c>
      <c r="C273" s="1" t="n">
        <v>45846</v>
      </c>
      <c r="D273" t="inlineStr">
        <is>
          <t>UPPSALA LÄN</t>
        </is>
      </c>
      <c r="E273" t="inlineStr">
        <is>
          <t>TIERP</t>
        </is>
      </c>
      <c r="G273" t="n">
        <v>3.7</v>
      </c>
      <c r="H273" t="n">
        <v>0</v>
      </c>
      <c r="I273" t="n">
        <v>1</v>
      </c>
      <c r="J273" t="n">
        <v>1</v>
      </c>
      <c r="K273" t="n">
        <v>1</v>
      </c>
      <c r="L273" t="n">
        <v>0</v>
      </c>
      <c r="M273" t="n">
        <v>0</v>
      </c>
      <c r="N273" t="n">
        <v>0</v>
      </c>
      <c r="O273" t="n">
        <v>2</v>
      </c>
      <c r="P273" t="n">
        <v>1</v>
      </c>
      <c r="Q273" t="n">
        <v>3</v>
      </c>
      <c r="R273" s="2" t="inlineStr">
        <is>
          <t>Taggfingersvamp
Äggspindling
Rödgul trumpetsvamp</t>
        </is>
      </c>
      <c r="S273">
        <f>HYPERLINK("https://klasma.github.io/Logging_0360/artfynd/A 73325-2021 artfynd.xlsx", "A 73325-2021")</f>
        <v/>
      </c>
      <c r="T273">
        <f>HYPERLINK("https://klasma.github.io/Logging_0360/kartor/A 73325-2021 karta.png", "A 73325-2021")</f>
        <v/>
      </c>
      <c r="V273">
        <f>HYPERLINK("https://klasma.github.io/Logging_0360/klagomål/A 73325-2021 FSC-klagomål.docx", "A 73325-2021")</f>
        <v/>
      </c>
      <c r="W273">
        <f>HYPERLINK("https://klasma.github.io/Logging_0360/klagomålsmail/A 73325-2021 FSC-klagomål mail.docx", "A 73325-2021")</f>
        <v/>
      </c>
      <c r="X273">
        <f>HYPERLINK("https://klasma.github.io/Logging_0360/tillsyn/A 73325-2021 tillsynsbegäran.docx", "A 73325-2021")</f>
        <v/>
      </c>
      <c r="Y273">
        <f>HYPERLINK("https://klasma.github.io/Logging_0360/tillsynsmail/A 73325-2021 tillsynsbegäran mail.docx", "A 73325-2021")</f>
        <v/>
      </c>
    </row>
    <row r="274" ht="15" customHeight="1">
      <c r="A274" t="inlineStr">
        <is>
          <t>A 2711-2022</t>
        </is>
      </c>
      <c r="B274" s="1" t="n">
        <v>44552</v>
      </c>
      <c r="C274" s="1" t="n">
        <v>45846</v>
      </c>
      <c r="D274" t="inlineStr">
        <is>
          <t>UPPSALA LÄN</t>
        </is>
      </c>
      <c r="E274" t="inlineStr">
        <is>
          <t>ENKÖPING</t>
        </is>
      </c>
      <c r="F274" t="inlineStr">
        <is>
          <t>Kommuner</t>
        </is>
      </c>
      <c r="G274" t="n">
        <v>2</v>
      </c>
      <c r="H274" t="n">
        <v>0</v>
      </c>
      <c r="I274" t="n">
        <v>2</v>
      </c>
      <c r="J274" t="n">
        <v>0</v>
      </c>
      <c r="K274" t="n">
        <v>1</v>
      </c>
      <c r="L274" t="n">
        <v>0</v>
      </c>
      <c r="M274" t="n">
        <v>0</v>
      </c>
      <c r="N274" t="n">
        <v>0</v>
      </c>
      <c r="O274" t="n">
        <v>1</v>
      </c>
      <c r="P274" t="n">
        <v>1</v>
      </c>
      <c r="Q274" t="n">
        <v>3</v>
      </c>
      <c r="R274" s="2" t="inlineStr">
        <is>
          <t>Grangråticka
Skarp dropptaggsvamp
Strimspindling</t>
        </is>
      </c>
      <c r="S274">
        <f>HYPERLINK("https://klasma.github.io/Logging_0381/artfynd/A 2711-2022 artfynd.xlsx", "A 2711-2022")</f>
        <v/>
      </c>
      <c r="T274">
        <f>HYPERLINK("https://klasma.github.io/Logging_0381/kartor/A 2711-2022 karta.png", "A 2711-2022")</f>
        <v/>
      </c>
      <c r="V274">
        <f>HYPERLINK("https://klasma.github.io/Logging_0381/klagomål/A 2711-2022 FSC-klagomål.docx", "A 2711-2022")</f>
        <v/>
      </c>
      <c r="W274">
        <f>HYPERLINK("https://klasma.github.io/Logging_0381/klagomålsmail/A 2711-2022 FSC-klagomål mail.docx", "A 2711-2022")</f>
        <v/>
      </c>
      <c r="X274">
        <f>HYPERLINK("https://klasma.github.io/Logging_0381/tillsyn/A 2711-2022 tillsynsbegäran.docx", "A 2711-2022")</f>
        <v/>
      </c>
      <c r="Y274">
        <f>HYPERLINK("https://klasma.github.io/Logging_0381/tillsynsmail/A 2711-2022 tillsynsbegäran mail.docx", "A 2711-2022")</f>
        <v/>
      </c>
    </row>
    <row r="275" ht="15" customHeight="1">
      <c r="A275" t="inlineStr">
        <is>
          <t>A 73903-2021</t>
        </is>
      </c>
      <c r="B275" s="1" t="n">
        <v>44552</v>
      </c>
      <c r="C275" s="1" t="n">
        <v>45846</v>
      </c>
      <c r="D275" t="inlineStr">
        <is>
          <t>UPPSALA LÄN</t>
        </is>
      </c>
      <c r="E275" t="inlineStr">
        <is>
          <t>ENKÖPING</t>
        </is>
      </c>
      <c r="F275" t="inlineStr">
        <is>
          <t>Kommuner</t>
        </is>
      </c>
      <c r="G275" t="n">
        <v>3.1</v>
      </c>
      <c r="H275" t="n">
        <v>0</v>
      </c>
      <c r="I275" t="n">
        <v>0</v>
      </c>
      <c r="J275" t="n">
        <v>2</v>
      </c>
      <c r="K275" t="n">
        <v>1</v>
      </c>
      <c r="L275" t="n">
        <v>0</v>
      </c>
      <c r="M275" t="n">
        <v>0</v>
      </c>
      <c r="N275" t="n">
        <v>0</v>
      </c>
      <c r="O275" t="n">
        <v>3</v>
      </c>
      <c r="P275" t="n">
        <v>1</v>
      </c>
      <c r="Q275" t="n">
        <v>3</v>
      </c>
      <c r="R275" s="2" t="inlineStr">
        <is>
          <t>Rynkskinn
Orange taggsvamp
Ullticka</t>
        </is>
      </c>
      <c r="S275">
        <f>HYPERLINK("https://klasma.github.io/Logging_0381/artfynd/A 73903-2021 artfynd.xlsx", "A 73903-2021")</f>
        <v/>
      </c>
      <c r="T275">
        <f>HYPERLINK("https://klasma.github.io/Logging_0381/kartor/A 73903-2021 karta.png", "A 73903-2021")</f>
        <v/>
      </c>
      <c r="V275">
        <f>HYPERLINK("https://klasma.github.io/Logging_0381/klagomål/A 73903-2021 FSC-klagomål.docx", "A 73903-2021")</f>
        <v/>
      </c>
      <c r="W275">
        <f>HYPERLINK("https://klasma.github.io/Logging_0381/klagomålsmail/A 73903-2021 FSC-klagomål mail.docx", "A 73903-2021")</f>
        <v/>
      </c>
      <c r="X275">
        <f>HYPERLINK("https://klasma.github.io/Logging_0381/tillsyn/A 73903-2021 tillsynsbegäran.docx", "A 73903-2021")</f>
        <v/>
      </c>
      <c r="Y275">
        <f>HYPERLINK("https://klasma.github.io/Logging_0381/tillsynsmail/A 73903-2021 tillsynsbegäran mail.docx", "A 73903-2021")</f>
        <v/>
      </c>
    </row>
    <row r="276" ht="15" customHeight="1">
      <c r="A276" t="inlineStr">
        <is>
          <t>A 1396-2022</t>
        </is>
      </c>
      <c r="B276" s="1" t="n">
        <v>44573</v>
      </c>
      <c r="C276" s="1" t="n">
        <v>45846</v>
      </c>
      <c r="D276" t="inlineStr">
        <is>
          <t>UPPSALA LÄN</t>
        </is>
      </c>
      <c r="E276" t="inlineStr">
        <is>
          <t>HEBY</t>
        </is>
      </c>
      <c r="F276" t="inlineStr">
        <is>
          <t>Allmännings- och besparingsskogar</t>
        </is>
      </c>
      <c r="G276" t="n">
        <v>2</v>
      </c>
      <c r="H276" t="n">
        <v>3</v>
      </c>
      <c r="I276" t="n">
        <v>0</v>
      </c>
      <c r="J276" t="n">
        <v>0</v>
      </c>
      <c r="K276" t="n">
        <v>0</v>
      </c>
      <c r="L276" t="n">
        <v>0</v>
      </c>
      <c r="M276" t="n">
        <v>0</v>
      </c>
      <c r="N276" t="n">
        <v>0</v>
      </c>
      <c r="O276" t="n">
        <v>0</v>
      </c>
      <c r="P276" t="n">
        <v>0</v>
      </c>
      <c r="Q276" t="n">
        <v>3</v>
      </c>
      <c r="R276" s="2" t="inlineStr">
        <is>
          <t>Åkergroda
Vanlig groda
Vanlig padda</t>
        </is>
      </c>
      <c r="S276">
        <f>HYPERLINK("https://klasma.github.io/Logging_0331/artfynd/A 1396-2022 artfynd.xlsx", "A 1396-2022")</f>
        <v/>
      </c>
      <c r="T276">
        <f>HYPERLINK("https://klasma.github.io/Logging_0331/kartor/A 1396-2022 karta.png", "A 1396-2022")</f>
        <v/>
      </c>
      <c r="V276">
        <f>HYPERLINK("https://klasma.github.io/Logging_0331/klagomål/A 1396-2022 FSC-klagomål.docx", "A 1396-2022")</f>
        <v/>
      </c>
      <c r="W276">
        <f>HYPERLINK("https://klasma.github.io/Logging_0331/klagomålsmail/A 1396-2022 FSC-klagomål mail.docx", "A 1396-2022")</f>
        <v/>
      </c>
      <c r="X276">
        <f>HYPERLINK("https://klasma.github.io/Logging_0331/tillsyn/A 1396-2022 tillsynsbegäran.docx", "A 1396-2022")</f>
        <v/>
      </c>
      <c r="Y276">
        <f>HYPERLINK("https://klasma.github.io/Logging_0331/tillsynsmail/A 1396-2022 tillsynsbegäran mail.docx", "A 1396-2022")</f>
        <v/>
      </c>
    </row>
    <row r="277" ht="15" customHeight="1">
      <c r="A277" t="inlineStr">
        <is>
          <t>A 14313-2022</t>
        </is>
      </c>
      <c r="B277" s="1" t="n">
        <v>44652</v>
      </c>
      <c r="C277" s="1" t="n">
        <v>45846</v>
      </c>
      <c r="D277" t="inlineStr">
        <is>
          <t>UPPSALA LÄN</t>
        </is>
      </c>
      <c r="E277" t="inlineStr">
        <is>
          <t>UPPSALA</t>
        </is>
      </c>
      <c r="F277" t="inlineStr">
        <is>
          <t>Holmen skog AB</t>
        </is>
      </c>
      <c r="G277" t="n">
        <v>1.7</v>
      </c>
      <c r="H277" t="n">
        <v>2</v>
      </c>
      <c r="I277" t="n">
        <v>1</v>
      </c>
      <c r="J277" t="n">
        <v>0</v>
      </c>
      <c r="K277" t="n">
        <v>0</v>
      </c>
      <c r="L277" t="n">
        <v>0</v>
      </c>
      <c r="M277" t="n">
        <v>0</v>
      </c>
      <c r="N277" t="n">
        <v>0</v>
      </c>
      <c r="O277" t="n">
        <v>0</v>
      </c>
      <c r="P277" t="n">
        <v>0</v>
      </c>
      <c r="Q277" t="n">
        <v>3</v>
      </c>
      <c r="R277" s="2" t="inlineStr">
        <is>
          <t>Vätteros
Blåsippa
Gullviva</t>
        </is>
      </c>
      <c r="S277">
        <f>HYPERLINK("https://klasma.github.io/Logging_0380/artfynd/A 14313-2022 artfynd.xlsx", "A 14313-2022")</f>
        <v/>
      </c>
      <c r="T277">
        <f>HYPERLINK("https://klasma.github.io/Logging_0380/kartor/A 14313-2022 karta.png", "A 14313-2022")</f>
        <v/>
      </c>
      <c r="V277">
        <f>HYPERLINK("https://klasma.github.io/Logging_0380/klagomål/A 14313-2022 FSC-klagomål.docx", "A 14313-2022")</f>
        <v/>
      </c>
      <c r="W277">
        <f>HYPERLINK("https://klasma.github.io/Logging_0380/klagomålsmail/A 14313-2022 FSC-klagomål mail.docx", "A 14313-2022")</f>
        <v/>
      </c>
      <c r="X277">
        <f>HYPERLINK("https://klasma.github.io/Logging_0380/tillsyn/A 14313-2022 tillsynsbegäran.docx", "A 14313-2022")</f>
        <v/>
      </c>
      <c r="Y277">
        <f>HYPERLINK("https://klasma.github.io/Logging_0380/tillsynsmail/A 14313-2022 tillsynsbegäran mail.docx", "A 14313-2022")</f>
        <v/>
      </c>
    </row>
    <row r="278" ht="15" customHeight="1">
      <c r="A278" t="inlineStr">
        <is>
          <t>A 15592-2022</t>
        </is>
      </c>
      <c r="B278" s="1" t="n">
        <v>44662</v>
      </c>
      <c r="C278" s="1" t="n">
        <v>45846</v>
      </c>
      <c r="D278" t="inlineStr">
        <is>
          <t>UPPSALA LÄN</t>
        </is>
      </c>
      <c r="E278" t="inlineStr">
        <is>
          <t>TIERP</t>
        </is>
      </c>
      <c r="F278" t="inlineStr">
        <is>
          <t>Bergvik skog väst AB</t>
        </is>
      </c>
      <c r="G278" t="n">
        <v>1.7</v>
      </c>
      <c r="H278" t="n">
        <v>2</v>
      </c>
      <c r="I278" t="n">
        <v>2</v>
      </c>
      <c r="J278" t="n">
        <v>0</v>
      </c>
      <c r="K278" t="n">
        <v>0</v>
      </c>
      <c r="L278" t="n">
        <v>0</v>
      </c>
      <c r="M278" t="n">
        <v>0</v>
      </c>
      <c r="N278" t="n">
        <v>0</v>
      </c>
      <c r="O278" t="n">
        <v>0</v>
      </c>
      <c r="P278" t="n">
        <v>0</v>
      </c>
      <c r="Q278" t="n">
        <v>3</v>
      </c>
      <c r="R278" s="2" t="inlineStr">
        <is>
          <t>Skogsknipprot
Tibast
Blåsippa</t>
        </is>
      </c>
      <c r="S278">
        <f>HYPERLINK("https://klasma.github.io/Logging_0360/artfynd/A 15592-2022 artfynd.xlsx", "A 15592-2022")</f>
        <v/>
      </c>
      <c r="T278">
        <f>HYPERLINK("https://klasma.github.io/Logging_0360/kartor/A 15592-2022 karta.png", "A 15592-2022")</f>
        <v/>
      </c>
      <c r="V278">
        <f>HYPERLINK("https://klasma.github.io/Logging_0360/klagomål/A 15592-2022 FSC-klagomål.docx", "A 15592-2022")</f>
        <v/>
      </c>
      <c r="W278">
        <f>HYPERLINK("https://klasma.github.io/Logging_0360/klagomålsmail/A 15592-2022 FSC-klagomål mail.docx", "A 15592-2022")</f>
        <v/>
      </c>
      <c r="X278">
        <f>HYPERLINK("https://klasma.github.io/Logging_0360/tillsyn/A 15592-2022 tillsynsbegäran.docx", "A 15592-2022")</f>
        <v/>
      </c>
      <c r="Y278">
        <f>HYPERLINK("https://klasma.github.io/Logging_0360/tillsynsmail/A 15592-2022 tillsynsbegäran mail.docx", "A 15592-2022")</f>
        <v/>
      </c>
    </row>
    <row r="279" ht="15" customHeight="1">
      <c r="A279" t="inlineStr">
        <is>
          <t>A 18079-2022</t>
        </is>
      </c>
      <c r="B279" s="1" t="n">
        <v>44684</v>
      </c>
      <c r="C279" s="1" t="n">
        <v>45846</v>
      </c>
      <c r="D279" t="inlineStr">
        <is>
          <t>UPPSALA LÄN</t>
        </is>
      </c>
      <c r="E279" t="inlineStr">
        <is>
          <t>UPPSALA</t>
        </is>
      </c>
      <c r="G279" t="n">
        <v>2</v>
      </c>
      <c r="H279" t="n">
        <v>0</v>
      </c>
      <c r="I279" t="n">
        <v>2</v>
      </c>
      <c r="J279" t="n">
        <v>0</v>
      </c>
      <c r="K279" t="n">
        <v>1</v>
      </c>
      <c r="L279" t="n">
        <v>0</v>
      </c>
      <c r="M279" t="n">
        <v>0</v>
      </c>
      <c r="N279" t="n">
        <v>0</v>
      </c>
      <c r="O279" t="n">
        <v>1</v>
      </c>
      <c r="P279" t="n">
        <v>1</v>
      </c>
      <c r="Q279" t="n">
        <v>3</v>
      </c>
      <c r="R279" s="2" t="inlineStr">
        <is>
          <t>Aspfjädermossa
Dvärgtufs
Skinnlav</t>
        </is>
      </c>
      <c r="S279">
        <f>HYPERLINK("https://klasma.github.io/Logging_0380/artfynd/A 18079-2022 artfynd.xlsx", "A 18079-2022")</f>
        <v/>
      </c>
      <c r="T279">
        <f>HYPERLINK("https://klasma.github.io/Logging_0380/kartor/A 18079-2022 karta.png", "A 18079-2022")</f>
        <v/>
      </c>
      <c r="V279">
        <f>HYPERLINK("https://klasma.github.io/Logging_0380/klagomål/A 18079-2022 FSC-klagomål.docx", "A 18079-2022")</f>
        <v/>
      </c>
      <c r="W279">
        <f>HYPERLINK("https://klasma.github.io/Logging_0380/klagomålsmail/A 18079-2022 FSC-klagomål mail.docx", "A 18079-2022")</f>
        <v/>
      </c>
      <c r="X279">
        <f>HYPERLINK("https://klasma.github.io/Logging_0380/tillsyn/A 18079-2022 tillsynsbegäran.docx", "A 18079-2022")</f>
        <v/>
      </c>
      <c r="Y279">
        <f>HYPERLINK("https://klasma.github.io/Logging_0380/tillsynsmail/A 18079-2022 tillsynsbegäran mail.docx", "A 18079-2022")</f>
        <v/>
      </c>
    </row>
    <row r="280" ht="15" customHeight="1">
      <c r="A280" t="inlineStr">
        <is>
          <t>A 19373-2022</t>
        </is>
      </c>
      <c r="B280" s="1" t="n">
        <v>44692</v>
      </c>
      <c r="C280" s="1" t="n">
        <v>45846</v>
      </c>
      <c r="D280" t="inlineStr">
        <is>
          <t>UPPSALA LÄN</t>
        </is>
      </c>
      <c r="E280" t="inlineStr">
        <is>
          <t>UPPSALA</t>
        </is>
      </c>
      <c r="F280" t="inlineStr">
        <is>
          <t>Bergvik skog öst AB</t>
        </is>
      </c>
      <c r="G280" t="n">
        <v>12.2</v>
      </c>
      <c r="H280" t="n">
        <v>1</v>
      </c>
      <c r="I280" t="n">
        <v>1</v>
      </c>
      <c r="J280" t="n">
        <v>0</v>
      </c>
      <c r="K280" t="n">
        <v>0</v>
      </c>
      <c r="L280" t="n">
        <v>1</v>
      </c>
      <c r="M280" t="n">
        <v>0</v>
      </c>
      <c r="N280" t="n">
        <v>0</v>
      </c>
      <c r="O280" t="n">
        <v>1</v>
      </c>
      <c r="P280" t="n">
        <v>1</v>
      </c>
      <c r="Q280" t="n">
        <v>3</v>
      </c>
      <c r="R280" s="2" t="inlineStr">
        <is>
          <t>Ask
Sårläka
Blåsippa</t>
        </is>
      </c>
      <c r="S280">
        <f>HYPERLINK("https://klasma.github.io/Logging_0380/artfynd/A 19373-2022 artfynd.xlsx", "A 19373-2022")</f>
        <v/>
      </c>
      <c r="T280">
        <f>HYPERLINK("https://klasma.github.io/Logging_0380/kartor/A 19373-2022 karta.png", "A 19373-2022")</f>
        <v/>
      </c>
      <c r="V280">
        <f>HYPERLINK("https://klasma.github.io/Logging_0380/klagomål/A 19373-2022 FSC-klagomål.docx", "A 19373-2022")</f>
        <v/>
      </c>
      <c r="W280">
        <f>HYPERLINK("https://klasma.github.io/Logging_0380/klagomålsmail/A 19373-2022 FSC-klagomål mail.docx", "A 19373-2022")</f>
        <v/>
      </c>
      <c r="X280">
        <f>HYPERLINK("https://klasma.github.io/Logging_0380/tillsyn/A 19373-2022 tillsynsbegäran.docx", "A 19373-2022")</f>
        <v/>
      </c>
      <c r="Y280">
        <f>HYPERLINK("https://klasma.github.io/Logging_0380/tillsynsmail/A 19373-2022 tillsynsbegäran mail.docx", "A 19373-2022")</f>
        <v/>
      </c>
    </row>
    <row r="281" ht="15" customHeight="1">
      <c r="A281" t="inlineStr">
        <is>
          <t>A 19960-2022</t>
        </is>
      </c>
      <c r="B281" s="1" t="n">
        <v>44697</v>
      </c>
      <c r="C281" s="1" t="n">
        <v>45846</v>
      </c>
      <c r="D281" t="inlineStr">
        <is>
          <t>UPPSALA LÄN</t>
        </is>
      </c>
      <c r="E281" t="inlineStr">
        <is>
          <t>ENKÖPING</t>
        </is>
      </c>
      <c r="G281" t="n">
        <v>3.7</v>
      </c>
      <c r="H281" t="n">
        <v>1</v>
      </c>
      <c r="I281" t="n">
        <v>0</v>
      </c>
      <c r="J281" t="n">
        <v>2</v>
      </c>
      <c r="K281" t="n">
        <v>0</v>
      </c>
      <c r="L281" t="n">
        <v>0</v>
      </c>
      <c r="M281" t="n">
        <v>0</v>
      </c>
      <c r="N281" t="n">
        <v>0</v>
      </c>
      <c r="O281" t="n">
        <v>2</v>
      </c>
      <c r="P281" t="n">
        <v>0</v>
      </c>
      <c r="Q281" t="n">
        <v>3</v>
      </c>
      <c r="R281" s="2" t="inlineStr">
        <is>
          <t>Ullticka
Vedtrappmossa
Blåsippa</t>
        </is>
      </c>
      <c r="S281">
        <f>HYPERLINK("https://klasma.github.io/Logging_0381/artfynd/A 19960-2022 artfynd.xlsx", "A 19960-2022")</f>
        <v/>
      </c>
      <c r="T281">
        <f>HYPERLINK("https://klasma.github.io/Logging_0381/kartor/A 19960-2022 karta.png", "A 19960-2022")</f>
        <v/>
      </c>
      <c r="V281">
        <f>HYPERLINK("https://klasma.github.io/Logging_0381/klagomål/A 19960-2022 FSC-klagomål.docx", "A 19960-2022")</f>
        <v/>
      </c>
      <c r="W281">
        <f>HYPERLINK("https://klasma.github.io/Logging_0381/klagomålsmail/A 19960-2022 FSC-klagomål mail.docx", "A 19960-2022")</f>
        <v/>
      </c>
      <c r="X281">
        <f>HYPERLINK("https://klasma.github.io/Logging_0381/tillsyn/A 19960-2022 tillsynsbegäran.docx", "A 19960-2022")</f>
        <v/>
      </c>
      <c r="Y281">
        <f>HYPERLINK("https://klasma.github.io/Logging_0381/tillsynsmail/A 19960-2022 tillsynsbegäran mail.docx", "A 19960-2022")</f>
        <v/>
      </c>
    </row>
    <row r="282" ht="15" customHeight="1">
      <c r="A282" t="inlineStr">
        <is>
          <t>A 26557-2022</t>
        </is>
      </c>
      <c r="B282" s="1" t="n">
        <v>44739</v>
      </c>
      <c r="C282" s="1" t="n">
        <v>45846</v>
      </c>
      <c r="D282" t="inlineStr">
        <is>
          <t>UPPSALA LÄN</t>
        </is>
      </c>
      <c r="E282" t="inlineStr">
        <is>
          <t>ÖSTHAMMAR</t>
        </is>
      </c>
      <c r="F282" t="inlineStr">
        <is>
          <t>Övriga statliga verk och myndigheter</t>
        </is>
      </c>
      <c r="G282" t="n">
        <v>1.7</v>
      </c>
      <c r="H282" t="n">
        <v>3</v>
      </c>
      <c r="I282" t="n">
        <v>0</v>
      </c>
      <c r="J282" t="n">
        <v>3</v>
      </c>
      <c r="K282" t="n">
        <v>0</v>
      </c>
      <c r="L282" t="n">
        <v>0</v>
      </c>
      <c r="M282" t="n">
        <v>0</v>
      </c>
      <c r="N282" t="n">
        <v>0</v>
      </c>
      <c r="O282" t="n">
        <v>3</v>
      </c>
      <c r="P282" t="n">
        <v>0</v>
      </c>
      <c r="Q282" t="n">
        <v>3</v>
      </c>
      <c r="R282" s="2" t="inlineStr">
        <is>
          <t>Järpe
Mindre hackspett
Spillkråka</t>
        </is>
      </c>
      <c r="S282">
        <f>HYPERLINK("https://klasma.github.io/Logging_0382/artfynd/A 26557-2022 artfynd.xlsx", "A 26557-2022")</f>
        <v/>
      </c>
      <c r="T282">
        <f>HYPERLINK("https://klasma.github.io/Logging_0382/kartor/A 26557-2022 karta.png", "A 26557-2022")</f>
        <v/>
      </c>
      <c r="V282">
        <f>HYPERLINK("https://klasma.github.io/Logging_0382/klagomål/A 26557-2022 FSC-klagomål.docx", "A 26557-2022")</f>
        <v/>
      </c>
      <c r="W282">
        <f>HYPERLINK("https://klasma.github.io/Logging_0382/klagomålsmail/A 26557-2022 FSC-klagomål mail.docx", "A 26557-2022")</f>
        <v/>
      </c>
      <c r="X282">
        <f>HYPERLINK("https://klasma.github.io/Logging_0382/tillsyn/A 26557-2022 tillsynsbegäran.docx", "A 26557-2022")</f>
        <v/>
      </c>
      <c r="Y282">
        <f>HYPERLINK("https://klasma.github.io/Logging_0382/tillsynsmail/A 26557-2022 tillsynsbegäran mail.docx", "A 26557-2022")</f>
        <v/>
      </c>
      <c r="Z282">
        <f>HYPERLINK("https://klasma.github.io/Logging_0382/fåglar/A 26557-2022 prioriterade fågelarter.docx", "A 26557-2022")</f>
        <v/>
      </c>
    </row>
    <row r="283" ht="15" customHeight="1">
      <c r="A283" t="inlineStr">
        <is>
          <t>A 34147-2022</t>
        </is>
      </c>
      <c r="B283" s="1" t="n">
        <v>44791</v>
      </c>
      <c r="C283" s="1" t="n">
        <v>45846</v>
      </c>
      <c r="D283" t="inlineStr">
        <is>
          <t>UPPSALA LÄN</t>
        </is>
      </c>
      <c r="E283" t="inlineStr">
        <is>
          <t>UPPSALA</t>
        </is>
      </c>
      <c r="G283" t="n">
        <v>1.9</v>
      </c>
      <c r="H283" t="n">
        <v>0</v>
      </c>
      <c r="I283" t="n">
        <v>2</v>
      </c>
      <c r="J283" t="n">
        <v>1</v>
      </c>
      <c r="K283" t="n">
        <v>0</v>
      </c>
      <c r="L283" t="n">
        <v>0</v>
      </c>
      <c r="M283" t="n">
        <v>0</v>
      </c>
      <c r="N283" t="n">
        <v>0</v>
      </c>
      <c r="O283" t="n">
        <v>1</v>
      </c>
      <c r="P283" t="n">
        <v>0</v>
      </c>
      <c r="Q283" t="n">
        <v>3</v>
      </c>
      <c r="R283" s="2" t="inlineStr">
        <is>
          <t>Granticka
Kamjordstjärna
Stor aspticka</t>
        </is>
      </c>
      <c r="S283">
        <f>HYPERLINK("https://klasma.github.io/Logging_0380/artfynd/A 34147-2022 artfynd.xlsx", "A 34147-2022")</f>
        <v/>
      </c>
      <c r="T283">
        <f>HYPERLINK("https://klasma.github.io/Logging_0380/kartor/A 34147-2022 karta.png", "A 34147-2022")</f>
        <v/>
      </c>
      <c r="V283">
        <f>HYPERLINK("https://klasma.github.io/Logging_0380/klagomål/A 34147-2022 FSC-klagomål.docx", "A 34147-2022")</f>
        <v/>
      </c>
      <c r="W283">
        <f>HYPERLINK("https://klasma.github.io/Logging_0380/klagomålsmail/A 34147-2022 FSC-klagomål mail.docx", "A 34147-2022")</f>
        <v/>
      </c>
      <c r="X283">
        <f>HYPERLINK("https://klasma.github.io/Logging_0380/tillsyn/A 34147-2022 tillsynsbegäran.docx", "A 34147-2022")</f>
        <v/>
      </c>
      <c r="Y283">
        <f>HYPERLINK("https://klasma.github.io/Logging_0380/tillsynsmail/A 34147-2022 tillsynsbegäran mail.docx", "A 34147-2022")</f>
        <v/>
      </c>
    </row>
    <row r="284" ht="15" customHeight="1">
      <c r="A284" t="inlineStr">
        <is>
          <t>A 36471-2022</t>
        </is>
      </c>
      <c r="B284" s="1" t="n">
        <v>44804</v>
      </c>
      <c r="C284" s="1" t="n">
        <v>45846</v>
      </c>
      <c r="D284" t="inlineStr">
        <is>
          <t>UPPSALA LÄN</t>
        </is>
      </c>
      <c r="E284" t="inlineStr">
        <is>
          <t>UPPSALA</t>
        </is>
      </c>
      <c r="G284" t="n">
        <v>4.2</v>
      </c>
      <c r="H284" t="n">
        <v>0</v>
      </c>
      <c r="I284" t="n">
        <v>3</v>
      </c>
      <c r="J284" t="n">
        <v>0</v>
      </c>
      <c r="K284" t="n">
        <v>0</v>
      </c>
      <c r="L284" t="n">
        <v>0</v>
      </c>
      <c r="M284" t="n">
        <v>0</v>
      </c>
      <c r="N284" t="n">
        <v>0</v>
      </c>
      <c r="O284" t="n">
        <v>0</v>
      </c>
      <c r="P284" t="n">
        <v>0</v>
      </c>
      <c r="Q284" t="n">
        <v>3</v>
      </c>
      <c r="R284" s="2" t="inlineStr">
        <is>
          <t>Bronshjon
Spindelbock
Stor aspticka</t>
        </is>
      </c>
      <c r="S284">
        <f>HYPERLINK("https://klasma.github.io/Logging_0380/artfynd/A 36471-2022 artfynd.xlsx", "A 36471-2022")</f>
        <v/>
      </c>
      <c r="T284">
        <f>HYPERLINK("https://klasma.github.io/Logging_0380/kartor/A 36471-2022 karta.png", "A 36471-2022")</f>
        <v/>
      </c>
      <c r="V284">
        <f>HYPERLINK("https://klasma.github.io/Logging_0380/klagomål/A 36471-2022 FSC-klagomål.docx", "A 36471-2022")</f>
        <v/>
      </c>
      <c r="W284">
        <f>HYPERLINK("https://klasma.github.io/Logging_0380/klagomålsmail/A 36471-2022 FSC-klagomål mail.docx", "A 36471-2022")</f>
        <v/>
      </c>
      <c r="X284">
        <f>HYPERLINK("https://klasma.github.io/Logging_0380/tillsyn/A 36471-2022 tillsynsbegäran.docx", "A 36471-2022")</f>
        <v/>
      </c>
      <c r="Y284">
        <f>HYPERLINK("https://klasma.github.io/Logging_0380/tillsynsmail/A 36471-2022 tillsynsbegäran mail.docx", "A 36471-2022")</f>
        <v/>
      </c>
    </row>
    <row r="285" ht="15" customHeight="1">
      <c r="A285" t="inlineStr">
        <is>
          <t>A 52951-2022</t>
        </is>
      </c>
      <c r="B285" s="1" t="n">
        <v>44875</v>
      </c>
      <c r="C285" s="1" t="n">
        <v>45846</v>
      </c>
      <c r="D285" t="inlineStr">
        <is>
          <t>UPPSALA LÄN</t>
        </is>
      </c>
      <c r="E285" t="inlineStr">
        <is>
          <t>TIERP</t>
        </is>
      </c>
      <c r="F285" t="inlineStr">
        <is>
          <t>Bergvik skog öst AB</t>
        </is>
      </c>
      <c r="G285" t="n">
        <v>13.5</v>
      </c>
      <c r="H285" t="n">
        <v>0</v>
      </c>
      <c r="I285" t="n">
        <v>3</v>
      </c>
      <c r="J285" t="n">
        <v>0</v>
      </c>
      <c r="K285" t="n">
        <v>0</v>
      </c>
      <c r="L285" t="n">
        <v>0</v>
      </c>
      <c r="M285" t="n">
        <v>0</v>
      </c>
      <c r="N285" t="n">
        <v>0</v>
      </c>
      <c r="O285" t="n">
        <v>0</v>
      </c>
      <c r="P285" t="n">
        <v>0</v>
      </c>
      <c r="Q285" t="n">
        <v>3</v>
      </c>
      <c r="R285" s="2" t="inlineStr">
        <is>
          <t>Myskmadra
Rödgul trumpetsvamp
Sårläka</t>
        </is>
      </c>
      <c r="S285">
        <f>HYPERLINK("https://klasma.github.io/Logging_0360/artfynd/A 52951-2022 artfynd.xlsx", "A 52951-2022")</f>
        <v/>
      </c>
      <c r="T285">
        <f>HYPERLINK("https://klasma.github.io/Logging_0360/kartor/A 52951-2022 karta.png", "A 52951-2022")</f>
        <v/>
      </c>
      <c r="V285">
        <f>HYPERLINK("https://klasma.github.io/Logging_0360/klagomål/A 52951-2022 FSC-klagomål.docx", "A 52951-2022")</f>
        <v/>
      </c>
      <c r="W285">
        <f>HYPERLINK("https://klasma.github.io/Logging_0360/klagomålsmail/A 52951-2022 FSC-klagomål mail.docx", "A 52951-2022")</f>
        <v/>
      </c>
      <c r="X285">
        <f>HYPERLINK("https://klasma.github.io/Logging_0360/tillsyn/A 52951-2022 tillsynsbegäran.docx", "A 52951-2022")</f>
        <v/>
      </c>
      <c r="Y285">
        <f>HYPERLINK("https://klasma.github.io/Logging_0360/tillsynsmail/A 52951-2022 tillsynsbegäran mail.docx", "A 52951-2022")</f>
        <v/>
      </c>
    </row>
    <row r="286" ht="15" customHeight="1">
      <c r="A286" t="inlineStr">
        <is>
          <t>A 4586-2023</t>
        </is>
      </c>
      <c r="B286" s="1" t="n">
        <v>44956</v>
      </c>
      <c r="C286" s="1" t="n">
        <v>45846</v>
      </c>
      <c r="D286" t="inlineStr">
        <is>
          <t>UPPSALA LÄN</t>
        </is>
      </c>
      <c r="E286" t="inlineStr">
        <is>
          <t>UPPSALA</t>
        </is>
      </c>
      <c r="G286" t="n">
        <v>12.2</v>
      </c>
      <c r="H286" t="n">
        <v>1</v>
      </c>
      <c r="I286" t="n">
        <v>2</v>
      </c>
      <c r="J286" t="n">
        <v>0</v>
      </c>
      <c r="K286" t="n">
        <v>0</v>
      </c>
      <c r="L286" t="n">
        <v>0</v>
      </c>
      <c r="M286" t="n">
        <v>0</v>
      </c>
      <c r="N286" t="n">
        <v>0</v>
      </c>
      <c r="O286" t="n">
        <v>0</v>
      </c>
      <c r="P286" t="n">
        <v>0</v>
      </c>
      <c r="Q286" t="n">
        <v>3</v>
      </c>
      <c r="R286" s="2" t="inlineStr">
        <is>
          <t>Barkticka
Vedticka
Vanlig padda</t>
        </is>
      </c>
      <c r="S286">
        <f>HYPERLINK("https://klasma.github.io/Logging_0380/artfynd/A 4586-2023 artfynd.xlsx", "A 4586-2023")</f>
        <v/>
      </c>
      <c r="T286">
        <f>HYPERLINK("https://klasma.github.io/Logging_0380/kartor/A 4586-2023 karta.png", "A 4586-2023")</f>
        <v/>
      </c>
      <c r="V286">
        <f>HYPERLINK("https://klasma.github.io/Logging_0380/klagomål/A 4586-2023 FSC-klagomål.docx", "A 4586-2023")</f>
        <v/>
      </c>
      <c r="W286">
        <f>HYPERLINK("https://klasma.github.io/Logging_0380/klagomålsmail/A 4586-2023 FSC-klagomål mail.docx", "A 4586-2023")</f>
        <v/>
      </c>
      <c r="X286">
        <f>HYPERLINK("https://klasma.github.io/Logging_0380/tillsyn/A 4586-2023 tillsynsbegäran.docx", "A 4586-2023")</f>
        <v/>
      </c>
      <c r="Y286">
        <f>HYPERLINK("https://klasma.github.io/Logging_0380/tillsynsmail/A 4586-2023 tillsynsbegäran mail.docx", "A 4586-2023")</f>
        <v/>
      </c>
    </row>
    <row r="287" ht="15" customHeight="1">
      <c r="A287" t="inlineStr">
        <is>
          <t>A 7366-2023</t>
        </is>
      </c>
      <c r="B287" s="1" t="n">
        <v>44966</v>
      </c>
      <c r="C287" s="1" t="n">
        <v>45846</v>
      </c>
      <c r="D287" t="inlineStr">
        <is>
          <t>UPPSALA LÄN</t>
        </is>
      </c>
      <c r="E287" t="inlineStr">
        <is>
          <t>TIERP</t>
        </is>
      </c>
      <c r="G287" t="n">
        <v>10.3</v>
      </c>
      <c r="H287" t="n">
        <v>2</v>
      </c>
      <c r="I287" t="n">
        <v>1</v>
      </c>
      <c r="J287" t="n">
        <v>0</v>
      </c>
      <c r="K287" t="n">
        <v>1</v>
      </c>
      <c r="L287" t="n">
        <v>0</v>
      </c>
      <c r="M287" t="n">
        <v>0</v>
      </c>
      <c r="N287" t="n">
        <v>0</v>
      </c>
      <c r="O287" t="n">
        <v>1</v>
      </c>
      <c r="P287" t="n">
        <v>1</v>
      </c>
      <c r="Q287" t="n">
        <v>3</v>
      </c>
      <c r="R287" s="2" t="inlineStr">
        <is>
          <t>Knärot
Grönpyrola
Revlummer</t>
        </is>
      </c>
      <c r="S287">
        <f>HYPERLINK("https://klasma.github.io/Logging_0360/artfynd/A 7366-2023 artfynd.xlsx", "A 7366-2023")</f>
        <v/>
      </c>
      <c r="T287">
        <f>HYPERLINK("https://klasma.github.io/Logging_0360/kartor/A 7366-2023 karta.png", "A 7366-2023")</f>
        <v/>
      </c>
      <c r="U287">
        <f>HYPERLINK("https://klasma.github.io/Logging_0360/knärot/A 7366-2023 karta knärot.png", "A 7366-2023")</f>
        <v/>
      </c>
      <c r="V287">
        <f>HYPERLINK("https://klasma.github.io/Logging_0360/klagomål/A 7366-2023 FSC-klagomål.docx", "A 7366-2023")</f>
        <v/>
      </c>
      <c r="W287">
        <f>HYPERLINK("https://klasma.github.io/Logging_0360/klagomålsmail/A 7366-2023 FSC-klagomål mail.docx", "A 7366-2023")</f>
        <v/>
      </c>
      <c r="X287">
        <f>HYPERLINK("https://klasma.github.io/Logging_0360/tillsyn/A 7366-2023 tillsynsbegäran.docx", "A 7366-2023")</f>
        <v/>
      </c>
      <c r="Y287">
        <f>HYPERLINK("https://klasma.github.io/Logging_0360/tillsynsmail/A 7366-2023 tillsynsbegäran mail.docx", "A 7366-2023")</f>
        <v/>
      </c>
    </row>
    <row r="288" ht="15" customHeight="1">
      <c r="A288" t="inlineStr">
        <is>
          <t>A 6832-2023</t>
        </is>
      </c>
      <c r="B288" s="1" t="n">
        <v>44967</v>
      </c>
      <c r="C288" s="1" t="n">
        <v>45846</v>
      </c>
      <c r="D288" t="inlineStr">
        <is>
          <t>UPPSALA LÄN</t>
        </is>
      </c>
      <c r="E288" t="inlineStr">
        <is>
          <t>ÄLVKARLEBY</t>
        </is>
      </c>
      <c r="F288" t="inlineStr">
        <is>
          <t>Bergvik skog väst AB</t>
        </is>
      </c>
      <c r="G288" t="n">
        <v>8.9</v>
      </c>
      <c r="H288" t="n">
        <v>1</v>
      </c>
      <c r="I288" t="n">
        <v>0</v>
      </c>
      <c r="J288" t="n">
        <v>1</v>
      </c>
      <c r="K288" t="n">
        <v>2</v>
      </c>
      <c r="L288" t="n">
        <v>0</v>
      </c>
      <c r="M288" t="n">
        <v>0</v>
      </c>
      <c r="N288" t="n">
        <v>0</v>
      </c>
      <c r="O288" t="n">
        <v>3</v>
      </c>
      <c r="P288" t="n">
        <v>2</v>
      </c>
      <c r="Q288" t="n">
        <v>3</v>
      </c>
      <c r="R288" s="2" t="inlineStr">
        <is>
          <t>Grangråticka
Koppartaggsvamp
Grönsångare</t>
        </is>
      </c>
      <c r="S288">
        <f>HYPERLINK("https://klasma.github.io/Logging_0319/artfynd/A 6832-2023 artfynd.xlsx", "A 6832-2023")</f>
        <v/>
      </c>
      <c r="T288">
        <f>HYPERLINK("https://klasma.github.io/Logging_0319/kartor/A 6832-2023 karta.png", "A 6832-2023")</f>
        <v/>
      </c>
      <c r="V288">
        <f>HYPERLINK("https://klasma.github.io/Logging_0319/klagomål/A 6832-2023 FSC-klagomål.docx", "A 6832-2023")</f>
        <v/>
      </c>
      <c r="W288">
        <f>HYPERLINK("https://klasma.github.io/Logging_0319/klagomålsmail/A 6832-2023 FSC-klagomål mail.docx", "A 6832-2023")</f>
        <v/>
      </c>
      <c r="X288">
        <f>HYPERLINK("https://klasma.github.io/Logging_0319/tillsyn/A 6832-2023 tillsynsbegäran.docx", "A 6832-2023")</f>
        <v/>
      </c>
      <c r="Y288">
        <f>HYPERLINK("https://klasma.github.io/Logging_0319/tillsynsmail/A 6832-2023 tillsynsbegäran mail.docx", "A 6832-2023")</f>
        <v/>
      </c>
      <c r="Z288">
        <f>HYPERLINK("https://klasma.github.io/Logging_0319/fåglar/A 6832-2023 prioriterade fågelarter.docx", "A 6832-2023")</f>
        <v/>
      </c>
    </row>
    <row r="289" ht="15" customHeight="1">
      <c r="A289" t="inlineStr">
        <is>
          <t>A 7309-2023</t>
        </is>
      </c>
      <c r="B289" s="1" t="n">
        <v>44970</v>
      </c>
      <c r="C289" s="1" t="n">
        <v>45846</v>
      </c>
      <c r="D289" t="inlineStr">
        <is>
          <t>UPPSALA LÄN</t>
        </is>
      </c>
      <c r="E289" t="inlineStr">
        <is>
          <t>TIERP</t>
        </is>
      </c>
      <c r="F289" t="inlineStr">
        <is>
          <t>Bergvik skog öst AB</t>
        </is>
      </c>
      <c r="G289" t="n">
        <v>13.7</v>
      </c>
      <c r="H289" t="n">
        <v>3</v>
      </c>
      <c r="I289" t="n">
        <v>1</v>
      </c>
      <c r="J289" t="n">
        <v>0</v>
      </c>
      <c r="K289" t="n">
        <v>0</v>
      </c>
      <c r="L289" t="n">
        <v>0</v>
      </c>
      <c r="M289" t="n">
        <v>0</v>
      </c>
      <c r="N289" t="n">
        <v>0</v>
      </c>
      <c r="O289" t="n">
        <v>0</v>
      </c>
      <c r="P289" t="n">
        <v>0</v>
      </c>
      <c r="Q289" t="n">
        <v>3</v>
      </c>
      <c r="R289" s="2" t="inlineStr">
        <is>
          <t>Skogsknipprot
Blåsippa
Revlummer</t>
        </is>
      </c>
      <c r="S289">
        <f>HYPERLINK("https://klasma.github.io/Logging_0360/artfynd/A 7309-2023 artfynd.xlsx", "A 7309-2023")</f>
        <v/>
      </c>
      <c r="T289">
        <f>HYPERLINK("https://klasma.github.io/Logging_0360/kartor/A 7309-2023 karta.png", "A 7309-2023")</f>
        <v/>
      </c>
      <c r="V289">
        <f>HYPERLINK("https://klasma.github.io/Logging_0360/klagomål/A 7309-2023 FSC-klagomål.docx", "A 7309-2023")</f>
        <v/>
      </c>
      <c r="W289">
        <f>HYPERLINK("https://klasma.github.io/Logging_0360/klagomålsmail/A 7309-2023 FSC-klagomål mail.docx", "A 7309-2023")</f>
        <v/>
      </c>
      <c r="X289">
        <f>HYPERLINK("https://klasma.github.io/Logging_0360/tillsyn/A 7309-2023 tillsynsbegäran.docx", "A 7309-2023")</f>
        <v/>
      </c>
      <c r="Y289">
        <f>HYPERLINK("https://klasma.github.io/Logging_0360/tillsynsmail/A 7309-2023 tillsynsbegäran mail.docx", "A 7309-2023")</f>
        <v/>
      </c>
    </row>
    <row r="290" ht="15" customHeight="1">
      <c r="A290" t="inlineStr">
        <is>
          <t>A 7752-2023</t>
        </is>
      </c>
      <c r="B290" s="1" t="n">
        <v>44973</v>
      </c>
      <c r="C290" s="1" t="n">
        <v>45846</v>
      </c>
      <c r="D290" t="inlineStr">
        <is>
          <t>UPPSALA LÄN</t>
        </is>
      </c>
      <c r="E290" t="inlineStr">
        <is>
          <t>UPPSALA</t>
        </is>
      </c>
      <c r="F290" t="inlineStr">
        <is>
          <t>Sveaskog</t>
        </is>
      </c>
      <c r="G290" t="n">
        <v>0.6</v>
      </c>
      <c r="H290" t="n">
        <v>1</v>
      </c>
      <c r="I290" t="n">
        <v>2</v>
      </c>
      <c r="J290" t="n">
        <v>0</v>
      </c>
      <c r="K290" t="n">
        <v>0</v>
      </c>
      <c r="L290" t="n">
        <v>0</v>
      </c>
      <c r="M290" t="n">
        <v>0</v>
      </c>
      <c r="N290" t="n">
        <v>0</v>
      </c>
      <c r="O290" t="n">
        <v>0</v>
      </c>
      <c r="P290" t="n">
        <v>0</v>
      </c>
      <c r="Q290" t="n">
        <v>3</v>
      </c>
      <c r="R290" s="2" t="inlineStr">
        <is>
          <t>Fjällig taggsvamp s.str.
Skogshakmossa
Blåsippa</t>
        </is>
      </c>
      <c r="S290">
        <f>HYPERLINK("https://klasma.github.io/Logging_0380/artfynd/A 7752-2023 artfynd.xlsx", "A 7752-2023")</f>
        <v/>
      </c>
      <c r="T290">
        <f>HYPERLINK("https://klasma.github.io/Logging_0380/kartor/A 7752-2023 karta.png", "A 7752-2023")</f>
        <v/>
      </c>
      <c r="V290">
        <f>HYPERLINK("https://klasma.github.io/Logging_0380/klagomål/A 7752-2023 FSC-klagomål.docx", "A 7752-2023")</f>
        <v/>
      </c>
      <c r="W290">
        <f>HYPERLINK("https://klasma.github.io/Logging_0380/klagomålsmail/A 7752-2023 FSC-klagomål mail.docx", "A 7752-2023")</f>
        <v/>
      </c>
      <c r="X290">
        <f>HYPERLINK("https://klasma.github.io/Logging_0380/tillsyn/A 7752-2023 tillsynsbegäran.docx", "A 7752-2023")</f>
        <v/>
      </c>
      <c r="Y290">
        <f>HYPERLINK("https://klasma.github.io/Logging_0380/tillsynsmail/A 7752-2023 tillsynsbegäran mail.docx", "A 7752-2023")</f>
        <v/>
      </c>
    </row>
    <row r="291" ht="15" customHeight="1">
      <c r="A291" t="inlineStr">
        <is>
          <t>A 9706-2023</t>
        </is>
      </c>
      <c r="B291" s="1" t="n">
        <v>44984</v>
      </c>
      <c r="C291" s="1" t="n">
        <v>45846</v>
      </c>
      <c r="D291" t="inlineStr">
        <is>
          <t>UPPSALA LÄN</t>
        </is>
      </c>
      <c r="E291" t="inlineStr">
        <is>
          <t>TIERP</t>
        </is>
      </c>
      <c r="F291" t="inlineStr">
        <is>
          <t>Bergvik skog öst AB</t>
        </is>
      </c>
      <c r="G291" t="n">
        <v>12.2</v>
      </c>
      <c r="H291" t="n">
        <v>1</v>
      </c>
      <c r="I291" t="n">
        <v>2</v>
      </c>
      <c r="J291" t="n">
        <v>1</v>
      </c>
      <c r="K291" t="n">
        <v>0</v>
      </c>
      <c r="L291" t="n">
        <v>0</v>
      </c>
      <c r="M291" t="n">
        <v>0</v>
      </c>
      <c r="N291" t="n">
        <v>0</v>
      </c>
      <c r="O291" t="n">
        <v>1</v>
      </c>
      <c r="P291" t="n">
        <v>0</v>
      </c>
      <c r="Q291" t="n">
        <v>3</v>
      </c>
      <c r="R291" s="2" t="inlineStr">
        <is>
          <t>Klasefibbla
Rödgul trumpetsvamp
Skogsknipprot</t>
        </is>
      </c>
      <c r="S291">
        <f>HYPERLINK("https://klasma.github.io/Logging_0360/artfynd/A 9706-2023 artfynd.xlsx", "A 9706-2023")</f>
        <v/>
      </c>
      <c r="T291">
        <f>HYPERLINK("https://klasma.github.io/Logging_0360/kartor/A 9706-2023 karta.png", "A 9706-2023")</f>
        <v/>
      </c>
      <c r="V291">
        <f>HYPERLINK("https://klasma.github.io/Logging_0360/klagomål/A 9706-2023 FSC-klagomål.docx", "A 9706-2023")</f>
        <v/>
      </c>
      <c r="W291">
        <f>HYPERLINK("https://klasma.github.io/Logging_0360/klagomålsmail/A 9706-2023 FSC-klagomål mail.docx", "A 9706-2023")</f>
        <v/>
      </c>
      <c r="X291">
        <f>HYPERLINK("https://klasma.github.io/Logging_0360/tillsyn/A 9706-2023 tillsynsbegäran.docx", "A 9706-2023")</f>
        <v/>
      </c>
      <c r="Y291">
        <f>HYPERLINK("https://klasma.github.io/Logging_0360/tillsynsmail/A 9706-2023 tillsynsbegäran mail.docx", "A 9706-2023")</f>
        <v/>
      </c>
    </row>
    <row r="292" ht="15" customHeight="1">
      <c r="A292" t="inlineStr">
        <is>
          <t>A 9683-2023</t>
        </is>
      </c>
      <c r="B292" s="1" t="n">
        <v>44984</v>
      </c>
      <c r="C292" s="1" t="n">
        <v>45846</v>
      </c>
      <c r="D292" t="inlineStr">
        <is>
          <t>UPPSALA LÄN</t>
        </is>
      </c>
      <c r="E292" t="inlineStr">
        <is>
          <t>ÖSTHAMMAR</t>
        </is>
      </c>
      <c r="G292" t="n">
        <v>4</v>
      </c>
      <c r="H292" t="n">
        <v>3</v>
      </c>
      <c r="I292" t="n">
        <v>1</v>
      </c>
      <c r="J292" t="n">
        <v>0</v>
      </c>
      <c r="K292" t="n">
        <v>0</v>
      </c>
      <c r="L292" t="n">
        <v>0</v>
      </c>
      <c r="M292" t="n">
        <v>0</v>
      </c>
      <c r="N292" t="n">
        <v>0</v>
      </c>
      <c r="O292" t="n">
        <v>0</v>
      </c>
      <c r="P292" t="n">
        <v>0</v>
      </c>
      <c r="Q292" t="n">
        <v>3</v>
      </c>
      <c r="R292" s="2" t="inlineStr">
        <is>
          <t>Tvåblad
Blåsippa
Gullviva</t>
        </is>
      </c>
      <c r="S292">
        <f>HYPERLINK("https://klasma.github.io/Logging_0382/artfynd/A 9683-2023 artfynd.xlsx", "A 9683-2023")</f>
        <v/>
      </c>
      <c r="T292">
        <f>HYPERLINK("https://klasma.github.io/Logging_0382/kartor/A 9683-2023 karta.png", "A 9683-2023")</f>
        <v/>
      </c>
      <c r="V292">
        <f>HYPERLINK("https://klasma.github.io/Logging_0382/klagomål/A 9683-2023 FSC-klagomål.docx", "A 9683-2023")</f>
        <v/>
      </c>
      <c r="W292">
        <f>HYPERLINK("https://klasma.github.io/Logging_0382/klagomålsmail/A 9683-2023 FSC-klagomål mail.docx", "A 9683-2023")</f>
        <v/>
      </c>
      <c r="X292">
        <f>HYPERLINK("https://klasma.github.io/Logging_0382/tillsyn/A 9683-2023 tillsynsbegäran.docx", "A 9683-2023")</f>
        <v/>
      </c>
      <c r="Y292">
        <f>HYPERLINK("https://klasma.github.io/Logging_0382/tillsynsmail/A 9683-2023 tillsynsbegäran mail.docx", "A 9683-2023")</f>
        <v/>
      </c>
    </row>
    <row r="293" ht="15" customHeight="1">
      <c r="A293" t="inlineStr">
        <is>
          <t>A 12485-2023</t>
        </is>
      </c>
      <c r="B293" s="1" t="n">
        <v>44998</v>
      </c>
      <c r="C293" s="1" t="n">
        <v>45846</v>
      </c>
      <c r="D293" t="inlineStr">
        <is>
          <t>UPPSALA LÄN</t>
        </is>
      </c>
      <c r="E293" t="inlineStr">
        <is>
          <t>ÖSTHAMMAR</t>
        </is>
      </c>
      <c r="G293" t="n">
        <v>4.3</v>
      </c>
      <c r="H293" t="n">
        <v>0</v>
      </c>
      <c r="I293" t="n">
        <v>0</v>
      </c>
      <c r="J293" t="n">
        <v>3</v>
      </c>
      <c r="K293" t="n">
        <v>0</v>
      </c>
      <c r="L293" t="n">
        <v>0</v>
      </c>
      <c r="M293" t="n">
        <v>0</v>
      </c>
      <c r="N293" t="n">
        <v>0</v>
      </c>
      <c r="O293" t="n">
        <v>3</v>
      </c>
      <c r="P293" t="n">
        <v>0</v>
      </c>
      <c r="Q293" t="n">
        <v>3</v>
      </c>
      <c r="R293" s="2" t="inlineStr">
        <is>
          <t>Backklöver
Slåtterfibbla
Solvända</t>
        </is>
      </c>
      <c r="S293">
        <f>HYPERLINK("https://klasma.github.io/Logging_0382/artfynd/A 12485-2023 artfynd.xlsx", "A 12485-2023")</f>
        <v/>
      </c>
      <c r="T293">
        <f>HYPERLINK("https://klasma.github.io/Logging_0382/kartor/A 12485-2023 karta.png", "A 12485-2023")</f>
        <v/>
      </c>
      <c r="V293">
        <f>HYPERLINK("https://klasma.github.io/Logging_0382/klagomål/A 12485-2023 FSC-klagomål.docx", "A 12485-2023")</f>
        <v/>
      </c>
      <c r="W293">
        <f>HYPERLINK("https://klasma.github.io/Logging_0382/klagomålsmail/A 12485-2023 FSC-klagomål mail.docx", "A 12485-2023")</f>
        <v/>
      </c>
      <c r="X293">
        <f>HYPERLINK("https://klasma.github.io/Logging_0382/tillsyn/A 12485-2023 tillsynsbegäran.docx", "A 12485-2023")</f>
        <v/>
      </c>
      <c r="Y293">
        <f>HYPERLINK("https://klasma.github.io/Logging_0382/tillsynsmail/A 12485-2023 tillsynsbegäran mail.docx", "A 12485-2023")</f>
        <v/>
      </c>
    </row>
    <row r="294" ht="15" customHeight="1">
      <c r="A294" t="inlineStr">
        <is>
          <t>A 13120-2023</t>
        </is>
      </c>
      <c r="B294" s="1" t="n">
        <v>45002</v>
      </c>
      <c r="C294" s="1" t="n">
        <v>45846</v>
      </c>
      <c r="D294" t="inlineStr">
        <is>
          <t>UPPSALA LÄN</t>
        </is>
      </c>
      <c r="E294" t="inlineStr">
        <is>
          <t>ÖSTHAMMAR</t>
        </is>
      </c>
      <c r="G294" t="n">
        <v>5.8</v>
      </c>
      <c r="H294" t="n">
        <v>0</v>
      </c>
      <c r="I294" t="n">
        <v>3</v>
      </c>
      <c r="J294" t="n">
        <v>0</v>
      </c>
      <c r="K294" t="n">
        <v>0</v>
      </c>
      <c r="L294" t="n">
        <v>0</v>
      </c>
      <c r="M294" t="n">
        <v>0</v>
      </c>
      <c r="N294" t="n">
        <v>0</v>
      </c>
      <c r="O294" t="n">
        <v>0</v>
      </c>
      <c r="P294" t="n">
        <v>0</v>
      </c>
      <c r="Q294" t="n">
        <v>3</v>
      </c>
      <c r="R294" s="2" t="inlineStr">
        <is>
          <t>Anisspindling
Olivspindling
Rödgul trumpetsvamp</t>
        </is>
      </c>
      <c r="S294">
        <f>HYPERLINK("https://klasma.github.io/Logging_0382/artfynd/A 13120-2023 artfynd.xlsx", "A 13120-2023")</f>
        <v/>
      </c>
      <c r="T294">
        <f>HYPERLINK("https://klasma.github.io/Logging_0382/kartor/A 13120-2023 karta.png", "A 13120-2023")</f>
        <v/>
      </c>
      <c r="V294">
        <f>HYPERLINK("https://klasma.github.io/Logging_0382/klagomål/A 13120-2023 FSC-klagomål.docx", "A 13120-2023")</f>
        <v/>
      </c>
      <c r="W294">
        <f>HYPERLINK("https://klasma.github.io/Logging_0382/klagomålsmail/A 13120-2023 FSC-klagomål mail.docx", "A 13120-2023")</f>
        <v/>
      </c>
      <c r="X294">
        <f>HYPERLINK("https://klasma.github.io/Logging_0382/tillsyn/A 13120-2023 tillsynsbegäran.docx", "A 13120-2023")</f>
        <v/>
      </c>
      <c r="Y294">
        <f>HYPERLINK("https://klasma.github.io/Logging_0382/tillsynsmail/A 13120-2023 tillsynsbegäran mail.docx", "A 13120-2023")</f>
        <v/>
      </c>
    </row>
    <row r="295" ht="15" customHeight="1">
      <c r="A295" t="inlineStr">
        <is>
          <t>A 15179-2023</t>
        </is>
      </c>
      <c r="B295" s="1" t="n">
        <v>45016</v>
      </c>
      <c r="C295" s="1" t="n">
        <v>45846</v>
      </c>
      <c r="D295" t="inlineStr">
        <is>
          <t>UPPSALA LÄN</t>
        </is>
      </c>
      <c r="E295" t="inlineStr">
        <is>
          <t>ÖSTHAMMAR</t>
        </is>
      </c>
      <c r="G295" t="n">
        <v>6.1</v>
      </c>
      <c r="H295" t="n">
        <v>1</v>
      </c>
      <c r="I295" t="n">
        <v>3</v>
      </c>
      <c r="J295" t="n">
        <v>0</v>
      </c>
      <c r="K295" t="n">
        <v>0</v>
      </c>
      <c r="L295" t="n">
        <v>0</v>
      </c>
      <c r="M295" t="n">
        <v>0</v>
      </c>
      <c r="N295" t="n">
        <v>0</v>
      </c>
      <c r="O295" t="n">
        <v>0</v>
      </c>
      <c r="P295" t="n">
        <v>0</v>
      </c>
      <c r="Q295" t="n">
        <v>3</v>
      </c>
      <c r="R295" s="2" t="inlineStr">
        <is>
          <t>Skogsknipprot
Tibast
Vårärt</t>
        </is>
      </c>
      <c r="S295">
        <f>HYPERLINK("https://klasma.github.io/Logging_0382/artfynd/A 15179-2023 artfynd.xlsx", "A 15179-2023")</f>
        <v/>
      </c>
      <c r="T295">
        <f>HYPERLINK("https://klasma.github.io/Logging_0382/kartor/A 15179-2023 karta.png", "A 15179-2023")</f>
        <v/>
      </c>
      <c r="V295">
        <f>HYPERLINK("https://klasma.github.io/Logging_0382/klagomål/A 15179-2023 FSC-klagomål.docx", "A 15179-2023")</f>
        <v/>
      </c>
      <c r="W295">
        <f>HYPERLINK("https://klasma.github.io/Logging_0382/klagomålsmail/A 15179-2023 FSC-klagomål mail.docx", "A 15179-2023")</f>
        <v/>
      </c>
      <c r="X295">
        <f>HYPERLINK("https://klasma.github.io/Logging_0382/tillsyn/A 15179-2023 tillsynsbegäran.docx", "A 15179-2023")</f>
        <v/>
      </c>
      <c r="Y295">
        <f>HYPERLINK("https://klasma.github.io/Logging_0382/tillsynsmail/A 15179-2023 tillsynsbegäran mail.docx", "A 15179-2023")</f>
        <v/>
      </c>
    </row>
    <row r="296" ht="15" customHeight="1">
      <c r="A296" t="inlineStr">
        <is>
          <t>A 19884-2023</t>
        </is>
      </c>
      <c r="B296" s="1" t="n">
        <v>45054</v>
      </c>
      <c r="C296" s="1" t="n">
        <v>45846</v>
      </c>
      <c r="D296" t="inlineStr">
        <is>
          <t>UPPSALA LÄN</t>
        </is>
      </c>
      <c r="E296" t="inlineStr">
        <is>
          <t>ÖSTHAMMAR</t>
        </is>
      </c>
      <c r="G296" t="n">
        <v>2.5</v>
      </c>
      <c r="H296" t="n">
        <v>3</v>
      </c>
      <c r="I296" t="n">
        <v>0</v>
      </c>
      <c r="J296" t="n">
        <v>2</v>
      </c>
      <c r="K296" t="n">
        <v>0</v>
      </c>
      <c r="L296" t="n">
        <v>1</v>
      </c>
      <c r="M296" t="n">
        <v>0</v>
      </c>
      <c r="N296" t="n">
        <v>0</v>
      </c>
      <c r="O296" t="n">
        <v>3</v>
      </c>
      <c r="P296" t="n">
        <v>1</v>
      </c>
      <c r="Q296" t="n">
        <v>3</v>
      </c>
      <c r="R296" s="2" t="inlineStr">
        <is>
          <t>Grönfink
Grönsångare
Rödvingetrast</t>
        </is>
      </c>
      <c r="S296">
        <f>HYPERLINK("https://klasma.github.io/Logging_0382/artfynd/A 19884-2023 artfynd.xlsx", "A 19884-2023")</f>
        <v/>
      </c>
      <c r="T296">
        <f>HYPERLINK("https://klasma.github.io/Logging_0382/kartor/A 19884-2023 karta.png", "A 19884-2023")</f>
        <v/>
      </c>
      <c r="V296">
        <f>HYPERLINK("https://klasma.github.io/Logging_0382/klagomål/A 19884-2023 FSC-klagomål.docx", "A 19884-2023")</f>
        <v/>
      </c>
      <c r="W296">
        <f>HYPERLINK("https://klasma.github.io/Logging_0382/klagomålsmail/A 19884-2023 FSC-klagomål mail.docx", "A 19884-2023")</f>
        <v/>
      </c>
      <c r="X296">
        <f>HYPERLINK("https://klasma.github.io/Logging_0382/tillsyn/A 19884-2023 tillsynsbegäran.docx", "A 19884-2023")</f>
        <v/>
      </c>
      <c r="Y296">
        <f>HYPERLINK("https://klasma.github.io/Logging_0382/tillsynsmail/A 19884-2023 tillsynsbegäran mail.docx", "A 19884-2023")</f>
        <v/>
      </c>
      <c r="Z296">
        <f>HYPERLINK("https://klasma.github.io/Logging_0382/fåglar/A 19884-2023 prioriterade fågelarter.docx", "A 19884-2023")</f>
        <v/>
      </c>
    </row>
    <row r="297" ht="15" customHeight="1">
      <c r="A297" t="inlineStr">
        <is>
          <t>A 20115-2023</t>
        </is>
      </c>
      <c r="B297" s="1" t="n">
        <v>45055</v>
      </c>
      <c r="C297" s="1" t="n">
        <v>45846</v>
      </c>
      <c r="D297" t="inlineStr">
        <is>
          <t>UPPSALA LÄN</t>
        </is>
      </c>
      <c r="E297" t="inlineStr">
        <is>
          <t>ÖSTHAMMAR</t>
        </is>
      </c>
      <c r="G297" t="n">
        <v>13.4</v>
      </c>
      <c r="H297" t="n">
        <v>0</v>
      </c>
      <c r="I297" t="n">
        <v>0</v>
      </c>
      <c r="J297" t="n">
        <v>3</v>
      </c>
      <c r="K297" t="n">
        <v>0</v>
      </c>
      <c r="L297" t="n">
        <v>0</v>
      </c>
      <c r="M297" t="n">
        <v>0</v>
      </c>
      <c r="N297" t="n">
        <v>0</v>
      </c>
      <c r="O297" t="n">
        <v>3</v>
      </c>
      <c r="P297" t="n">
        <v>0</v>
      </c>
      <c r="Q297" t="n">
        <v>3</v>
      </c>
      <c r="R297" s="2" t="inlineStr">
        <is>
          <t>Grantaggsvamp
Leopardsköldbagge
Orange taggsvamp</t>
        </is>
      </c>
      <c r="S297">
        <f>HYPERLINK("https://klasma.github.io/Logging_0382/artfynd/A 20115-2023 artfynd.xlsx", "A 20115-2023")</f>
        <v/>
      </c>
      <c r="T297">
        <f>HYPERLINK("https://klasma.github.io/Logging_0382/kartor/A 20115-2023 karta.png", "A 20115-2023")</f>
        <v/>
      </c>
      <c r="U297">
        <f>HYPERLINK("https://klasma.github.io/Logging_0382/knärot/A 20115-2023 karta knärot.png", "A 20115-2023")</f>
        <v/>
      </c>
      <c r="V297">
        <f>HYPERLINK("https://klasma.github.io/Logging_0382/klagomål/A 20115-2023 FSC-klagomål.docx", "A 20115-2023")</f>
        <v/>
      </c>
      <c r="W297">
        <f>HYPERLINK("https://klasma.github.io/Logging_0382/klagomålsmail/A 20115-2023 FSC-klagomål mail.docx", "A 20115-2023")</f>
        <v/>
      </c>
      <c r="X297">
        <f>HYPERLINK("https://klasma.github.io/Logging_0382/tillsyn/A 20115-2023 tillsynsbegäran.docx", "A 20115-2023")</f>
        <v/>
      </c>
      <c r="Y297">
        <f>HYPERLINK("https://klasma.github.io/Logging_0382/tillsynsmail/A 20115-2023 tillsynsbegäran mail.docx", "A 20115-2023")</f>
        <v/>
      </c>
    </row>
    <row r="298" ht="15" customHeight="1">
      <c r="A298" t="inlineStr">
        <is>
          <t>A 25724-2023</t>
        </is>
      </c>
      <c r="B298" s="1" t="n">
        <v>45090</v>
      </c>
      <c r="C298" s="1" t="n">
        <v>45846</v>
      </c>
      <c r="D298" t="inlineStr">
        <is>
          <t>UPPSALA LÄN</t>
        </is>
      </c>
      <c r="E298" t="inlineStr">
        <is>
          <t>ÄLVKARLEBY</t>
        </is>
      </c>
      <c r="F298" t="inlineStr">
        <is>
          <t>Bergvik skog väst AB</t>
        </is>
      </c>
      <c r="G298" t="n">
        <v>18.6</v>
      </c>
      <c r="H298" t="n">
        <v>1</v>
      </c>
      <c r="I298" t="n">
        <v>2</v>
      </c>
      <c r="J298" t="n">
        <v>0</v>
      </c>
      <c r="K298" t="n">
        <v>1</v>
      </c>
      <c r="L298" t="n">
        <v>0</v>
      </c>
      <c r="M298" t="n">
        <v>0</v>
      </c>
      <c r="N298" t="n">
        <v>0</v>
      </c>
      <c r="O298" t="n">
        <v>1</v>
      </c>
      <c r="P298" t="n">
        <v>1</v>
      </c>
      <c r="Q298" t="n">
        <v>3</v>
      </c>
      <c r="R298" s="2" t="inlineStr">
        <is>
          <t>Väddnätfjäril
Anisspindling
Tibast</t>
        </is>
      </c>
      <c r="S298">
        <f>HYPERLINK("https://klasma.github.io/Logging_0319/artfynd/A 25724-2023 artfynd.xlsx", "A 25724-2023")</f>
        <v/>
      </c>
      <c r="T298">
        <f>HYPERLINK("https://klasma.github.io/Logging_0319/kartor/A 25724-2023 karta.png", "A 25724-2023")</f>
        <v/>
      </c>
      <c r="V298">
        <f>HYPERLINK("https://klasma.github.io/Logging_0319/klagomål/A 25724-2023 FSC-klagomål.docx", "A 25724-2023")</f>
        <v/>
      </c>
      <c r="W298">
        <f>HYPERLINK("https://klasma.github.io/Logging_0319/klagomålsmail/A 25724-2023 FSC-klagomål mail.docx", "A 25724-2023")</f>
        <v/>
      </c>
      <c r="X298">
        <f>HYPERLINK("https://klasma.github.io/Logging_0319/tillsyn/A 25724-2023 tillsynsbegäran.docx", "A 25724-2023")</f>
        <v/>
      </c>
      <c r="Y298">
        <f>HYPERLINK("https://klasma.github.io/Logging_0319/tillsynsmail/A 25724-2023 tillsynsbegäran mail.docx", "A 25724-2023")</f>
        <v/>
      </c>
    </row>
    <row r="299" ht="15" customHeight="1">
      <c r="A299" t="inlineStr">
        <is>
          <t>A 25943-2023</t>
        </is>
      </c>
      <c r="B299" s="1" t="n">
        <v>45090</v>
      </c>
      <c r="C299" s="1" t="n">
        <v>45846</v>
      </c>
      <c r="D299" t="inlineStr">
        <is>
          <t>UPPSALA LÄN</t>
        </is>
      </c>
      <c r="E299" t="inlineStr">
        <is>
          <t>UPPSALA</t>
        </is>
      </c>
      <c r="F299" t="inlineStr">
        <is>
          <t>Holmen skog AB</t>
        </is>
      </c>
      <c r="G299" t="n">
        <v>2.7</v>
      </c>
      <c r="H299" t="n">
        <v>1</v>
      </c>
      <c r="I299" t="n">
        <v>1</v>
      </c>
      <c r="J299" t="n">
        <v>2</v>
      </c>
      <c r="K299" t="n">
        <v>0</v>
      </c>
      <c r="L299" t="n">
        <v>0</v>
      </c>
      <c r="M299" t="n">
        <v>0</v>
      </c>
      <c r="N299" t="n">
        <v>0</v>
      </c>
      <c r="O299" t="n">
        <v>2</v>
      </c>
      <c r="P299" t="n">
        <v>0</v>
      </c>
      <c r="Q299" t="n">
        <v>3</v>
      </c>
      <c r="R299" s="2" t="inlineStr">
        <is>
          <t>Mindre hackspett
Vedtrappmossa
Vedticka</t>
        </is>
      </c>
      <c r="S299">
        <f>HYPERLINK("https://klasma.github.io/Logging_0380/artfynd/A 25943-2023 artfynd.xlsx", "A 25943-2023")</f>
        <v/>
      </c>
      <c r="T299">
        <f>HYPERLINK("https://klasma.github.io/Logging_0380/kartor/A 25943-2023 karta.png", "A 25943-2023")</f>
        <v/>
      </c>
      <c r="V299">
        <f>HYPERLINK("https://klasma.github.io/Logging_0380/klagomål/A 25943-2023 FSC-klagomål.docx", "A 25943-2023")</f>
        <v/>
      </c>
      <c r="W299">
        <f>HYPERLINK("https://klasma.github.io/Logging_0380/klagomålsmail/A 25943-2023 FSC-klagomål mail.docx", "A 25943-2023")</f>
        <v/>
      </c>
      <c r="X299">
        <f>HYPERLINK("https://klasma.github.io/Logging_0380/tillsyn/A 25943-2023 tillsynsbegäran.docx", "A 25943-2023")</f>
        <v/>
      </c>
      <c r="Y299">
        <f>HYPERLINK("https://klasma.github.io/Logging_0380/tillsynsmail/A 25943-2023 tillsynsbegäran mail.docx", "A 25943-2023")</f>
        <v/>
      </c>
      <c r="Z299">
        <f>HYPERLINK("https://klasma.github.io/Logging_0380/fåglar/A 25943-2023 prioriterade fågelarter.docx", "A 25943-2023")</f>
        <v/>
      </c>
    </row>
    <row r="300" ht="15" customHeight="1">
      <c r="A300" t="inlineStr">
        <is>
          <t>A 31552-2023</t>
        </is>
      </c>
      <c r="B300" s="1" t="n">
        <v>45104</v>
      </c>
      <c r="C300" s="1" t="n">
        <v>45846</v>
      </c>
      <c r="D300" t="inlineStr">
        <is>
          <t>UPPSALA LÄN</t>
        </is>
      </c>
      <c r="E300" t="inlineStr">
        <is>
          <t>ENKÖPING</t>
        </is>
      </c>
      <c r="G300" t="n">
        <v>2.6</v>
      </c>
      <c r="H300" t="n">
        <v>1</v>
      </c>
      <c r="I300" t="n">
        <v>1</v>
      </c>
      <c r="J300" t="n">
        <v>1</v>
      </c>
      <c r="K300" t="n">
        <v>1</v>
      </c>
      <c r="L300" t="n">
        <v>0</v>
      </c>
      <c r="M300" t="n">
        <v>0</v>
      </c>
      <c r="N300" t="n">
        <v>0</v>
      </c>
      <c r="O300" t="n">
        <v>2</v>
      </c>
      <c r="P300" t="n">
        <v>1</v>
      </c>
      <c r="Q300" t="n">
        <v>3</v>
      </c>
      <c r="R300" s="2" t="inlineStr">
        <is>
          <t>Bombmurkla
Fyrflikig jordstjärna
Grönpyrola</t>
        </is>
      </c>
      <c r="S300">
        <f>HYPERLINK("https://klasma.github.io/Logging_0381/artfynd/A 31552-2023 artfynd.xlsx", "A 31552-2023")</f>
        <v/>
      </c>
      <c r="T300">
        <f>HYPERLINK("https://klasma.github.io/Logging_0381/kartor/A 31552-2023 karta.png", "A 31552-2023")</f>
        <v/>
      </c>
      <c r="V300">
        <f>HYPERLINK("https://klasma.github.io/Logging_0381/klagomål/A 31552-2023 FSC-klagomål.docx", "A 31552-2023")</f>
        <v/>
      </c>
      <c r="W300">
        <f>HYPERLINK("https://klasma.github.io/Logging_0381/klagomålsmail/A 31552-2023 FSC-klagomål mail.docx", "A 31552-2023")</f>
        <v/>
      </c>
      <c r="X300">
        <f>HYPERLINK("https://klasma.github.io/Logging_0381/tillsyn/A 31552-2023 tillsynsbegäran.docx", "A 31552-2023")</f>
        <v/>
      </c>
      <c r="Y300">
        <f>HYPERLINK("https://klasma.github.io/Logging_0381/tillsynsmail/A 31552-2023 tillsynsbegäran mail.docx", "A 31552-2023")</f>
        <v/>
      </c>
    </row>
    <row r="301" ht="15" customHeight="1">
      <c r="A301" t="inlineStr">
        <is>
          <t>A 36531-2023</t>
        </is>
      </c>
      <c r="B301" s="1" t="n">
        <v>45153</v>
      </c>
      <c r="C301" s="1" t="n">
        <v>45846</v>
      </c>
      <c r="D301" t="inlineStr">
        <is>
          <t>UPPSALA LÄN</t>
        </is>
      </c>
      <c r="E301" t="inlineStr">
        <is>
          <t>HEBY</t>
        </is>
      </c>
      <c r="G301" t="n">
        <v>4.8</v>
      </c>
      <c r="H301" t="n">
        <v>0</v>
      </c>
      <c r="I301" t="n">
        <v>0</v>
      </c>
      <c r="J301" t="n">
        <v>2</v>
      </c>
      <c r="K301" t="n">
        <v>1</v>
      </c>
      <c r="L301" t="n">
        <v>0</v>
      </c>
      <c r="M301" t="n">
        <v>0</v>
      </c>
      <c r="N301" t="n">
        <v>0</v>
      </c>
      <c r="O301" t="n">
        <v>3</v>
      </c>
      <c r="P301" t="n">
        <v>1</v>
      </c>
      <c r="Q301" t="n">
        <v>3</v>
      </c>
      <c r="R301" s="2" t="inlineStr">
        <is>
          <t>Lammticka
Motaggsvamp
Skrovlig taggsvamp</t>
        </is>
      </c>
      <c r="S301">
        <f>HYPERLINK("https://klasma.github.io/Logging_0331/artfynd/A 36531-2023 artfynd.xlsx", "A 36531-2023")</f>
        <v/>
      </c>
      <c r="T301">
        <f>HYPERLINK("https://klasma.github.io/Logging_0331/kartor/A 36531-2023 karta.png", "A 36531-2023")</f>
        <v/>
      </c>
      <c r="V301">
        <f>HYPERLINK("https://klasma.github.io/Logging_0331/klagomål/A 36531-2023 FSC-klagomål.docx", "A 36531-2023")</f>
        <v/>
      </c>
      <c r="W301">
        <f>HYPERLINK("https://klasma.github.io/Logging_0331/klagomålsmail/A 36531-2023 FSC-klagomål mail.docx", "A 36531-2023")</f>
        <v/>
      </c>
      <c r="X301">
        <f>HYPERLINK("https://klasma.github.io/Logging_0331/tillsyn/A 36531-2023 tillsynsbegäran.docx", "A 36531-2023")</f>
        <v/>
      </c>
      <c r="Y301">
        <f>HYPERLINK("https://klasma.github.io/Logging_0331/tillsynsmail/A 36531-2023 tillsynsbegäran mail.docx", "A 36531-2023")</f>
        <v/>
      </c>
    </row>
    <row r="302" ht="15" customHeight="1">
      <c r="A302" t="inlineStr">
        <is>
          <t>A 37417-2023</t>
        </is>
      </c>
      <c r="B302" s="1" t="n">
        <v>45155</v>
      </c>
      <c r="C302" s="1" t="n">
        <v>45846</v>
      </c>
      <c r="D302" t="inlineStr">
        <is>
          <t>UPPSALA LÄN</t>
        </is>
      </c>
      <c r="E302" t="inlineStr">
        <is>
          <t>HÅBO</t>
        </is>
      </c>
      <c r="G302" t="n">
        <v>12.9</v>
      </c>
      <c r="H302" t="n">
        <v>2</v>
      </c>
      <c r="I302" t="n">
        <v>0</v>
      </c>
      <c r="J302" t="n">
        <v>1</v>
      </c>
      <c r="K302" t="n">
        <v>1</v>
      </c>
      <c r="L302" t="n">
        <v>0</v>
      </c>
      <c r="M302" t="n">
        <v>0</v>
      </c>
      <c r="N302" t="n">
        <v>0</v>
      </c>
      <c r="O302" t="n">
        <v>2</v>
      </c>
      <c r="P302" t="n">
        <v>1</v>
      </c>
      <c r="Q302" t="n">
        <v>3</v>
      </c>
      <c r="R302" s="2" t="inlineStr">
        <is>
          <t>Knärot
Ullticka
Blåsippa</t>
        </is>
      </c>
      <c r="S302">
        <f>HYPERLINK("https://klasma.github.io/Logging_0305/artfynd/A 37417-2023 artfynd.xlsx", "A 37417-2023")</f>
        <v/>
      </c>
      <c r="T302">
        <f>HYPERLINK("https://klasma.github.io/Logging_0305/kartor/A 37417-2023 karta.png", "A 37417-2023")</f>
        <v/>
      </c>
      <c r="U302">
        <f>HYPERLINK("https://klasma.github.io/Logging_0305/knärot/A 37417-2023 karta knärot.png", "A 37417-2023")</f>
        <v/>
      </c>
      <c r="V302">
        <f>HYPERLINK("https://klasma.github.io/Logging_0305/klagomål/A 37417-2023 FSC-klagomål.docx", "A 37417-2023")</f>
        <v/>
      </c>
      <c r="W302">
        <f>HYPERLINK("https://klasma.github.io/Logging_0305/klagomålsmail/A 37417-2023 FSC-klagomål mail.docx", "A 37417-2023")</f>
        <v/>
      </c>
      <c r="X302">
        <f>HYPERLINK("https://klasma.github.io/Logging_0305/tillsyn/A 37417-2023 tillsynsbegäran.docx", "A 37417-2023")</f>
        <v/>
      </c>
      <c r="Y302">
        <f>HYPERLINK("https://klasma.github.io/Logging_0305/tillsynsmail/A 37417-2023 tillsynsbegäran mail.docx", "A 37417-2023")</f>
        <v/>
      </c>
    </row>
    <row r="303" ht="15" customHeight="1">
      <c r="A303" t="inlineStr">
        <is>
          <t>A 39917-2023</t>
        </is>
      </c>
      <c r="B303" s="1" t="n">
        <v>45166</v>
      </c>
      <c r="C303" s="1" t="n">
        <v>45846</v>
      </c>
      <c r="D303" t="inlineStr">
        <is>
          <t>UPPSALA LÄN</t>
        </is>
      </c>
      <c r="E303" t="inlineStr">
        <is>
          <t>HÅBO</t>
        </is>
      </c>
      <c r="G303" t="n">
        <v>3.6</v>
      </c>
      <c r="H303" t="n">
        <v>0</v>
      </c>
      <c r="I303" t="n">
        <v>2</v>
      </c>
      <c r="J303" t="n">
        <v>1</v>
      </c>
      <c r="K303" t="n">
        <v>0</v>
      </c>
      <c r="L303" t="n">
        <v>0</v>
      </c>
      <c r="M303" t="n">
        <v>0</v>
      </c>
      <c r="N303" t="n">
        <v>0</v>
      </c>
      <c r="O303" t="n">
        <v>1</v>
      </c>
      <c r="P303" t="n">
        <v>0</v>
      </c>
      <c r="Q303" t="n">
        <v>3</v>
      </c>
      <c r="R303" s="2" t="inlineStr">
        <is>
          <t>Oxtungssvamp
Kryddspindling
Strimspindling</t>
        </is>
      </c>
      <c r="S303">
        <f>HYPERLINK("https://klasma.github.io/Logging_0305/artfynd/A 39917-2023 artfynd.xlsx", "A 39917-2023")</f>
        <v/>
      </c>
      <c r="T303">
        <f>HYPERLINK("https://klasma.github.io/Logging_0305/kartor/A 39917-2023 karta.png", "A 39917-2023")</f>
        <v/>
      </c>
      <c r="V303">
        <f>HYPERLINK("https://klasma.github.io/Logging_0305/klagomål/A 39917-2023 FSC-klagomål.docx", "A 39917-2023")</f>
        <v/>
      </c>
      <c r="W303">
        <f>HYPERLINK("https://klasma.github.io/Logging_0305/klagomålsmail/A 39917-2023 FSC-klagomål mail.docx", "A 39917-2023")</f>
        <v/>
      </c>
      <c r="X303">
        <f>HYPERLINK("https://klasma.github.io/Logging_0305/tillsyn/A 39917-2023 tillsynsbegäran.docx", "A 39917-2023")</f>
        <v/>
      </c>
      <c r="Y303">
        <f>HYPERLINK("https://klasma.github.io/Logging_0305/tillsynsmail/A 39917-2023 tillsynsbegäran mail.docx", "A 39917-2023")</f>
        <v/>
      </c>
    </row>
    <row r="304" ht="15" customHeight="1">
      <c r="A304" t="inlineStr">
        <is>
          <t>A 40637-2023</t>
        </is>
      </c>
      <c r="B304" s="1" t="n">
        <v>45170</v>
      </c>
      <c r="C304" s="1" t="n">
        <v>45846</v>
      </c>
      <c r="D304" t="inlineStr">
        <is>
          <t>UPPSALA LÄN</t>
        </is>
      </c>
      <c r="E304" t="inlineStr">
        <is>
          <t>HEBY</t>
        </is>
      </c>
      <c r="F304" t="inlineStr">
        <is>
          <t>Övriga Aktiebolag</t>
        </is>
      </c>
      <c r="G304" t="n">
        <v>3.4</v>
      </c>
      <c r="H304" t="n">
        <v>0</v>
      </c>
      <c r="I304" t="n">
        <v>1</v>
      </c>
      <c r="J304" t="n">
        <v>2</v>
      </c>
      <c r="K304" t="n">
        <v>0</v>
      </c>
      <c r="L304" t="n">
        <v>0</v>
      </c>
      <c r="M304" t="n">
        <v>0</v>
      </c>
      <c r="N304" t="n">
        <v>0</v>
      </c>
      <c r="O304" t="n">
        <v>2</v>
      </c>
      <c r="P304" t="n">
        <v>0</v>
      </c>
      <c r="Q304" t="n">
        <v>3</v>
      </c>
      <c r="R304" s="2" t="inlineStr">
        <is>
          <t>Garnlav
Tallticka
Vedticka</t>
        </is>
      </c>
      <c r="S304">
        <f>HYPERLINK("https://klasma.github.io/Logging_0331/artfynd/A 40637-2023 artfynd.xlsx", "A 40637-2023")</f>
        <v/>
      </c>
      <c r="T304">
        <f>HYPERLINK("https://klasma.github.io/Logging_0331/kartor/A 40637-2023 karta.png", "A 40637-2023")</f>
        <v/>
      </c>
      <c r="V304">
        <f>HYPERLINK("https://klasma.github.io/Logging_0331/klagomål/A 40637-2023 FSC-klagomål.docx", "A 40637-2023")</f>
        <v/>
      </c>
      <c r="W304">
        <f>HYPERLINK("https://klasma.github.io/Logging_0331/klagomålsmail/A 40637-2023 FSC-klagomål mail.docx", "A 40637-2023")</f>
        <v/>
      </c>
      <c r="X304">
        <f>HYPERLINK("https://klasma.github.io/Logging_0331/tillsyn/A 40637-2023 tillsynsbegäran.docx", "A 40637-2023")</f>
        <v/>
      </c>
      <c r="Y304">
        <f>HYPERLINK("https://klasma.github.io/Logging_0331/tillsynsmail/A 40637-2023 tillsynsbegäran mail.docx", "A 40637-2023")</f>
        <v/>
      </c>
    </row>
    <row r="305" ht="15" customHeight="1">
      <c r="A305" t="inlineStr">
        <is>
          <t>A 43942-2023</t>
        </is>
      </c>
      <c r="B305" s="1" t="n">
        <v>45187</v>
      </c>
      <c r="C305" s="1" t="n">
        <v>45846</v>
      </c>
      <c r="D305" t="inlineStr">
        <is>
          <t>UPPSALA LÄN</t>
        </is>
      </c>
      <c r="E305" t="inlineStr">
        <is>
          <t>UPPSALA</t>
        </is>
      </c>
      <c r="F305" t="inlineStr">
        <is>
          <t>Allmännings- och besparingsskogar</t>
        </is>
      </c>
      <c r="G305" t="n">
        <v>31.6</v>
      </c>
      <c r="H305" t="n">
        <v>3</v>
      </c>
      <c r="I305" t="n">
        <v>1</v>
      </c>
      <c r="J305" t="n">
        <v>1</v>
      </c>
      <c r="K305" t="n">
        <v>0</v>
      </c>
      <c r="L305" t="n">
        <v>0</v>
      </c>
      <c r="M305" t="n">
        <v>1</v>
      </c>
      <c r="N305" t="n">
        <v>0</v>
      </c>
      <c r="O305" t="n">
        <v>2</v>
      </c>
      <c r="P305" t="n">
        <v>1</v>
      </c>
      <c r="Q305" t="n">
        <v>3</v>
      </c>
      <c r="R305" s="2" t="inlineStr">
        <is>
          <t>Vedtrådmossa
Slaguggla
Grön sköldmossa</t>
        </is>
      </c>
      <c r="S305">
        <f>HYPERLINK("https://klasma.github.io/Logging_0380/artfynd/A 43942-2023 artfynd.xlsx", "A 43942-2023")</f>
        <v/>
      </c>
      <c r="T305">
        <f>HYPERLINK("https://klasma.github.io/Logging_0380/kartor/A 43942-2023 karta.png", "A 43942-2023")</f>
        <v/>
      </c>
      <c r="V305">
        <f>HYPERLINK("https://klasma.github.io/Logging_0380/klagomål/A 43942-2023 FSC-klagomål.docx", "A 43942-2023")</f>
        <v/>
      </c>
      <c r="W305">
        <f>HYPERLINK("https://klasma.github.io/Logging_0380/klagomålsmail/A 43942-2023 FSC-klagomål mail.docx", "A 43942-2023")</f>
        <v/>
      </c>
      <c r="X305">
        <f>HYPERLINK("https://klasma.github.io/Logging_0380/tillsyn/A 43942-2023 tillsynsbegäran.docx", "A 43942-2023")</f>
        <v/>
      </c>
      <c r="Y305">
        <f>HYPERLINK("https://klasma.github.io/Logging_0380/tillsynsmail/A 43942-2023 tillsynsbegäran mail.docx", "A 43942-2023")</f>
        <v/>
      </c>
      <c r="Z305">
        <f>HYPERLINK("https://klasma.github.io/Logging_0380/fåglar/A 43942-2023 prioriterade fågelarter.docx", "A 43942-2023")</f>
        <v/>
      </c>
    </row>
    <row r="306" ht="15" customHeight="1">
      <c r="A306" t="inlineStr">
        <is>
          <t>A 46204-2023</t>
        </is>
      </c>
      <c r="B306" s="1" t="n">
        <v>45190</v>
      </c>
      <c r="C306" s="1" t="n">
        <v>45846</v>
      </c>
      <c r="D306" t="inlineStr">
        <is>
          <t>UPPSALA LÄN</t>
        </is>
      </c>
      <c r="E306" t="inlineStr">
        <is>
          <t>ÖSTHAMMAR</t>
        </is>
      </c>
      <c r="F306" t="inlineStr">
        <is>
          <t>Övriga statliga verk och myndigheter</t>
        </is>
      </c>
      <c r="G306" t="n">
        <v>3.5</v>
      </c>
      <c r="H306" t="n">
        <v>3</v>
      </c>
      <c r="I306" t="n">
        <v>0</v>
      </c>
      <c r="J306" t="n">
        <v>3</v>
      </c>
      <c r="K306" t="n">
        <v>0</v>
      </c>
      <c r="L306" t="n">
        <v>0</v>
      </c>
      <c r="M306" t="n">
        <v>0</v>
      </c>
      <c r="N306" t="n">
        <v>0</v>
      </c>
      <c r="O306" t="n">
        <v>3</v>
      </c>
      <c r="P306" t="n">
        <v>0</v>
      </c>
      <c r="Q306" t="n">
        <v>3</v>
      </c>
      <c r="R306" s="2" t="inlineStr">
        <is>
          <t>Grönsångare
Gulsparv
Ärtsångare</t>
        </is>
      </c>
      <c r="S306">
        <f>HYPERLINK("https://klasma.github.io/Logging_0382/artfynd/A 46204-2023 artfynd.xlsx", "A 46204-2023")</f>
        <v/>
      </c>
      <c r="T306">
        <f>HYPERLINK("https://klasma.github.io/Logging_0382/kartor/A 46204-2023 karta.png", "A 46204-2023")</f>
        <v/>
      </c>
      <c r="V306">
        <f>HYPERLINK("https://klasma.github.io/Logging_0382/klagomål/A 46204-2023 FSC-klagomål.docx", "A 46204-2023")</f>
        <v/>
      </c>
      <c r="W306">
        <f>HYPERLINK("https://klasma.github.io/Logging_0382/klagomålsmail/A 46204-2023 FSC-klagomål mail.docx", "A 46204-2023")</f>
        <v/>
      </c>
      <c r="X306">
        <f>HYPERLINK("https://klasma.github.io/Logging_0382/tillsyn/A 46204-2023 tillsynsbegäran.docx", "A 46204-2023")</f>
        <v/>
      </c>
      <c r="Y306">
        <f>HYPERLINK("https://klasma.github.io/Logging_0382/tillsynsmail/A 46204-2023 tillsynsbegäran mail.docx", "A 46204-2023")</f>
        <v/>
      </c>
      <c r="Z306">
        <f>HYPERLINK("https://klasma.github.io/Logging_0382/fåglar/A 46204-2023 prioriterade fågelarter.docx", "A 46204-2023")</f>
        <v/>
      </c>
    </row>
    <row r="307" ht="15" customHeight="1">
      <c r="A307" t="inlineStr">
        <is>
          <t>A 45895-2023</t>
        </is>
      </c>
      <c r="B307" s="1" t="n">
        <v>45195</v>
      </c>
      <c r="C307" s="1" t="n">
        <v>45846</v>
      </c>
      <c r="D307" t="inlineStr">
        <is>
          <t>UPPSALA LÄN</t>
        </is>
      </c>
      <c r="E307" t="inlineStr">
        <is>
          <t>ÄLVKARLEBY</t>
        </is>
      </c>
      <c r="G307" t="n">
        <v>6.7</v>
      </c>
      <c r="H307" t="n">
        <v>0</v>
      </c>
      <c r="I307" t="n">
        <v>2</v>
      </c>
      <c r="J307" t="n">
        <v>1</v>
      </c>
      <c r="K307" t="n">
        <v>0</v>
      </c>
      <c r="L307" t="n">
        <v>0</v>
      </c>
      <c r="M307" t="n">
        <v>0</v>
      </c>
      <c r="N307" t="n">
        <v>0</v>
      </c>
      <c r="O307" t="n">
        <v>1</v>
      </c>
      <c r="P307" t="n">
        <v>0</v>
      </c>
      <c r="Q307" t="n">
        <v>3</v>
      </c>
      <c r="R307" s="2" t="inlineStr">
        <is>
          <t>Flattoppad klubbsvamp
Sårläka
Trådfräken</t>
        </is>
      </c>
      <c r="S307">
        <f>HYPERLINK("https://klasma.github.io/Logging_0319/artfynd/A 45895-2023 artfynd.xlsx", "A 45895-2023")</f>
        <v/>
      </c>
      <c r="T307">
        <f>HYPERLINK("https://klasma.github.io/Logging_0319/kartor/A 45895-2023 karta.png", "A 45895-2023")</f>
        <v/>
      </c>
      <c r="V307">
        <f>HYPERLINK("https://klasma.github.io/Logging_0319/klagomål/A 45895-2023 FSC-klagomål.docx", "A 45895-2023")</f>
        <v/>
      </c>
      <c r="W307">
        <f>HYPERLINK("https://klasma.github.io/Logging_0319/klagomålsmail/A 45895-2023 FSC-klagomål mail.docx", "A 45895-2023")</f>
        <v/>
      </c>
      <c r="X307">
        <f>HYPERLINK("https://klasma.github.io/Logging_0319/tillsyn/A 45895-2023 tillsynsbegäran.docx", "A 45895-2023")</f>
        <v/>
      </c>
      <c r="Y307">
        <f>HYPERLINK("https://klasma.github.io/Logging_0319/tillsynsmail/A 45895-2023 tillsynsbegäran mail.docx", "A 45895-2023")</f>
        <v/>
      </c>
    </row>
    <row r="308" ht="15" customHeight="1">
      <c r="A308" t="inlineStr">
        <is>
          <t>A 49990-2023</t>
        </is>
      </c>
      <c r="B308" s="1" t="n">
        <v>45215</v>
      </c>
      <c r="C308" s="1" t="n">
        <v>45846</v>
      </c>
      <c r="D308" t="inlineStr">
        <is>
          <t>UPPSALA LÄN</t>
        </is>
      </c>
      <c r="E308" t="inlineStr">
        <is>
          <t>UPPSALA</t>
        </is>
      </c>
      <c r="G308" t="n">
        <v>2</v>
      </c>
      <c r="H308" t="n">
        <v>3</v>
      </c>
      <c r="I308" t="n">
        <v>0</v>
      </c>
      <c r="J308" t="n">
        <v>1</v>
      </c>
      <c r="K308" t="n">
        <v>0</v>
      </c>
      <c r="L308" t="n">
        <v>0</v>
      </c>
      <c r="M308" t="n">
        <v>0</v>
      </c>
      <c r="N308" t="n">
        <v>0</v>
      </c>
      <c r="O308" t="n">
        <v>1</v>
      </c>
      <c r="P308" t="n">
        <v>0</v>
      </c>
      <c r="Q308" t="n">
        <v>3</v>
      </c>
      <c r="R308" s="2" t="inlineStr">
        <is>
          <t>Nordfladdermus
Järnsparv
Större brunfladdermus</t>
        </is>
      </c>
      <c r="S308">
        <f>HYPERLINK("https://klasma.github.io/Logging_0380/artfynd/A 49990-2023 artfynd.xlsx", "A 49990-2023")</f>
        <v/>
      </c>
      <c r="T308">
        <f>HYPERLINK("https://klasma.github.io/Logging_0380/kartor/A 49990-2023 karta.png", "A 49990-2023")</f>
        <v/>
      </c>
      <c r="V308">
        <f>HYPERLINK("https://klasma.github.io/Logging_0380/klagomål/A 49990-2023 FSC-klagomål.docx", "A 49990-2023")</f>
        <v/>
      </c>
      <c r="W308">
        <f>HYPERLINK("https://klasma.github.io/Logging_0380/klagomålsmail/A 49990-2023 FSC-klagomål mail.docx", "A 49990-2023")</f>
        <v/>
      </c>
      <c r="X308">
        <f>HYPERLINK("https://klasma.github.io/Logging_0380/tillsyn/A 49990-2023 tillsynsbegäran.docx", "A 49990-2023")</f>
        <v/>
      </c>
      <c r="Y308">
        <f>HYPERLINK("https://klasma.github.io/Logging_0380/tillsynsmail/A 49990-2023 tillsynsbegäran mail.docx", "A 49990-2023")</f>
        <v/>
      </c>
      <c r="Z308">
        <f>HYPERLINK("https://klasma.github.io/Logging_0380/fåglar/A 49990-2023 prioriterade fågelarter.docx", "A 49990-2023")</f>
        <v/>
      </c>
    </row>
    <row r="309" ht="15" customHeight="1">
      <c r="A309" t="inlineStr">
        <is>
          <t>A 51733-2023</t>
        </is>
      </c>
      <c r="B309" s="1" t="n">
        <v>45222</v>
      </c>
      <c r="C309" s="1" t="n">
        <v>45846</v>
      </c>
      <c r="D309" t="inlineStr">
        <is>
          <t>UPPSALA LÄN</t>
        </is>
      </c>
      <c r="E309" t="inlineStr">
        <is>
          <t>HEBY</t>
        </is>
      </c>
      <c r="F309" t="inlineStr">
        <is>
          <t>Allmännings- och besparingsskogar</t>
        </is>
      </c>
      <c r="G309" t="n">
        <v>17.7</v>
      </c>
      <c r="H309" t="n">
        <v>3</v>
      </c>
      <c r="I309" t="n">
        <v>0</v>
      </c>
      <c r="J309" t="n">
        <v>0</v>
      </c>
      <c r="K309" t="n">
        <v>1</v>
      </c>
      <c r="L309" t="n">
        <v>0</v>
      </c>
      <c r="M309" t="n">
        <v>0</v>
      </c>
      <c r="N309" t="n">
        <v>0</v>
      </c>
      <c r="O309" t="n">
        <v>1</v>
      </c>
      <c r="P309" t="n">
        <v>1</v>
      </c>
      <c r="Q309" t="n">
        <v>3</v>
      </c>
      <c r="R309" s="2" t="inlineStr">
        <is>
          <t>Knärot
Blåsippa
Revlummer</t>
        </is>
      </c>
      <c r="S309">
        <f>HYPERLINK("https://klasma.github.io/Logging_0331/artfynd/A 51733-2023 artfynd.xlsx", "A 51733-2023")</f>
        <v/>
      </c>
      <c r="T309">
        <f>HYPERLINK("https://klasma.github.io/Logging_0331/kartor/A 51733-2023 karta.png", "A 51733-2023")</f>
        <v/>
      </c>
      <c r="U309">
        <f>HYPERLINK("https://klasma.github.io/Logging_0331/knärot/A 51733-2023 karta knärot.png", "A 51733-2023")</f>
        <v/>
      </c>
      <c r="V309">
        <f>HYPERLINK("https://klasma.github.io/Logging_0331/klagomål/A 51733-2023 FSC-klagomål.docx", "A 51733-2023")</f>
        <v/>
      </c>
      <c r="W309">
        <f>HYPERLINK("https://klasma.github.io/Logging_0331/klagomålsmail/A 51733-2023 FSC-klagomål mail.docx", "A 51733-2023")</f>
        <v/>
      </c>
      <c r="X309">
        <f>HYPERLINK("https://klasma.github.io/Logging_0331/tillsyn/A 51733-2023 tillsynsbegäran.docx", "A 51733-2023")</f>
        <v/>
      </c>
      <c r="Y309">
        <f>HYPERLINK("https://klasma.github.io/Logging_0331/tillsynsmail/A 51733-2023 tillsynsbegäran mail.docx", "A 51733-2023")</f>
        <v/>
      </c>
    </row>
    <row r="310" ht="15" customHeight="1">
      <c r="A310" t="inlineStr">
        <is>
          <t>A 53731-2023</t>
        </is>
      </c>
      <c r="B310" s="1" t="n">
        <v>45230</v>
      </c>
      <c r="C310" s="1" t="n">
        <v>45846</v>
      </c>
      <c r="D310" t="inlineStr">
        <is>
          <t>UPPSALA LÄN</t>
        </is>
      </c>
      <c r="E310" t="inlineStr">
        <is>
          <t>ÖSTHAMMAR</t>
        </is>
      </c>
      <c r="G310" t="n">
        <v>3.2</v>
      </c>
      <c r="H310" t="n">
        <v>0</v>
      </c>
      <c r="I310" t="n">
        <v>1</v>
      </c>
      <c r="J310" t="n">
        <v>1</v>
      </c>
      <c r="K310" t="n">
        <v>1</v>
      </c>
      <c r="L310" t="n">
        <v>0</v>
      </c>
      <c r="M310" t="n">
        <v>0</v>
      </c>
      <c r="N310" t="n">
        <v>0</v>
      </c>
      <c r="O310" t="n">
        <v>2</v>
      </c>
      <c r="P310" t="n">
        <v>1</v>
      </c>
      <c r="Q310" t="n">
        <v>3</v>
      </c>
      <c r="R310" s="2" t="inlineStr">
        <is>
          <t>Taggfingersvamp
Äggspindling
Sårläka</t>
        </is>
      </c>
      <c r="S310">
        <f>HYPERLINK("https://klasma.github.io/Logging_0382/artfynd/A 53731-2023 artfynd.xlsx", "A 53731-2023")</f>
        <v/>
      </c>
      <c r="T310">
        <f>HYPERLINK("https://klasma.github.io/Logging_0382/kartor/A 53731-2023 karta.png", "A 53731-2023")</f>
        <v/>
      </c>
      <c r="V310">
        <f>HYPERLINK("https://klasma.github.io/Logging_0382/klagomål/A 53731-2023 FSC-klagomål.docx", "A 53731-2023")</f>
        <v/>
      </c>
      <c r="W310">
        <f>HYPERLINK("https://klasma.github.io/Logging_0382/klagomålsmail/A 53731-2023 FSC-klagomål mail.docx", "A 53731-2023")</f>
        <v/>
      </c>
      <c r="X310">
        <f>HYPERLINK("https://klasma.github.io/Logging_0382/tillsyn/A 53731-2023 tillsynsbegäran.docx", "A 53731-2023")</f>
        <v/>
      </c>
      <c r="Y310">
        <f>HYPERLINK("https://klasma.github.io/Logging_0382/tillsynsmail/A 53731-2023 tillsynsbegäran mail.docx", "A 53731-2023")</f>
        <v/>
      </c>
    </row>
    <row r="311" ht="15" customHeight="1">
      <c r="A311" t="inlineStr">
        <is>
          <t>A 55535-2023</t>
        </is>
      </c>
      <c r="B311" s="1" t="n">
        <v>45238</v>
      </c>
      <c r="C311" s="1" t="n">
        <v>45846</v>
      </c>
      <c r="D311" t="inlineStr">
        <is>
          <t>UPPSALA LÄN</t>
        </is>
      </c>
      <c r="E311" t="inlineStr">
        <is>
          <t>KNIVSTA</t>
        </is>
      </c>
      <c r="G311" t="n">
        <v>5.7</v>
      </c>
      <c r="H311" t="n">
        <v>1</v>
      </c>
      <c r="I311" t="n">
        <v>1</v>
      </c>
      <c r="J311" t="n">
        <v>1</v>
      </c>
      <c r="K311" t="n">
        <v>0</v>
      </c>
      <c r="L311" t="n">
        <v>0</v>
      </c>
      <c r="M311" t="n">
        <v>0</v>
      </c>
      <c r="N311" t="n">
        <v>0</v>
      </c>
      <c r="O311" t="n">
        <v>1</v>
      </c>
      <c r="P311" t="n">
        <v>0</v>
      </c>
      <c r="Q311" t="n">
        <v>3</v>
      </c>
      <c r="R311" s="2" t="inlineStr">
        <is>
          <t>Fyrflikig jordstjärna
Svavelriska
Blåsippa</t>
        </is>
      </c>
      <c r="S311">
        <f>HYPERLINK("https://klasma.github.io/Logging_0330/artfynd/A 55535-2023 artfynd.xlsx", "A 55535-2023")</f>
        <v/>
      </c>
      <c r="T311">
        <f>HYPERLINK("https://klasma.github.io/Logging_0330/kartor/A 55535-2023 karta.png", "A 55535-2023")</f>
        <v/>
      </c>
      <c r="V311">
        <f>HYPERLINK("https://klasma.github.io/Logging_0330/klagomål/A 55535-2023 FSC-klagomål.docx", "A 55535-2023")</f>
        <v/>
      </c>
      <c r="W311">
        <f>HYPERLINK("https://klasma.github.io/Logging_0330/klagomålsmail/A 55535-2023 FSC-klagomål mail.docx", "A 55535-2023")</f>
        <v/>
      </c>
      <c r="X311">
        <f>HYPERLINK("https://klasma.github.io/Logging_0330/tillsyn/A 55535-2023 tillsynsbegäran.docx", "A 55535-2023")</f>
        <v/>
      </c>
      <c r="Y311">
        <f>HYPERLINK("https://klasma.github.io/Logging_0330/tillsynsmail/A 55535-2023 tillsynsbegäran mail.docx", "A 55535-2023")</f>
        <v/>
      </c>
    </row>
    <row r="312" ht="15" customHeight="1">
      <c r="A312" t="inlineStr">
        <is>
          <t>A 57633-2023</t>
        </is>
      </c>
      <c r="B312" s="1" t="n">
        <v>45246</v>
      </c>
      <c r="C312" s="1" t="n">
        <v>45846</v>
      </c>
      <c r="D312" t="inlineStr">
        <is>
          <t>UPPSALA LÄN</t>
        </is>
      </c>
      <c r="E312" t="inlineStr">
        <is>
          <t>ÖSTHAMMAR</t>
        </is>
      </c>
      <c r="F312" t="inlineStr">
        <is>
          <t>Bergvik skog öst AB</t>
        </is>
      </c>
      <c r="G312" t="n">
        <v>1</v>
      </c>
      <c r="H312" t="n">
        <v>1</v>
      </c>
      <c r="I312" t="n">
        <v>3</v>
      </c>
      <c r="J312" t="n">
        <v>0</v>
      </c>
      <c r="K312" t="n">
        <v>0</v>
      </c>
      <c r="L312" t="n">
        <v>0</v>
      </c>
      <c r="M312" t="n">
        <v>0</v>
      </c>
      <c r="N312" t="n">
        <v>0</v>
      </c>
      <c r="O312" t="n">
        <v>0</v>
      </c>
      <c r="P312" t="n">
        <v>0</v>
      </c>
      <c r="Q312" t="n">
        <v>3</v>
      </c>
      <c r="R312" s="2" t="inlineStr">
        <is>
          <t>Skogsknipprot
Svart trolldruva
Svavelriska</t>
        </is>
      </c>
      <c r="S312">
        <f>HYPERLINK("https://klasma.github.io/Logging_0382/artfynd/A 57633-2023 artfynd.xlsx", "A 57633-2023")</f>
        <v/>
      </c>
      <c r="T312">
        <f>HYPERLINK("https://klasma.github.io/Logging_0382/kartor/A 57633-2023 karta.png", "A 57633-2023")</f>
        <v/>
      </c>
      <c r="V312">
        <f>HYPERLINK("https://klasma.github.io/Logging_0382/klagomål/A 57633-2023 FSC-klagomål.docx", "A 57633-2023")</f>
        <v/>
      </c>
      <c r="W312">
        <f>HYPERLINK("https://klasma.github.io/Logging_0382/klagomålsmail/A 57633-2023 FSC-klagomål mail.docx", "A 57633-2023")</f>
        <v/>
      </c>
      <c r="X312">
        <f>HYPERLINK("https://klasma.github.io/Logging_0382/tillsyn/A 57633-2023 tillsynsbegäran.docx", "A 57633-2023")</f>
        <v/>
      </c>
      <c r="Y312">
        <f>HYPERLINK("https://klasma.github.io/Logging_0382/tillsynsmail/A 57633-2023 tillsynsbegäran mail.docx", "A 57633-2023")</f>
        <v/>
      </c>
    </row>
    <row r="313" ht="15" customHeight="1">
      <c r="A313" t="inlineStr">
        <is>
          <t>A 57636-2023</t>
        </is>
      </c>
      <c r="B313" s="1" t="n">
        <v>45246</v>
      </c>
      <c r="C313" s="1" t="n">
        <v>45846</v>
      </c>
      <c r="D313" t="inlineStr">
        <is>
          <t>UPPSALA LÄN</t>
        </is>
      </c>
      <c r="E313" t="inlineStr">
        <is>
          <t>ÖSTHAMMAR</t>
        </is>
      </c>
      <c r="F313" t="inlineStr">
        <is>
          <t>Bergvik skog öst AB</t>
        </is>
      </c>
      <c r="G313" t="n">
        <v>9.800000000000001</v>
      </c>
      <c r="H313" t="n">
        <v>1</v>
      </c>
      <c r="I313" t="n">
        <v>3</v>
      </c>
      <c r="J313" t="n">
        <v>0</v>
      </c>
      <c r="K313" t="n">
        <v>0</v>
      </c>
      <c r="L313" t="n">
        <v>0</v>
      </c>
      <c r="M313" t="n">
        <v>0</v>
      </c>
      <c r="N313" t="n">
        <v>0</v>
      </c>
      <c r="O313" t="n">
        <v>0</v>
      </c>
      <c r="P313" t="n">
        <v>0</v>
      </c>
      <c r="Q313" t="n">
        <v>3</v>
      </c>
      <c r="R313" s="2" t="inlineStr">
        <is>
          <t>Skogsknipprot
Svavelriska
Tibast</t>
        </is>
      </c>
      <c r="S313">
        <f>HYPERLINK("https://klasma.github.io/Logging_0382/artfynd/A 57636-2023 artfynd.xlsx", "A 57636-2023")</f>
        <v/>
      </c>
      <c r="T313">
        <f>HYPERLINK("https://klasma.github.io/Logging_0382/kartor/A 57636-2023 karta.png", "A 57636-2023")</f>
        <v/>
      </c>
      <c r="V313">
        <f>HYPERLINK("https://klasma.github.io/Logging_0382/klagomål/A 57636-2023 FSC-klagomål.docx", "A 57636-2023")</f>
        <v/>
      </c>
      <c r="W313">
        <f>HYPERLINK("https://klasma.github.io/Logging_0382/klagomålsmail/A 57636-2023 FSC-klagomål mail.docx", "A 57636-2023")</f>
        <v/>
      </c>
      <c r="X313">
        <f>HYPERLINK("https://klasma.github.io/Logging_0382/tillsyn/A 57636-2023 tillsynsbegäran.docx", "A 57636-2023")</f>
        <v/>
      </c>
      <c r="Y313">
        <f>HYPERLINK("https://klasma.github.io/Logging_0382/tillsynsmail/A 57636-2023 tillsynsbegäran mail.docx", "A 57636-2023")</f>
        <v/>
      </c>
    </row>
    <row r="314" ht="15" customHeight="1">
      <c r="A314" t="inlineStr">
        <is>
          <t>A 9715-2024</t>
        </is>
      </c>
      <c r="B314" s="1" t="n">
        <v>45362</v>
      </c>
      <c r="C314" s="1" t="n">
        <v>45846</v>
      </c>
      <c r="D314" t="inlineStr">
        <is>
          <t>UPPSALA LÄN</t>
        </is>
      </c>
      <c r="E314" t="inlineStr">
        <is>
          <t>ÖSTHAMMAR</t>
        </is>
      </c>
      <c r="G314" t="n">
        <v>4.7</v>
      </c>
      <c r="H314" t="n">
        <v>2</v>
      </c>
      <c r="I314" t="n">
        <v>2</v>
      </c>
      <c r="J314" t="n">
        <v>0</v>
      </c>
      <c r="K314" t="n">
        <v>1</v>
      </c>
      <c r="L314" t="n">
        <v>0</v>
      </c>
      <c r="M314" t="n">
        <v>0</v>
      </c>
      <c r="N314" t="n">
        <v>0</v>
      </c>
      <c r="O314" t="n">
        <v>1</v>
      </c>
      <c r="P314" t="n">
        <v>1</v>
      </c>
      <c r="Q314" t="n">
        <v>3</v>
      </c>
      <c r="R314" s="2" t="inlineStr">
        <is>
          <t>Knärot
Skogsknipprot
Vedticka</t>
        </is>
      </c>
      <c r="S314">
        <f>HYPERLINK("https://klasma.github.io/Logging_0382/artfynd/A 9715-2024 artfynd.xlsx", "A 9715-2024")</f>
        <v/>
      </c>
      <c r="T314">
        <f>HYPERLINK("https://klasma.github.io/Logging_0382/kartor/A 9715-2024 karta.png", "A 9715-2024")</f>
        <v/>
      </c>
      <c r="U314">
        <f>HYPERLINK("https://klasma.github.io/Logging_0382/knärot/A 9715-2024 karta knärot.png", "A 9715-2024")</f>
        <v/>
      </c>
      <c r="V314">
        <f>HYPERLINK("https://klasma.github.io/Logging_0382/klagomål/A 9715-2024 FSC-klagomål.docx", "A 9715-2024")</f>
        <v/>
      </c>
      <c r="W314">
        <f>HYPERLINK("https://klasma.github.io/Logging_0382/klagomålsmail/A 9715-2024 FSC-klagomål mail.docx", "A 9715-2024")</f>
        <v/>
      </c>
      <c r="X314">
        <f>HYPERLINK("https://klasma.github.io/Logging_0382/tillsyn/A 9715-2024 tillsynsbegäran.docx", "A 9715-2024")</f>
        <v/>
      </c>
      <c r="Y314">
        <f>HYPERLINK("https://klasma.github.io/Logging_0382/tillsynsmail/A 9715-2024 tillsynsbegäran mail.docx", "A 9715-2024")</f>
        <v/>
      </c>
    </row>
    <row r="315" ht="15" customHeight="1">
      <c r="A315" t="inlineStr">
        <is>
          <t>A 17004-2024</t>
        </is>
      </c>
      <c r="B315" s="1" t="n">
        <v>45412</v>
      </c>
      <c r="C315" s="1" t="n">
        <v>45846</v>
      </c>
      <c r="D315" t="inlineStr">
        <is>
          <t>UPPSALA LÄN</t>
        </is>
      </c>
      <c r="E315" t="inlineStr">
        <is>
          <t>ÖSTHAMMAR</t>
        </is>
      </c>
      <c r="F315" t="inlineStr">
        <is>
          <t>Bergvik skog öst AB</t>
        </is>
      </c>
      <c r="G315" t="n">
        <v>24.4</v>
      </c>
      <c r="H315" t="n">
        <v>0</v>
      </c>
      <c r="I315" t="n">
        <v>2</v>
      </c>
      <c r="J315" t="n">
        <v>0</v>
      </c>
      <c r="K315" t="n">
        <v>0</v>
      </c>
      <c r="L315" t="n">
        <v>0</v>
      </c>
      <c r="M315" t="n">
        <v>1</v>
      </c>
      <c r="N315" t="n">
        <v>0</v>
      </c>
      <c r="O315" t="n">
        <v>1</v>
      </c>
      <c r="P315" t="n">
        <v>1</v>
      </c>
      <c r="Q315" t="n">
        <v>3</v>
      </c>
      <c r="R315" s="2" t="inlineStr">
        <is>
          <t>Skogsalm
Myskmadra
Underviol</t>
        </is>
      </c>
      <c r="S315">
        <f>HYPERLINK("https://klasma.github.io/Logging_0382/artfynd/A 17004-2024 artfynd.xlsx", "A 17004-2024")</f>
        <v/>
      </c>
      <c r="T315">
        <f>HYPERLINK("https://klasma.github.io/Logging_0382/kartor/A 17004-2024 karta.png", "A 17004-2024")</f>
        <v/>
      </c>
      <c r="V315">
        <f>HYPERLINK("https://klasma.github.io/Logging_0382/klagomål/A 17004-2024 FSC-klagomål.docx", "A 17004-2024")</f>
        <v/>
      </c>
      <c r="W315">
        <f>HYPERLINK("https://klasma.github.io/Logging_0382/klagomålsmail/A 17004-2024 FSC-klagomål mail.docx", "A 17004-2024")</f>
        <v/>
      </c>
      <c r="X315">
        <f>HYPERLINK("https://klasma.github.io/Logging_0382/tillsyn/A 17004-2024 tillsynsbegäran.docx", "A 17004-2024")</f>
        <v/>
      </c>
      <c r="Y315">
        <f>HYPERLINK("https://klasma.github.io/Logging_0382/tillsynsmail/A 17004-2024 tillsynsbegäran mail.docx", "A 17004-2024")</f>
        <v/>
      </c>
    </row>
    <row r="316" ht="15" customHeight="1">
      <c r="A316" t="inlineStr">
        <is>
          <t>A 22185-2024</t>
        </is>
      </c>
      <c r="B316" s="1" t="n">
        <v>45446</v>
      </c>
      <c r="C316" s="1" t="n">
        <v>45846</v>
      </c>
      <c r="D316" t="inlineStr">
        <is>
          <t>UPPSALA LÄN</t>
        </is>
      </c>
      <c r="E316" t="inlineStr">
        <is>
          <t>HEBY</t>
        </is>
      </c>
      <c r="F316" t="inlineStr">
        <is>
          <t>Bergvik skog väst AB</t>
        </is>
      </c>
      <c r="G316" t="n">
        <v>17.3</v>
      </c>
      <c r="H316" t="n">
        <v>0</v>
      </c>
      <c r="I316" t="n">
        <v>2</v>
      </c>
      <c r="J316" t="n">
        <v>0</v>
      </c>
      <c r="K316" t="n">
        <v>1</v>
      </c>
      <c r="L316" t="n">
        <v>0</v>
      </c>
      <c r="M316" t="n">
        <v>0</v>
      </c>
      <c r="N316" t="n">
        <v>0</v>
      </c>
      <c r="O316" t="n">
        <v>1</v>
      </c>
      <c r="P316" t="n">
        <v>1</v>
      </c>
      <c r="Q316" t="n">
        <v>3</v>
      </c>
      <c r="R316" s="2" t="inlineStr">
        <is>
          <t>Aspsplintbock
Aspvedgnagare
Myskbock</t>
        </is>
      </c>
      <c r="S316">
        <f>HYPERLINK("https://klasma.github.io/Logging_0331/artfynd/A 22185-2024 artfynd.xlsx", "A 22185-2024")</f>
        <v/>
      </c>
      <c r="T316">
        <f>HYPERLINK("https://klasma.github.io/Logging_0331/kartor/A 22185-2024 karta.png", "A 22185-2024")</f>
        <v/>
      </c>
      <c r="V316">
        <f>HYPERLINK("https://klasma.github.io/Logging_0331/klagomål/A 22185-2024 FSC-klagomål.docx", "A 22185-2024")</f>
        <v/>
      </c>
      <c r="W316">
        <f>HYPERLINK("https://klasma.github.io/Logging_0331/klagomålsmail/A 22185-2024 FSC-klagomål mail.docx", "A 22185-2024")</f>
        <v/>
      </c>
      <c r="X316">
        <f>HYPERLINK("https://klasma.github.io/Logging_0331/tillsyn/A 22185-2024 tillsynsbegäran.docx", "A 22185-2024")</f>
        <v/>
      </c>
      <c r="Y316">
        <f>HYPERLINK("https://klasma.github.io/Logging_0331/tillsynsmail/A 22185-2024 tillsynsbegäran mail.docx", "A 22185-2024")</f>
        <v/>
      </c>
    </row>
    <row r="317" ht="15" customHeight="1">
      <c r="A317" t="inlineStr">
        <is>
          <t>A 29322-2024</t>
        </is>
      </c>
      <c r="B317" s="1" t="n">
        <v>45483</v>
      </c>
      <c r="C317" s="1" t="n">
        <v>45846</v>
      </c>
      <c r="D317" t="inlineStr">
        <is>
          <t>UPPSALA LÄN</t>
        </is>
      </c>
      <c r="E317" t="inlineStr">
        <is>
          <t>ÖSTHAMMAR</t>
        </is>
      </c>
      <c r="G317" t="n">
        <v>11.9</v>
      </c>
      <c r="H317" t="n">
        <v>0</v>
      </c>
      <c r="I317" t="n">
        <v>2</v>
      </c>
      <c r="J317" t="n">
        <v>1</v>
      </c>
      <c r="K317" t="n">
        <v>0</v>
      </c>
      <c r="L317" t="n">
        <v>0</v>
      </c>
      <c r="M317" t="n">
        <v>0</v>
      </c>
      <c r="N317" t="n">
        <v>0</v>
      </c>
      <c r="O317" t="n">
        <v>1</v>
      </c>
      <c r="P317" t="n">
        <v>0</v>
      </c>
      <c r="Q317" t="n">
        <v>3</v>
      </c>
      <c r="R317" s="2" t="inlineStr">
        <is>
          <t>Äggspindling
Anisspindling
Guldkremla</t>
        </is>
      </c>
      <c r="S317">
        <f>HYPERLINK("https://klasma.github.io/Logging_0382/artfynd/A 29322-2024 artfynd.xlsx", "A 29322-2024")</f>
        <v/>
      </c>
      <c r="T317">
        <f>HYPERLINK("https://klasma.github.io/Logging_0382/kartor/A 29322-2024 karta.png", "A 29322-2024")</f>
        <v/>
      </c>
      <c r="V317">
        <f>HYPERLINK("https://klasma.github.io/Logging_0382/klagomål/A 29322-2024 FSC-klagomål.docx", "A 29322-2024")</f>
        <v/>
      </c>
      <c r="W317">
        <f>HYPERLINK("https://klasma.github.io/Logging_0382/klagomålsmail/A 29322-2024 FSC-klagomål mail.docx", "A 29322-2024")</f>
        <v/>
      </c>
      <c r="X317">
        <f>HYPERLINK("https://klasma.github.io/Logging_0382/tillsyn/A 29322-2024 tillsynsbegäran.docx", "A 29322-2024")</f>
        <v/>
      </c>
      <c r="Y317">
        <f>HYPERLINK("https://klasma.github.io/Logging_0382/tillsynsmail/A 29322-2024 tillsynsbegäran mail.docx", "A 29322-2024")</f>
        <v/>
      </c>
    </row>
    <row r="318" ht="15" customHeight="1">
      <c r="A318" t="inlineStr">
        <is>
          <t>A 31174-2024</t>
        </is>
      </c>
      <c r="B318" s="1" t="n">
        <v>45503</v>
      </c>
      <c r="C318" s="1" t="n">
        <v>45846</v>
      </c>
      <c r="D318" t="inlineStr">
        <is>
          <t>UPPSALA LÄN</t>
        </is>
      </c>
      <c r="E318" t="inlineStr">
        <is>
          <t>HEBY</t>
        </is>
      </c>
      <c r="G318" t="n">
        <v>4.5</v>
      </c>
      <c r="H318" t="n">
        <v>1</v>
      </c>
      <c r="I318" t="n">
        <v>0</v>
      </c>
      <c r="J318" t="n">
        <v>1</v>
      </c>
      <c r="K318" t="n">
        <v>1</v>
      </c>
      <c r="L318" t="n">
        <v>0</v>
      </c>
      <c r="M318" t="n">
        <v>0</v>
      </c>
      <c r="N318" t="n">
        <v>0</v>
      </c>
      <c r="O318" t="n">
        <v>2</v>
      </c>
      <c r="P318" t="n">
        <v>1</v>
      </c>
      <c r="Q318" t="n">
        <v>3</v>
      </c>
      <c r="R318" s="2" t="inlineStr">
        <is>
          <t>Lammticka
Motaggsvamp
Vanlig snok</t>
        </is>
      </c>
      <c r="S318">
        <f>HYPERLINK("https://klasma.github.io/Logging_0331/artfynd/A 31174-2024 artfynd.xlsx", "A 31174-2024")</f>
        <v/>
      </c>
      <c r="T318">
        <f>HYPERLINK("https://klasma.github.io/Logging_0331/kartor/A 31174-2024 karta.png", "A 31174-2024")</f>
        <v/>
      </c>
      <c r="V318">
        <f>HYPERLINK("https://klasma.github.io/Logging_0331/klagomål/A 31174-2024 FSC-klagomål.docx", "A 31174-2024")</f>
        <v/>
      </c>
      <c r="W318">
        <f>HYPERLINK("https://klasma.github.io/Logging_0331/klagomålsmail/A 31174-2024 FSC-klagomål mail.docx", "A 31174-2024")</f>
        <v/>
      </c>
      <c r="X318">
        <f>HYPERLINK("https://klasma.github.io/Logging_0331/tillsyn/A 31174-2024 tillsynsbegäran.docx", "A 31174-2024")</f>
        <v/>
      </c>
      <c r="Y318">
        <f>HYPERLINK("https://klasma.github.io/Logging_0331/tillsynsmail/A 31174-2024 tillsynsbegäran mail.docx", "A 31174-2024")</f>
        <v/>
      </c>
    </row>
    <row r="319" ht="15" customHeight="1">
      <c r="A319" t="inlineStr">
        <is>
          <t>A 31758-2024</t>
        </is>
      </c>
      <c r="B319" s="1" t="n">
        <v>45509</v>
      </c>
      <c r="C319" s="1" t="n">
        <v>45846</v>
      </c>
      <c r="D319" t="inlineStr">
        <is>
          <t>UPPSALA LÄN</t>
        </is>
      </c>
      <c r="E319" t="inlineStr">
        <is>
          <t>HEBY</t>
        </is>
      </c>
      <c r="G319" t="n">
        <v>5</v>
      </c>
      <c r="H319" t="n">
        <v>0</v>
      </c>
      <c r="I319" t="n">
        <v>0</v>
      </c>
      <c r="J319" t="n">
        <v>2</v>
      </c>
      <c r="K319" t="n">
        <v>1</v>
      </c>
      <c r="L319" t="n">
        <v>0</v>
      </c>
      <c r="M319" t="n">
        <v>0</v>
      </c>
      <c r="N319" t="n">
        <v>0</v>
      </c>
      <c r="O319" t="n">
        <v>3</v>
      </c>
      <c r="P319" t="n">
        <v>1</v>
      </c>
      <c r="Q319" t="n">
        <v>3</v>
      </c>
      <c r="R319" s="2" t="inlineStr">
        <is>
          <t>Lammticka
Druvfingersvamp
Motaggsvamp</t>
        </is>
      </c>
      <c r="S319">
        <f>HYPERLINK("https://klasma.github.io/Logging_0331/artfynd/A 31758-2024 artfynd.xlsx", "A 31758-2024")</f>
        <v/>
      </c>
      <c r="T319">
        <f>HYPERLINK("https://klasma.github.io/Logging_0331/kartor/A 31758-2024 karta.png", "A 31758-2024")</f>
        <v/>
      </c>
      <c r="V319">
        <f>HYPERLINK("https://klasma.github.io/Logging_0331/klagomål/A 31758-2024 FSC-klagomål.docx", "A 31758-2024")</f>
        <v/>
      </c>
      <c r="W319">
        <f>HYPERLINK("https://klasma.github.io/Logging_0331/klagomålsmail/A 31758-2024 FSC-klagomål mail.docx", "A 31758-2024")</f>
        <v/>
      </c>
      <c r="X319">
        <f>HYPERLINK("https://klasma.github.io/Logging_0331/tillsyn/A 31758-2024 tillsynsbegäran.docx", "A 31758-2024")</f>
        <v/>
      </c>
      <c r="Y319">
        <f>HYPERLINK("https://klasma.github.io/Logging_0331/tillsynsmail/A 31758-2024 tillsynsbegäran mail.docx", "A 31758-2024")</f>
        <v/>
      </c>
    </row>
    <row r="320" ht="15" customHeight="1">
      <c r="A320" t="inlineStr">
        <is>
          <t>A 33803-2024</t>
        </is>
      </c>
      <c r="B320" s="1" t="n">
        <v>45520</v>
      </c>
      <c r="C320" s="1" t="n">
        <v>45846</v>
      </c>
      <c r="D320" t="inlineStr">
        <is>
          <t>UPPSALA LÄN</t>
        </is>
      </c>
      <c r="E320" t="inlineStr">
        <is>
          <t>ÄLVKARLEBY</t>
        </is>
      </c>
      <c r="F320" t="inlineStr">
        <is>
          <t>Bergvik skog väst AB</t>
        </is>
      </c>
      <c r="G320" t="n">
        <v>1.6</v>
      </c>
      <c r="H320" t="n">
        <v>0</v>
      </c>
      <c r="I320" t="n">
        <v>3</v>
      </c>
      <c r="J320" t="n">
        <v>0</v>
      </c>
      <c r="K320" t="n">
        <v>0</v>
      </c>
      <c r="L320" t="n">
        <v>0</v>
      </c>
      <c r="M320" t="n">
        <v>0</v>
      </c>
      <c r="N320" t="n">
        <v>0</v>
      </c>
      <c r="O320" t="n">
        <v>0</v>
      </c>
      <c r="P320" t="n">
        <v>0</v>
      </c>
      <c r="Q320" t="n">
        <v>3</v>
      </c>
      <c r="R320" s="2" t="inlineStr">
        <is>
          <t>Bronshjon
Thomsons trägnagare
Tibast</t>
        </is>
      </c>
      <c r="S320">
        <f>HYPERLINK("https://klasma.github.io/Logging_0319/artfynd/A 33803-2024 artfynd.xlsx", "A 33803-2024")</f>
        <v/>
      </c>
      <c r="T320">
        <f>HYPERLINK("https://klasma.github.io/Logging_0319/kartor/A 33803-2024 karta.png", "A 33803-2024")</f>
        <v/>
      </c>
      <c r="V320">
        <f>HYPERLINK("https://klasma.github.io/Logging_0319/klagomål/A 33803-2024 FSC-klagomål.docx", "A 33803-2024")</f>
        <v/>
      </c>
      <c r="W320">
        <f>HYPERLINK("https://klasma.github.io/Logging_0319/klagomålsmail/A 33803-2024 FSC-klagomål mail.docx", "A 33803-2024")</f>
        <v/>
      </c>
      <c r="X320">
        <f>HYPERLINK("https://klasma.github.io/Logging_0319/tillsyn/A 33803-2024 tillsynsbegäran.docx", "A 33803-2024")</f>
        <v/>
      </c>
      <c r="Y320">
        <f>HYPERLINK("https://klasma.github.io/Logging_0319/tillsynsmail/A 33803-2024 tillsynsbegäran mail.docx", "A 33803-2024")</f>
        <v/>
      </c>
    </row>
    <row r="321" ht="15" customHeight="1">
      <c r="A321" t="inlineStr">
        <is>
          <t>A 34798-2024</t>
        </is>
      </c>
      <c r="B321" s="1" t="n">
        <v>45526</v>
      </c>
      <c r="C321" s="1" t="n">
        <v>45846</v>
      </c>
      <c r="D321" t="inlineStr">
        <is>
          <t>UPPSALA LÄN</t>
        </is>
      </c>
      <c r="E321" t="inlineStr">
        <is>
          <t>ÄLVKARLEBY</t>
        </is>
      </c>
      <c r="F321" t="inlineStr">
        <is>
          <t>Bergvik skog väst AB</t>
        </is>
      </c>
      <c r="G321" t="n">
        <v>13.8</v>
      </c>
      <c r="H321" t="n">
        <v>0</v>
      </c>
      <c r="I321" t="n">
        <v>3</v>
      </c>
      <c r="J321" t="n">
        <v>0</v>
      </c>
      <c r="K321" t="n">
        <v>0</v>
      </c>
      <c r="L321" t="n">
        <v>0</v>
      </c>
      <c r="M321" t="n">
        <v>0</v>
      </c>
      <c r="N321" t="n">
        <v>0</v>
      </c>
      <c r="O321" t="n">
        <v>0</v>
      </c>
      <c r="P321" t="n">
        <v>0</v>
      </c>
      <c r="Q321" t="n">
        <v>3</v>
      </c>
      <c r="R321" s="2" t="inlineStr">
        <is>
          <t>Rödgul trumpetsvamp
Tibast
Vätteros</t>
        </is>
      </c>
      <c r="S321">
        <f>HYPERLINK("https://klasma.github.io/Logging_0319/artfynd/A 34798-2024 artfynd.xlsx", "A 34798-2024")</f>
        <v/>
      </c>
      <c r="T321">
        <f>HYPERLINK("https://klasma.github.io/Logging_0319/kartor/A 34798-2024 karta.png", "A 34798-2024")</f>
        <v/>
      </c>
      <c r="V321">
        <f>HYPERLINK("https://klasma.github.io/Logging_0319/klagomål/A 34798-2024 FSC-klagomål.docx", "A 34798-2024")</f>
        <v/>
      </c>
      <c r="W321">
        <f>HYPERLINK("https://klasma.github.io/Logging_0319/klagomålsmail/A 34798-2024 FSC-klagomål mail.docx", "A 34798-2024")</f>
        <v/>
      </c>
      <c r="X321">
        <f>HYPERLINK("https://klasma.github.io/Logging_0319/tillsyn/A 34798-2024 tillsynsbegäran.docx", "A 34798-2024")</f>
        <v/>
      </c>
      <c r="Y321">
        <f>HYPERLINK("https://klasma.github.io/Logging_0319/tillsynsmail/A 34798-2024 tillsynsbegäran mail.docx", "A 34798-2024")</f>
        <v/>
      </c>
    </row>
    <row r="322" ht="15" customHeight="1">
      <c r="A322" t="inlineStr">
        <is>
          <t>A 39228-2024</t>
        </is>
      </c>
      <c r="B322" s="1" t="n">
        <v>45550</v>
      </c>
      <c r="C322" s="1" t="n">
        <v>45846</v>
      </c>
      <c r="D322" t="inlineStr">
        <is>
          <t>UPPSALA LÄN</t>
        </is>
      </c>
      <c r="E322" t="inlineStr">
        <is>
          <t>UPPSALA</t>
        </is>
      </c>
      <c r="G322" t="n">
        <v>2</v>
      </c>
      <c r="H322" t="n">
        <v>2</v>
      </c>
      <c r="I322" t="n">
        <v>1</v>
      </c>
      <c r="J322" t="n">
        <v>0</v>
      </c>
      <c r="K322" t="n">
        <v>0</v>
      </c>
      <c r="L322" t="n">
        <v>0</v>
      </c>
      <c r="M322" t="n">
        <v>0</v>
      </c>
      <c r="N322" t="n">
        <v>0</v>
      </c>
      <c r="O322" t="n">
        <v>0</v>
      </c>
      <c r="P322" t="n">
        <v>0</v>
      </c>
      <c r="Q322" t="n">
        <v>3</v>
      </c>
      <c r="R322" s="2" t="inlineStr">
        <is>
          <t>Sotlav
Fläcknycklar
Blåsippa</t>
        </is>
      </c>
      <c r="S322">
        <f>HYPERLINK("https://klasma.github.io/Logging_0380/artfynd/A 39228-2024 artfynd.xlsx", "A 39228-2024")</f>
        <v/>
      </c>
      <c r="T322">
        <f>HYPERLINK("https://klasma.github.io/Logging_0380/kartor/A 39228-2024 karta.png", "A 39228-2024")</f>
        <v/>
      </c>
      <c r="V322">
        <f>HYPERLINK("https://klasma.github.io/Logging_0380/klagomål/A 39228-2024 FSC-klagomål.docx", "A 39228-2024")</f>
        <v/>
      </c>
      <c r="W322">
        <f>HYPERLINK("https://klasma.github.io/Logging_0380/klagomålsmail/A 39228-2024 FSC-klagomål mail.docx", "A 39228-2024")</f>
        <v/>
      </c>
      <c r="X322">
        <f>HYPERLINK("https://klasma.github.io/Logging_0380/tillsyn/A 39228-2024 tillsynsbegäran.docx", "A 39228-2024")</f>
        <v/>
      </c>
      <c r="Y322">
        <f>HYPERLINK("https://klasma.github.io/Logging_0380/tillsynsmail/A 39228-2024 tillsynsbegäran mail.docx", "A 39228-2024")</f>
        <v/>
      </c>
    </row>
    <row r="323" ht="15" customHeight="1">
      <c r="A323" t="inlineStr">
        <is>
          <t>A 41443-2024</t>
        </is>
      </c>
      <c r="B323" s="1" t="n">
        <v>45560</v>
      </c>
      <c r="C323" s="1" t="n">
        <v>45846</v>
      </c>
      <c r="D323" t="inlineStr">
        <is>
          <t>UPPSALA LÄN</t>
        </is>
      </c>
      <c r="E323" t="inlineStr">
        <is>
          <t>ÖSTHAMMAR</t>
        </is>
      </c>
      <c r="F323" t="inlineStr">
        <is>
          <t>Bergvik skog väst AB</t>
        </is>
      </c>
      <c r="G323" t="n">
        <v>10.7</v>
      </c>
      <c r="H323" t="n">
        <v>2</v>
      </c>
      <c r="I323" t="n">
        <v>1</v>
      </c>
      <c r="J323" t="n">
        <v>1</v>
      </c>
      <c r="K323" t="n">
        <v>0</v>
      </c>
      <c r="L323" t="n">
        <v>0</v>
      </c>
      <c r="M323" t="n">
        <v>0</v>
      </c>
      <c r="N323" t="n">
        <v>0</v>
      </c>
      <c r="O323" t="n">
        <v>1</v>
      </c>
      <c r="P323" t="n">
        <v>0</v>
      </c>
      <c r="Q323" t="n">
        <v>3</v>
      </c>
      <c r="R323" s="2" t="inlineStr">
        <is>
          <t>Spillkråka
Brandticka
Blåsippa</t>
        </is>
      </c>
      <c r="S323">
        <f>HYPERLINK("https://klasma.github.io/Logging_0382/artfynd/A 41443-2024 artfynd.xlsx", "A 41443-2024")</f>
        <v/>
      </c>
      <c r="T323">
        <f>HYPERLINK("https://klasma.github.io/Logging_0382/kartor/A 41443-2024 karta.png", "A 41443-2024")</f>
        <v/>
      </c>
      <c r="V323">
        <f>HYPERLINK("https://klasma.github.io/Logging_0382/klagomål/A 41443-2024 FSC-klagomål.docx", "A 41443-2024")</f>
        <v/>
      </c>
      <c r="W323">
        <f>HYPERLINK("https://klasma.github.io/Logging_0382/klagomålsmail/A 41443-2024 FSC-klagomål mail.docx", "A 41443-2024")</f>
        <v/>
      </c>
      <c r="X323">
        <f>HYPERLINK("https://klasma.github.io/Logging_0382/tillsyn/A 41443-2024 tillsynsbegäran.docx", "A 41443-2024")</f>
        <v/>
      </c>
      <c r="Y323">
        <f>HYPERLINK("https://klasma.github.io/Logging_0382/tillsynsmail/A 41443-2024 tillsynsbegäran mail.docx", "A 41443-2024")</f>
        <v/>
      </c>
      <c r="Z323">
        <f>HYPERLINK("https://klasma.github.io/Logging_0382/fåglar/A 41443-2024 prioriterade fågelarter.docx", "A 41443-2024")</f>
        <v/>
      </c>
    </row>
    <row r="324" ht="15" customHeight="1">
      <c r="A324" t="inlineStr">
        <is>
          <t>A 46735-2024</t>
        </is>
      </c>
      <c r="B324" s="1" t="n">
        <v>45583</v>
      </c>
      <c r="C324" s="1" t="n">
        <v>45846</v>
      </c>
      <c r="D324" t="inlineStr">
        <is>
          <t>UPPSALA LÄN</t>
        </is>
      </c>
      <c r="E324" t="inlineStr">
        <is>
          <t>UPPSALA</t>
        </is>
      </c>
      <c r="F324" t="inlineStr">
        <is>
          <t>Sveaskog</t>
        </is>
      </c>
      <c r="G324" t="n">
        <v>2.3</v>
      </c>
      <c r="H324" t="n">
        <v>1</v>
      </c>
      <c r="I324" t="n">
        <v>1</v>
      </c>
      <c r="J324" t="n">
        <v>1</v>
      </c>
      <c r="K324" t="n">
        <v>1</v>
      </c>
      <c r="L324" t="n">
        <v>0</v>
      </c>
      <c r="M324" t="n">
        <v>0</v>
      </c>
      <c r="N324" t="n">
        <v>0</v>
      </c>
      <c r="O324" t="n">
        <v>2</v>
      </c>
      <c r="P324" t="n">
        <v>1</v>
      </c>
      <c r="Q324" t="n">
        <v>3</v>
      </c>
      <c r="R324" s="2" t="inlineStr">
        <is>
          <t>Knärot
Vedtrappmossa
Mörk husmossa</t>
        </is>
      </c>
      <c r="S324">
        <f>HYPERLINK("https://klasma.github.io/Logging_0380/artfynd/A 46735-2024 artfynd.xlsx", "A 46735-2024")</f>
        <v/>
      </c>
      <c r="T324">
        <f>HYPERLINK("https://klasma.github.io/Logging_0380/kartor/A 46735-2024 karta.png", "A 46735-2024")</f>
        <v/>
      </c>
      <c r="U324">
        <f>HYPERLINK("https://klasma.github.io/Logging_0380/knärot/A 46735-2024 karta knärot.png", "A 46735-2024")</f>
        <v/>
      </c>
      <c r="V324">
        <f>HYPERLINK("https://klasma.github.io/Logging_0380/klagomål/A 46735-2024 FSC-klagomål.docx", "A 46735-2024")</f>
        <v/>
      </c>
      <c r="W324">
        <f>HYPERLINK("https://klasma.github.io/Logging_0380/klagomålsmail/A 46735-2024 FSC-klagomål mail.docx", "A 46735-2024")</f>
        <v/>
      </c>
      <c r="X324">
        <f>HYPERLINK("https://klasma.github.io/Logging_0380/tillsyn/A 46735-2024 tillsynsbegäran.docx", "A 46735-2024")</f>
        <v/>
      </c>
      <c r="Y324">
        <f>HYPERLINK("https://klasma.github.io/Logging_0380/tillsynsmail/A 46735-2024 tillsynsbegäran mail.docx", "A 46735-2024")</f>
        <v/>
      </c>
    </row>
    <row r="325" ht="15" customHeight="1">
      <c r="A325" t="inlineStr">
        <is>
          <t>A 47653-2024</t>
        </is>
      </c>
      <c r="B325" s="1" t="n">
        <v>45588</v>
      </c>
      <c r="C325" s="1" t="n">
        <v>45846</v>
      </c>
      <c r="D325" t="inlineStr">
        <is>
          <t>UPPSALA LÄN</t>
        </is>
      </c>
      <c r="E325" t="inlineStr">
        <is>
          <t>HÅBO</t>
        </is>
      </c>
      <c r="G325" t="n">
        <v>3</v>
      </c>
      <c r="H325" t="n">
        <v>2</v>
      </c>
      <c r="I325" t="n">
        <v>1</v>
      </c>
      <c r="J325" t="n">
        <v>1</v>
      </c>
      <c r="K325" t="n">
        <v>0</v>
      </c>
      <c r="L325" t="n">
        <v>0</v>
      </c>
      <c r="M325" t="n">
        <v>0</v>
      </c>
      <c r="N325" t="n">
        <v>0</v>
      </c>
      <c r="O325" t="n">
        <v>1</v>
      </c>
      <c r="P325" t="n">
        <v>0</v>
      </c>
      <c r="Q325" t="n">
        <v>3</v>
      </c>
      <c r="R325" s="2" t="inlineStr">
        <is>
          <t>Backklöver
Nästrot
Blåsippa</t>
        </is>
      </c>
      <c r="S325">
        <f>HYPERLINK("https://klasma.github.io/Logging_0305/artfynd/A 47653-2024 artfynd.xlsx", "A 47653-2024")</f>
        <v/>
      </c>
      <c r="T325">
        <f>HYPERLINK("https://klasma.github.io/Logging_0305/kartor/A 47653-2024 karta.png", "A 47653-2024")</f>
        <v/>
      </c>
      <c r="V325">
        <f>HYPERLINK("https://klasma.github.io/Logging_0305/klagomål/A 47653-2024 FSC-klagomål.docx", "A 47653-2024")</f>
        <v/>
      </c>
      <c r="W325">
        <f>HYPERLINK("https://klasma.github.io/Logging_0305/klagomålsmail/A 47653-2024 FSC-klagomål mail.docx", "A 47653-2024")</f>
        <v/>
      </c>
      <c r="X325">
        <f>HYPERLINK("https://klasma.github.io/Logging_0305/tillsyn/A 47653-2024 tillsynsbegäran.docx", "A 47653-2024")</f>
        <v/>
      </c>
      <c r="Y325">
        <f>HYPERLINK("https://klasma.github.io/Logging_0305/tillsynsmail/A 47653-2024 tillsynsbegäran mail.docx", "A 47653-2024")</f>
        <v/>
      </c>
    </row>
    <row r="326" ht="15" customHeight="1">
      <c r="A326" t="inlineStr">
        <is>
          <t>A 50466-2024</t>
        </is>
      </c>
      <c r="B326" s="1" t="n">
        <v>45601</v>
      </c>
      <c r="C326" s="1" t="n">
        <v>45846</v>
      </c>
      <c r="D326" t="inlineStr">
        <is>
          <t>UPPSALA LÄN</t>
        </is>
      </c>
      <c r="E326" t="inlineStr">
        <is>
          <t>HEBY</t>
        </is>
      </c>
      <c r="G326" t="n">
        <v>2.4</v>
      </c>
      <c r="H326" t="n">
        <v>3</v>
      </c>
      <c r="I326" t="n">
        <v>0</v>
      </c>
      <c r="J326" t="n">
        <v>0</v>
      </c>
      <c r="K326" t="n">
        <v>2</v>
      </c>
      <c r="L326" t="n">
        <v>0</v>
      </c>
      <c r="M326" t="n">
        <v>0</v>
      </c>
      <c r="N326" t="n">
        <v>0</v>
      </c>
      <c r="O326" t="n">
        <v>2</v>
      </c>
      <c r="P326" t="n">
        <v>2</v>
      </c>
      <c r="Q326" t="n">
        <v>3</v>
      </c>
      <c r="R326" s="2" t="inlineStr">
        <is>
          <t>Knärot
Väddnätfjäril
Tjäder</t>
        </is>
      </c>
      <c r="S326">
        <f>HYPERLINK("https://klasma.github.io/Logging_0331/artfynd/A 50466-2024 artfynd.xlsx", "A 50466-2024")</f>
        <v/>
      </c>
      <c r="T326">
        <f>HYPERLINK("https://klasma.github.io/Logging_0331/kartor/A 50466-2024 karta.png", "A 50466-2024")</f>
        <v/>
      </c>
      <c r="U326">
        <f>HYPERLINK("https://klasma.github.io/Logging_0331/knärot/A 50466-2024 karta knärot.png", "A 50466-2024")</f>
        <v/>
      </c>
      <c r="V326">
        <f>HYPERLINK("https://klasma.github.io/Logging_0331/klagomål/A 50466-2024 FSC-klagomål.docx", "A 50466-2024")</f>
        <v/>
      </c>
      <c r="W326">
        <f>HYPERLINK("https://klasma.github.io/Logging_0331/klagomålsmail/A 50466-2024 FSC-klagomål mail.docx", "A 50466-2024")</f>
        <v/>
      </c>
      <c r="X326">
        <f>HYPERLINK("https://klasma.github.io/Logging_0331/tillsyn/A 50466-2024 tillsynsbegäran.docx", "A 50466-2024")</f>
        <v/>
      </c>
      <c r="Y326">
        <f>HYPERLINK("https://klasma.github.io/Logging_0331/tillsynsmail/A 50466-2024 tillsynsbegäran mail.docx", "A 50466-2024")</f>
        <v/>
      </c>
      <c r="Z326">
        <f>HYPERLINK("https://klasma.github.io/Logging_0331/fåglar/A 50466-2024 prioriterade fågelarter.docx", "A 50466-2024")</f>
        <v/>
      </c>
    </row>
    <row r="327" ht="15" customHeight="1">
      <c r="A327" t="inlineStr">
        <is>
          <t>A 55186-2024</t>
        </is>
      </c>
      <c r="B327" s="1" t="n">
        <v>45621</v>
      </c>
      <c r="C327" s="1" t="n">
        <v>45846</v>
      </c>
      <c r="D327" t="inlineStr">
        <is>
          <t>UPPSALA LÄN</t>
        </is>
      </c>
      <c r="E327" t="inlineStr">
        <is>
          <t>ÖSTHAMMAR</t>
        </is>
      </c>
      <c r="G327" t="n">
        <v>1.8</v>
      </c>
      <c r="H327" t="n">
        <v>0</v>
      </c>
      <c r="I327" t="n">
        <v>2</v>
      </c>
      <c r="J327" t="n">
        <v>1</v>
      </c>
      <c r="K327" t="n">
        <v>0</v>
      </c>
      <c r="L327" t="n">
        <v>0</v>
      </c>
      <c r="M327" t="n">
        <v>0</v>
      </c>
      <c r="N327" t="n">
        <v>0</v>
      </c>
      <c r="O327" t="n">
        <v>1</v>
      </c>
      <c r="P327" t="n">
        <v>0</v>
      </c>
      <c r="Q327" t="n">
        <v>3</v>
      </c>
      <c r="R327" s="2" t="inlineStr">
        <is>
          <t>Äggspindling
Anisspindling
Granbarkgnagare</t>
        </is>
      </c>
      <c r="S327">
        <f>HYPERLINK("https://klasma.github.io/Logging_0382/artfynd/A 55186-2024 artfynd.xlsx", "A 55186-2024")</f>
        <v/>
      </c>
      <c r="T327">
        <f>HYPERLINK("https://klasma.github.io/Logging_0382/kartor/A 55186-2024 karta.png", "A 55186-2024")</f>
        <v/>
      </c>
      <c r="V327">
        <f>HYPERLINK("https://klasma.github.io/Logging_0382/klagomål/A 55186-2024 FSC-klagomål.docx", "A 55186-2024")</f>
        <v/>
      </c>
      <c r="W327">
        <f>HYPERLINK("https://klasma.github.io/Logging_0382/klagomålsmail/A 55186-2024 FSC-klagomål mail.docx", "A 55186-2024")</f>
        <v/>
      </c>
      <c r="X327">
        <f>HYPERLINK("https://klasma.github.io/Logging_0382/tillsyn/A 55186-2024 tillsynsbegäran.docx", "A 55186-2024")</f>
        <v/>
      </c>
      <c r="Y327">
        <f>HYPERLINK("https://klasma.github.io/Logging_0382/tillsynsmail/A 55186-2024 tillsynsbegäran mail.docx", "A 55186-2024")</f>
        <v/>
      </c>
    </row>
    <row r="328" ht="15" customHeight="1">
      <c r="A328" t="inlineStr">
        <is>
          <t>A 55554-2024</t>
        </is>
      </c>
      <c r="B328" s="1" t="n">
        <v>45622</v>
      </c>
      <c r="C328" s="1" t="n">
        <v>45846</v>
      </c>
      <c r="D328" t="inlineStr">
        <is>
          <t>UPPSALA LÄN</t>
        </is>
      </c>
      <c r="E328" t="inlineStr">
        <is>
          <t>ÄLVKARLEBY</t>
        </is>
      </c>
      <c r="F328" t="inlineStr">
        <is>
          <t>Bergvik skog väst AB</t>
        </is>
      </c>
      <c r="G328" t="n">
        <v>1.2</v>
      </c>
      <c r="H328" t="n">
        <v>2</v>
      </c>
      <c r="I328" t="n">
        <v>1</v>
      </c>
      <c r="J328" t="n">
        <v>1</v>
      </c>
      <c r="K328" t="n">
        <v>1</v>
      </c>
      <c r="L328" t="n">
        <v>0</v>
      </c>
      <c r="M328" t="n">
        <v>0</v>
      </c>
      <c r="N328" t="n">
        <v>0</v>
      </c>
      <c r="O328" t="n">
        <v>2</v>
      </c>
      <c r="P328" t="n">
        <v>1</v>
      </c>
      <c r="Q328" t="n">
        <v>3</v>
      </c>
      <c r="R328" s="2" t="inlineStr">
        <is>
          <t>Knärot
Vedtrappmossa
Grön sköldmossa</t>
        </is>
      </c>
      <c r="S328">
        <f>HYPERLINK("https://klasma.github.io/Logging_0319/artfynd/A 55554-2024 artfynd.xlsx", "A 55554-2024")</f>
        <v/>
      </c>
      <c r="T328">
        <f>HYPERLINK("https://klasma.github.io/Logging_0319/kartor/A 55554-2024 karta.png", "A 55554-2024")</f>
        <v/>
      </c>
      <c r="U328">
        <f>HYPERLINK("https://klasma.github.io/Logging_0319/knärot/A 55554-2024 karta knärot.png", "A 55554-2024")</f>
        <v/>
      </c>
      <c r="V328">
        <f>HYPERLINK("https://klasma.github.io/Logging_0319/klagomål/A 55554-2024 FSC-klagomål.docx", "A 55554-2024")</f>
        <v/>
      </c>
      <c r="W328">
        <f>HYPERLINK("https://klasma.github.io/Logging_0319/klagomålsmail/A 55554-2024 FSC-klagomål mail.docx", "A 55554-2024")</f>
        <v/>
      </c>
      <c r="X328">
        <f>HYPERLINK("https://klasma.github.io/Logging_0319/tillsyn/A 55554-2024 tillsynsbegäran.docx", "A 55554-2024")</f>
        <v/>
      </c>
      <c r="Y328">
        <f>HYPERLINK("https://klasma.github.io/Logging_0319/tillsynsmail/A 55554-2024 tillsynsbegäran mail.docx", "A 55554-2024")</f>
        <v/>
      </c>
    </row>
    <row r="329" ht="15" customHeight="1">
      <c r="A329" t="inlineStr">
        <is>
          <t>A 55547-2024</t>
        </is>
      </c>
      <c r="B329" s="1" t="n">
        <v>45622</v>
      </c>
      <c r="C329" s="1" t="n">
        <v>45846</v>
      </c>
      <c r="D329" t="inlineStr">
        <is>
          <t>UPPSALA LÄN</t>
        </is>
      </c>
      <c r="E329" t="inlineStr">
        <is>
          <t>ÄLVKARLEBY</t>
        </is>
      </c>
      <c r="F329" t="inlineStr">
        <is>
          <t>Bergvik skog väst AB</t>
        </is>
      </c>
      <c r="G329" t="n">
        <v>0.9</v>
      </c>
      <c r="H329" t="n">
        <v>2</v>
      </c>
      <c r="I329" t="n">
        <v>1</v>
      </c>
      <c r="J329" t="n">
        <v>0</v>
      </c>
      <c r="K329" t="n">
        <v>1</v>
      </c>
      <c r="L329" t="n">
        <v>0</v>
      </c>
      <c r="M329" t="n">
        <v>0</v>
      </c>
      <c r="N329" t="n">
        <v>0</v>
      </c>
      <c r="O329" t="n">
        <v>1</v>
      </c>
      <c r="P329" t="n">
        <v>1</v>
      </c>
      <c r="Q329" t="n">
        <v>3</v>
      </c>
      <c r="R329" s="2" t="inlineStr">
        <is>
          <t>Knärot
Vedticka
Sparvuggla</t>
        </is>
      </c>
      <c r="S329">
        <f>HYPERLINK("https://klasma.github.io/Logging_0319/artfynd/A 55547-2024 artfynd.xlsx", "A 55547-2024")</f>
        <v/>
      </c>
      <c r="T329">
        <f>HYPERLINK("https://klasma.github.io/Logging_0319/kartor/A 55547-2024 karta.png", "A 55547-2024")</f>
        <v/>
      </c>
      <c r="U329">
        <f>HYPERLINK("https://klasma.github.io/Logging_0319/knärot/A 55547-2024 karta knärot.png", "A 55547-2024")</f>
        <v/>
      </c>
      <c r="V329">
        <f>HYPERLINK("https://klasma.github.io/Logging_0319/klagomål/A 55547-2024 FSC-klagomål.docx", "A 55547-2024")</f>
        <v/>
      </c>
      <c r="W329">
        <f>HYPERLINK("https://klasma.github.io/Logging_0319/klagomålsmail/A 55547-2024 FSC-klagomål mail.docx", "A 55547-2024")</f>
        <v/>
      </c>
      <c r="X329">
        <f>HYPERLINK("https://klasma.github.io/Logging_0319/tillsyn/A 55547-2024 tillsynsbegäran.docx", "A 55547-2024")</f>
        <v/>
      </c>
      <c r="Y329">
        <f>HYPERLINK("https://klasma.github.io/Logging_0319/tillsynsmail/A 55547-2024 tillsynsbegäran mail.docx", "A 55547-2024")</f>
        <v/>
      </c>
      <c r="Z329">
        <f>HYPERLINK("https://klasma.github.io/Logging_0319/fåglar/A 55547-2024 prioriterade fågelarter.docx", "A 55547-2024")</f>
        <v/>
      </c>
    </row>
    <row r="330" ht="15" customHeight="1">
      <c r="A330" t="inlineStr">
        <is>
          <t>A 55555-2024</t>
        </is>
      </c>
      <c r="B330" s="1" t="n">
        <v>45622</v>
      </c>
      <c r="C330" s="1" t="n">
        <v>45846</v>
      </c>
      <c r="D330" t="inlineStr">
        <is>
          <t>UPPSALA LÄN</t>
        </is>
      </c>
      <c r="E330" t="inlineStr">
        <is>
          <t>ÄLVKARLEBY</t>
        </is>
      </c>
      <c r="F330" t="inlineStr">
        <is>
          <t>Bergvik skog väst AB</t>
        </is>
      </c>
      <c r="G330" t="n">
        <v>0.7</v>
      </c>
      <c r="H330" t="n">
        <v>1</v>
      </c>
      <c r="I330" t="n">
        <v>0</v>
      </c>
      <c r="J330" t="n">
        <v>1</v>
      </c>
      <c r="K330" t="n">
        <v>1</v>
      </c>
      <c r="L330" t="n">
        <v>1</v>
      </c>
      <c r="M330" t="n">
        <v>0</v>
      </c>
      <c r="N330" t="n">
        <v>0</v>
      </c>
      <c r="O330" t="n">
        <v>3</v>
      </c>
      <c r="P330" t="n">
        <v>2</v>
      </c>
      <c r="Q330" t="n">
        <v>3</v>
      </c>
      <c r="R330" s="2" t="inlineStr">
        <is>
          <t>Skeletocutis jelicii
Knärot
Vedtrappmossa</t>
        </is>
      </c>
      <c r="S330">
        <f>HYPERLINK("https://klasma.github.io/Logging_0319/artfynd/A 55555-2024 artfynd.xlsx", "A 55555-2024")</f>
        <v/>
      </c>
      <c r="T330">
        <f>HYPERLINK("https://klasma.github.io/Logging_0319/kartor/A 55555-2024 karta.png", "A 55555-2024")</f>
        <v/>
      </c>
      <c r="U330">
        <f>HYPERLINK("https://klasma.github.io/Logging_0319/knärot/A 55555-2024 karta knärot.png", "A 55555-2024")</f>
        <v/>
      </c>
      <c r="V330">
        <f>HYPERLINK("https://klasma.github.io/Logging_0319/klagomål/A 55555-2024 FSC-klagomål.docx", "A 55555-2024")</f>
        <v/>
      </c>
      <c r="W330">
        <f>HYPERLINK("https://klasma.github.io/Logging_0319/klagomålsmail/A 55555-2024 FSC-klagomål mail.docx", "A 55555-2024")</f>
        <v/>
      </c>
      <c r="X330">
        <f>HYPERLINK("https://klasma.github.io/Logging_0319/tillsyn/A 55555-2024 tillsynsbegäran.docx", "A 55555-2024")</f>
        <v/>
      </c>
      <c r="Y330">
        <f>HYPERLINK("https://klasma.github.io/Logging_0319/tillsynsmail/A 55555-2024 tillsynsbegäran mail.docx", "A 55555-2024")</f>
        <v/>
      </c>
    </row>
    <row r="331" ht="15" customHeight="1">
      <c r="A331" t="inlineStr">
        <is>
          <t>A 3932-2025</t>
        </is>
      </c>
      <c r="B331" s="1" t="n">
        <v>45684</v>
      </c>
      <c r="C331" s="1" t="n">
        <v>45846</v>
      </c>
      <c r="D331" t="inlineStr">
        <is>
          <t>UPPSALA LÄN</t>
        </is>
      </c>
      <c r="E331" t="inlineStr">
        <is>
          <t>UPPSALA</t>
        </is>
      </c>
      <c r="G331" t="n">
        <v>8.9</v>
      </c>
      <c r="H331" t="n">
        <v>1</v>
      </c>
      <c r="I331" t="n">
        <v>1</v>
      </c>
      <c r="J331" t="n">
        <v>1</v>
      </c>
      <c r="K331" t="n">
        <v>0</v>
      </c>
      <c r="L331" t="n">
        <v>0</v>
      </c>
      <c r="M331" t="n">
        <v>0</v>
      </c>
      <c r="N331" t="n">
        <v>0</v>
      </c>
      <c r="O331" t="n">
        <v>1</v>
      </c>
      <c r="P331" t="n">
        <v>0</v>
      </c>
      <c r="Q331" t="n">
        <v>3</v>
      </c>
      <c r="R331" s="2" t="inlineStr">
        <is>
          <t>Vedtrappmossa
Rostfläck
Revlummer</t>
        </is>
      </c>
      <c r="S331">
        <f>HYPERLINK("https://klasma.github.io/Logging_0380/artfynd/A 3932-2025 artfynd.xlsx", "A 3932-2025")</f>
        <v/>
      </c>
      <c r="T331">
        <f>HYPERLINK("https://klasma.github.io/Logging_0380/kartor/A 3932-2025 karta.png", "A 3932-2025")</f>
        <v/>
      </c>
      <c r="U331">
        <f>HYPERLINK("https://klasma.github.io/Logging_0380/knärot/A 3932-2025 karta knärot.png", "A 3932-2025")</f>
        <v/>
      </c>
      <c r="V331">
        <f>HYPERLINK("https://klasma.github.io/Logging_0380/klagomål/A 3932-2025 FSC-klagomål.docx", "A 3932-2025")</f>
        <v/>
      </c>
      <c r="W331">
        <f>HYPERLINK("https://klasma.github.io/Logging_0380/klagomålsmail/A 3932-2025 FSC-klagomål mail.docx", "A 3932-2025")</f>
        <v/>
      </c>
      <c r="X331">
        <f>HYPERLINK("https://klasma.github.io/Logging_0380/tillsyn/A 3932-2025 tillsynsbegäran.docx", "A 3932-2025")</f>
        <v/>
      </c>
      <c r="Y331">
        <f>HYPERLINK("https://klasma.github.io/Logging_0380/tillsynsmail/A 3932-2025 tillsynsbegäran mail.docx", "A 3932-2025")</f>
        <v/>
      </c>
    </row>
    <row r="332" ht="15" customHeight="1">
      <c r="A332" t="inlineStr">
        <is>
          <t>A 4610-2025</t>
        </is>
      </c>
      <c r="B332" s="1" t="n">
        <v>45687</v>
      </c>
      <c r="C332" s="1" t="n">
        <v>45846</v>
      </c>
      <c r="D332" t="inlineStr">
        <is>
          <t>UPPSALA LÄN</t>
        </is>
      </c>
      <c r="E332" t="inlineStr">
        <is>
          <t>HEBY</t>
        </is>
      </c>
      <c r="G332" t="n">
        <v>25.1</v>
      </c>
      <c r="H332" t="n">
        <v>0</v>
      </c>
      <c r="I332" t="n">
        <v>2</v>
      </c>
      <c r="J332" t="n">
        <v>1</v>
      </c>
      <c r="K332" t="n">
        <v>0</v>
      </c>
      <c r="L332" t="n">
        <v>0</v>
      </c>
      <c r="M332" t="n">
        <v>0</v>
      </c>
      <c r="N332" t="n">
        <v>0</v>
      </c>
      <c r="O332" t="n">
        <v>1</v>
      </c>
      <c r="P332" t="n">
        <v>0</v>
      </c>
      <c r="Q332" t="n">
        <v>3</v>
      </c>
      <c r="R332" s="2" t="inlineStr">
        <is>
          <t>Större flatbagge
Granbräken
Jättesvampmal</t>
        </is>
      </c>
      <c r="S332">
        <f>HYPERLINK("https://klasma.github.io/Logging_0331/artfynd/A 4610-2025 artfynd.xlsx", "A 4610-2025")</f>
        <v/>
      </c>
      <c r="T332">
        <f>HYPERLINK("https://klasma.github.io/Logging_0331/kartor/A 4610-2025 karta.png", "A 4610-2025")</f>
        <v/>
      </c>
      <c r="V332">
        <f>HYPERLINK("https://klasma.github.io/Logging_0331/klagomål/A 4610-2025 FSC-klagomål.docx", "A 4610-2025")</f>
        <v/>
      </c>
      <c r="W332">
        <f>HYPERLINK("https://klasma.github.io/Logging_0331/klagomålsmail/A 4610-2025 FSC-klagomål mail.docx", "A 4610-2025")</f>
        <v/>
      </c>
      <c r="X332">
        <f>HYPERLINK("https://klasma.github.io/Logging_0331/tillsyn/A 4610-2025 tillsynsbegäran.docx", "A 4610-2025")</f>
        <v/>
      </c>
      <c r="Y332">
        <f>HYPERLINK("https://klasma.github.io/Logging_0331/tillsynsmail/A 4610-2025 tillsynsbegäran mail.docx", "A 4610-2025")</f>
        <v/>
      </c>
    </row>
    <row r="333" ht="15" customHeight="1">
      <c r="A333" t="inlineStr">
        <is>
          <t>A 7399-2025</t>
        </is>
      </c>
      <c r="B333" s="1" t="n">
        <v>45702</v>
      </c>
      <c r="C333" s="1" t="n">
        <v>45846</v>
      </c>
      <c r="D333" t="inlineStr">
        <is>
          <t>UPPSALA LÄN</t>
        </is>
      </c>
      <c r="E333" t="inlineStr">
        <is>
          <t>ENKÖPING</t>
        </is>
      </c>
      <c r="G333" t="n">
        <v>5.9</v>
      </c>
      <c r="H333" t="n">
        <v>0</v>
      </c>
      <c r="I333" t="n">
        <v>3</v>
      </c>
      <c r="J333" t="n">
        <v>0</v>
      </c>
      <c r="K333" t="n">
        <v>0</v>
      </c>
      <c r="L333" t="n">
        <v>0</v>
      </c>
      <c r="M333" t="n">
        <v>0</v>
      </c>
      <c r="N333" t="n">
        <v>0</v>
      </c>
      <c r="O333" t="n">
        <v>0</v>
      </c>
      <c r="P333" t="n">
        <v>0</v>
      </c>
      <c r="Q333" t="n">
        <v>3</v>
      </c>
      <c r="R333" s="2" t="inlineStr">
        <is>
          <t>Dvärgkällmossa
Guldlockmossa
Trädporella</t>
        </is>
      </c>
      <c r="S333">
        <f>HYPERLINK("https://klasma.github.io/Logging_0381/artfynd/A 7399-2025 artfynd.xlsx", "A 7399-2025")</f>
        <v/>
      </c>
      <c r="T333">
        <f>HYPERLINK("https://klasma.github.io/Logging_0381/kartor/A 7399-2025 karta.png", "A 7399-2025")</f>
        <v/>
      </c>
      <c r="V333">
        <f>HYPERLINK("https://klasma.github.io/Logging_0381/klagomål/A 7399-2025 FSC-klagomål.docx", "A 7399-2025")</f>
        <v/>
      </c>
      <c r="W333">
        <f>HYPERLINK("https://klasma.github.io/Logging_0381/klagomålsmail/A 7399-2025 FSC-klagomål mail.docx", "A 7399-2025")</f>
        <v/>
      </c>
      <c r="X333">
        <f>HYPERLINK("https://klasma.github.io/Logging_0381/tillsyn/A 7399-2025 tillsynsbegäran.docx", "A 7399-2025")</f>
        <v/>
      </c>
      <c r="Y333">
        <f>HYPERLINK("https://klasma.github.io/Logging_0381/tillsynsmail/A 7399-2025 tillsynsbegäran mail.docx", "A 7399-2025")</f>
        <v/>
      </c>
    </row>
    <row r="334" ht="15" customHeight="1">
      <c r="A334" t="inlineStr">
        <is>
          <t>A 8224-2025</t>
        </is>
      </c>
      <c r="B334" s="1" t="n">
        <v>45708</v>
      </c>
      <c r="C334" s="1" t="n">
        <v>45846</v>
      </c>
      <c r="D334" t="inlineStr">
        <is>
          <t>UPPSALA LÄN</t>
        </is>
      </c>
      <c r="E334" t="inlineStr">
        <is>
          <t>TIERP</t>
        </is>
      </c>
      <c r="F334" t="inlineStr">
        <is>
          <t>Bergvik skog öst AB</t>
        </is>
      </c>
      <c r="G334" t="n">
        <v>2.1</v>
      </c>
      <c r="H334" t="n">
        <v>2</v>
      </c>
      <c r="I334" t="n">
        <v>1</v>
      </c>
      <c r="J334" t="n">
        <v>0</v>
      </c>
      <c r="K334" t="n">
        <v>1</v>
      </c>
      <c r="L334" t="n">
        <v>0</v>
      </c>
      <c r="M334" t="n">
        <v>0</v>
      </c>
      <c r="N334" t="n">
        <v>0</v>
      </c>
      <c r="O334" t="n">
        <v>1</v>
      </c>
      <c r="P334" t="n">
        <v>1</v>
      </c>
      <c r="Q334" t="n">
        <v>3</v>
      </c>
      <c r="R334" s="2" t="inlineStr">
        <is>
          <t>Stor låsbräken
Sårläka
Blåsippa</t>
        </is>
      </c>
      <c r="S334">
        <f>HYPERLINK("https://klasma.github.io/Logging_0360/artfynd/A 8224-2025 artfynd.xlsx", "A 8224-2025")</f>
        <v/>
      </c>
      <c r="T334">
        <f>HYPERLINK("https://klasma.github.io/Logging_0360/kartor/A 8224-2025 karta.png", "A 8224-2025")</f>
        <v/>
      </c>
      <c r="V334">
        <f>HYPERLINK("https://klasma.github.io/Logging_0360/klagomål/A 8224-2025 FSC-klagomål.docx", "A 8224-2025")</f>
        <v/>
      </c>
      <c r="W334">
        <f>HYPERLINK("https://klasma.github.io/Logging_0360/klagomålsmail/A 8224-2025 FSC-klagomål mail.docx", "A 8224-2025")</f>
        <v/>
      </c>
      <c r="X334">
        <f>HYPERLINK("https://klasma.github.io/Logging_0360/tillsyn/A 8224-2025 tillsynsbegäran.docx", "A 8224-2025")</f>
        <v/>
      </c>
      <c r="Y334">
        <f>HYPERLINK("https://klasma.github.io/Logging_0360/tillsynsmail/A 8224-2025 tillsynsbegäran mail.docx", "A 8224-2025")</f>
        <v/>
      </c>
    </row>
    <row r="335" ht="15" customHeight="1">
      <c r="A335" t="inlineStr">
        <is>
          <t>A 10846-2025</t>
        </is>
      </c>
      <c r="B335" s="1" t="n">
        <v>45722</v>
      </c>
      <c r="C335" s="1" t="n">
        <v>45846</v>
      </c>
      <c r="D335" t="inlineStr">
        <is>
          <t>UPPSALA LÄN</t>
        </is>
      </c>
      <c r="E335" t="inlineStr">
        <is>
          <t>TIERP</t>
        </is>
      </c>
      <c r="F335" t="inlineStr">
        <is>
          <t>Bergvik skog öst AB</t>
        </is>
      </c>
      <c r="G335" t="n">
        <v>1.8</v>
      </c>
      <c r="H335" t="n">
        <v>1</v>
      </c>
      <c r="I335" t="n">
        <v>2</v>
      </c>
      <c r="J335" t="n">
        <v>0</v>
      </c>
      <c r="K335" t="n">
        <v>0</v>
      </c>
      <c r="L335" t="n">
        <v>0</v>
      </c>
      <c r="M335" t="n">
        <v>0</v>
      </c>
      <c r="N335" t="n">
        <v>0</v>
      </c>
      <c r="O335" t="n">
        <v>0</v>
      </c>
      <c r="P335" t="n">
        <v>0</v>
      </c>
      <c r="Q335" t="n">
        <v>3</v>
      </c>
      <c r="R335" s="2" t="inlineStr">
        <is>
          <t>Rödgul trumpetsvamp
Tibast
Blåsippa</t>
        </is>
      </c>
      <c r="S335">
        <f>HYPERLINK("https://klasma.github.io/Logging_030360/artfynd/A 10846-2025 artfynd.xlsx", "A 10846-2025")</f>
        <v/>
      </c>
      <c r="T335">
        <f>HYPERLINK("https://klasma.github.io/Logging_030360/kartor/A 10846-2025 karta.png", "A 10846-2025")</f>
        <v/>
      </c>
      <c r="V335">
        <f>HYPERLINK("https://klasma.github.io/Logging_030360/klagomål/A 10846-2025 FSC-klagomål.docx", "A 10846-2025")</f>
        <v/>
      </c>
      <c r="W335">
        <f>HYPERLINK("https://klasma.github.io/Logging_030360/klagomålsmail/A 10846-2025 FSC-klagomål mail.docx", "A 10846-2025")</f>
        <v/>
      </c>
      <c r="X335">
        <f>HYPERLINK("https://klasma.github.io/Logging_030360/tillsyn/A 10846-2025 tillsynsbegäran.docx", "A 10846-2025")</f>
        <v/>
      </c>
      <c r="Y335">
        <f>HYPERLINK("https://klasma.github.io/Logging_030360/tillsynsmail/A 10846-2025 tillsynsbegäran mail.docx", "A 10846-2025")</f>
        <v/>
      </c>
    </row>
    <row r="336" ht="15" customHeight="1">
      <c r="A336" t="inlineStr">
        <is>
          <t>A 16146-2025</t>
        </is>
      </c>
      <c r="B336" s="1" t="n">
        <v>45750</v>
      </c>
      <c r="C336" s="1" t="n">
        <v>45846</v>
      </c>
      <c r="D336" t="inlineStr">
        <is>
          <t>UPPSALA LÄN</t>
        </is>
      </c>
      <c r="E336" t="inlineStr">
        <is>
          <t>ÖSTHAMMAR</t>
        </is>
      </c>
      <c r="F336" t="inlineStr">
        <is>
          <t>Övriga Aktiebolag</t>
        </is>
      </c>
      <c r="G336" t="n">
        <v>8.1</v>
      </c>
      <c r="H336" t="n">
        <v>0</v>
      </c>
      <c r="I336" t="n">
        <v>0</v>
      </c>
      <c r="J336" t="n">
        <v>3</v>
      </c>
      <c r="K336" t="n">
        <v>0</v>
      </c>
      <c r="L336" t="n">
        <v>0</v>
      </c>
      <c r="M336" t="n">
        <v>0</v>
      </c>
      <c r="N336" t="n">
        <v>0</v>
      </c>
      <c r="O336" t="n">
        <v>3</v>
      </c>
      <c r="P336" t="n">
        <v>0</v>
      </c>
      <c r="Q336" t="n">
        <v>3</v>
      </c>
      <c r="R336" s="2" t="inlineStr">
        <is>
          <t>Majviva
Silversmygare
Smalsprötad bastardsvärmare</t>
        </is>
      </c>
      <c r="S336">
        <f>HYPERLINK("https://klasma.github.io/Logging_030382/artfynd/A 16146-2025 artfynd.xlsx", "A 16146-2025")</f>
        <v/>
      </c>
      <c r="T336">
        <f>HYPERLINK("https://klasma.github.io/Logging_030382/kartor/A 16146-2025 karta.png", "A 16146-2025")</f>
        <v/>
      </c>
      <c r="V336">
        <f>HYPERLINK("https://klasma.github.io/Logging_030382/klagomål/A 16146-2025 FSC-klagomål.docx", "A 16146-2025")</f>
        <v/>
      </c>
      <c r="W336">
        <f>HYPERLINK("https://klasma.github.io/Logging_030382/klagomålsmail/A 16146-2025 FSC-klagomål mail.docx", "A 16146-2025")</f>
        <v/>
      </c>
      <c r="X336">
        <f>HYPERLINK("https://klasma.github.io/Logging_030382/tillsyn/A 16146-2025 tillsynsbegäran.docx", "A 16146-2025")</f>
        <v/>
      </c>
      <c r="Y336">
        <f>HYPERLINK("https://klasma.github.io/Logging_030382/tillsynsmail/A 16146-2025 tillsynsbegäran mail.docx", "A 16146-2025")</f>
        <v/>
      </c>
    </row>
    <row r="337" ht="15" customHeight="1">
      <c r="A337" t="inlineStr">
        <is>
          <t>A 25044-2025</t>
        </is>
      </c>
      <c r="B337" s="1" t="n">
        <v>45799</v>
      </c>
      <c r="C337" s="1" t="n">
        <v>45846</v>
      </c>
      <c r="D337" t="inlineStr">
        <is>
          <t>UPPSALA LÄN</t>
        </is>
      </c>
      <c r="E337" t="inlineStr">
        <is>
          <t>ÖSTHAMMAR</t>
        </is>
      </c>
      <c r="F337" t="inlineStr">
        <is>
          <t>Bergvik skog öst AB</t>
        </is>
      </c>
      <c r="G337" t="n">
        <v>8.199999999999999</v>
      </c>
      <c r="H337" t="n">
        <v>2</v>
      </c>
      <c r="I337" t="n">
        <v>2</v>
      </c>
      <c r="J337" t="n">
        <v>0</v>
      </c>
      <c r="K337" t="n">
        <v>0</v>
      </c>
      <c r="L337" t="n">
        <v>0</v>
      </c>
      <c r="M337" t="n">
        <v>0</v>
      </c>
      <c r="N337" t="n">
        <v>0</v>
      </c>
      <c r="O337" t="n">
        <v>0</v>
      </c>
      <c r="P337" t="n">
        <v>0</v>
      </c>
      <c r="Q337" t="n">
        <v>3</v>
      </c>
      <c r="R337" s="2" t="inlineStr">
        <is>
          <t>Tvåblad
Vårärt
Blåsippa</t>
        </is>
      </c>
      <c r="S337">
        <f>HYPERLINK("https://klasma.github.io/Logging_030382/artfynd/A 25044-2025 artfynd.xlsx", "A 25044-2025")</f>
        <v/>
      </c>
      <c r="T337">
        <f>HYPERLINK("https://klasma.github.io/Logging_030382/kartor/A 25044-2025 karta.png", "A 25044-2025")</f>
        <v/>
      </c>
      <c r="V337">
        <f>HYPERLINK("https://klasma.github.io/Logging_030382/klagomål/A 25044-2025 FSC-klagomål.docx", "A 25044-2025")</f>
        <v/>
      </c>
      <c r="W337">
        <f>HYPERLINK("https://klasma.github.io/Logging_030382/klagomålsmail/A 25044-2025 FSC-klagomål mail.docx", "A 25044-2025")</f>
        <v/>
      </c>
      <c r="X337">
        <f>HYPERLINK("https://klasma.github.io/Logging_030382/tillsyn/A 25044-2025 tillsynsbegäran.docx", "A 25044-2025")</f>
        <v/>
      </c>
      <c r="Y337">
        <f>HYPERLINK("https://klasma.github.io/Logging_030382/tillsynsmail/A 25044-2025 tillsynsbegäran mail.docx", "A 25044-2025")</f>
        <v/>
      </c>
    </row>
    <row r="338" ht="15" customHeight="1">
      <c r="A338" t="inlineStr">
        <is>
          <t>A 25651-2025</t>
        </is>
      </c>
      <c r="B338" s="1" t="n">
        <v>45803</v>
      </c>
      <c r="C338" s="1" t="n">
        <v>45846</v>
      </c>
      <c r="D338" t="inlineStr">
        <is>
          <t>UPPSALA LÄN</t>
        </is>
      </c>
      <c r="E338" t="inlineStr">
        <is>
          <t>UPPSALA</t>
        </is>
      </c>
      <c r="F338" t="inlineStr">
        <is>
          <t>Holmen skog AB</t>
        </is>
      </c>
      <c r="G338" t="n">
        <v>3.6</v>
      </c>
      <c r="H338" t="n">
        <v>2</v>
      </c>
      <c r="I338" t="n">
        <v>0</v>
      </c>
      <c r="J338" t="n">
        <v>1</v>
      </c>
      <c r="K338" t="n">
        <v>1</v>
      </c>
      <c r="L338" t="n">
        <v>0</v>
      </c>
      <c r="M338" t="n">
        <v>0</v>
      </c>
      <c r="N338" t="n">
        <v>0</v>
      </c>
      <c r="O338" t="n">
        <v>2</v>
      </c>
      <c r="P338" t="n">
        <v>1</v>
      </c>
      <c r="Q338" t="n">
        <v>3</v>
      </c>
      <c r="R338" s="2" t="inlineStr">
        <is>
          <t>Knärot
Vedtrappmossa
Revlummer</t>
        </is>
      </c>
      <c r="S338">
        <f>HYPERLINK("https://klasma.github.io/Logging_030380/artfynd/A 25651-2025 artfynd.xlsx", "A 25651-2025")</f>
        <v/>
      </c>
      <c r="T338">
        <f>HYPERLINK("https://klasma.github.io/Logging_030380/kartor/A 25651-2025 karta.png", "A 25651-2025")</f>
        <v/>
      </c>
      <c r="U338">
        <f>HYPERLINK("https://klasma.github.io/Logging_030380/knärot/A 25651-2025 karta knärot.png", "A 25651-2025")</f>
        <v/>
      </c>
      <c r="V338">
        <f>HYPERLINK("https://klasma.github.io/Logging_030380/klagomål/A 25651-2025 FSC-klagomål.docx", "A 25651-2025")</f>
        <v/>
      </c>
      <c r="W338">
        <f>HYPERLINK("https://klasma.github.io/Logging_030380/klagomålsmail/A 25651-2025 FSC-klagomål mail.docx", "A 25651-2025")</f>
        <v/>
      </c>
      <c r="X338">
        <f>HYPERLINK("https://klasma.github.io/Logging_030380/tillsyn/A 25651-2025 tillsynsbegäran.docx", "A 25651-2025")</f>
        <v/>
      </c>
      <c r="Y338">
        <f>HYPERLINK("https://klasma.github.io/Logging_030380/tillsynsmail/A 25651-2025 tillsynsbegäran mail.docx", "A 25651-2025")</f>
        <v/>
      </c>
    </row>
    <row r="339" ht="15" customHeight="1">
      <c r="A339" t="inlineStr">
        <is>
          <t>A 26043-2025</t>
        </is>
      </c>
      <c r="B339" s="1" t="n">
        <v>45804</v>
      </c>
      <c r="C339" s="1" t="n">
        <v>45846</v>
      </c>
      <c r="D339" t="inlineStr">
        <is>
          <t>UPPSALA LÄN</t>
        </is>
      </c>
      <c r="E339" t="inlineStr">
        <is>
          <t>ENKÖPING</t>
        </is>
      </c>
      <c r="G339" t="n">
        <v>1.7</v>
      </c>
      <c r="H339" t="n">
        <v>2</v>
      </c>
      <c r="I339" t="n">
        <v>1</v>
      </c>
      <c r="J339" t="n">
        <v>2</v>
      </c>
      <c r="K339" t="n">
        <v>0</v>
      </c>
      <c r="L339" t="n">
        <v>0</v>
      </c>
      <c r="M339" t="n">
        <v>0</v>
      </c>
      <c r="N339" t="n">
        <v>0</v>
      </c>
      <c r="O339" t="n">
        <v>2</v>
      </c>
      <c r="P339" t="n">
        <v>0</v>
      </c>
      <c r="Q339" t="n">
        <v>3</v>
      </c>
      <c r="R339" s="2" t="inlineStr">
        <is>
          <t>Spillkråka
Talltita
Bårdlav</t>
        </is>
      </c>
      <c r="S339">
        <f>HYPERLINK("https://klasma.github.io/Logging_030381/artfynd/A 26043-2025 artfynd.xlsx", "A 26043-2025")</f>
        <v/>
      </c>
      <c r="T339">
        <f>HYPERLINK("https://klasma.github.io/Logging_030381/kartor/A 26043-2025 karta.png", "A 26043-2025")</f>
        <v/>
      </c>
      <c r="V339">
        <f>HYPERLINK("https://klasma.github.io/Logging_030381/klagomål/A 26043-2025 FSC-klagomål.docx", "A 26043-2025")</f>
        <v/>
      </c>
      <c r="W339">
        <f>HYPERLINK("https://klasma.github.io/Logging_030381/klagomålsmail/A 26043-2025 FSC-klagomål mail.docx", "A 26043-2025")</f>
        <v/>
      </c>
      <c r="X339">
        <f>HYPERLINK("https://klasma.github.io/Logging_030381/tillsyn/A 26043-2025 tillsynsbegäran.docx", "A 26043-2025")</f>
        <v/>
      </c>
      <c r="Y339">
        <f>HYPERLINK("https://klasma.github.io/Logging_030381/tillsynsmail/A 26043-2025 tillsynsbegäran mail.docx", "A 26043-2025")</f>
        <v/>
      </c>
      <c r="Z339">
        <f>HYPERLINK("https://klasma.github.io/Logging_030381/fåglar/A 26043-2025 prioriterade fågelarter.docx", "A 26043-2025")</f>
        <v/>
      </c>
    </row>
    <row r="340" ht="15" customHeight="1">
      <c r="A340" t="inlineStr">
        <is>
          <t>A 30484-2025</t>
        </is>
      </c>
      <c r="B340" s="1" t="n">
        <v>45828</v>
      </c>
      <c r="C340" s="1" t="n">
        <v>45846</v>
      </c>
      <c r="D340" t="inlineStr">
        <is>
          <t>UPPSALA LÄN</t>
        </is>
      </c>
      <c r="E340" t="inlineStr">
        <is>
          <t>ÄLVKARLEBY</t>
        </is>
      </c>
      <c r="F340" t="inlineStr">
        <is>
          <t>Bergvik skog väst AB</t>
        </is>
      </c>
      <c r="G340" t="n">
        <v>1.6</v>
      </c>
      <c r="H340" t="n">
        <v>1</v>
      </c>
      <c r="I340" t="n">
        <v>1</v>
      </c>
      <c r="J340" t="n">
        <v>1</v>
      </c>
      <c r="K340" t="n">
        <v>0</v>
      </c>
      <c r="L340" t="n">
        <v>0</v>
      </c>
      <c r="M340" t="n">
        <v>0</v>
      </c>
      <c r="N340" t="n">
        <v>0</v>
      </c>
      <c r="O340" t="n">
        <v>1</v>
      </c>
      <c r="P340" t="n">
        <v>0</v>
      </c>
      <c r="Q340" t="n">
        <v>3</v>
      </c>
      <c r="R340" s="2" t="inlineStr">
        <is>
          <t>Slåtterfibbla
Svart trolldruva
Gullviva</t>
        </is>
      </c>
      <c r="S340">
        <f>HYPERLINK("https://klasma.github.io/Logging_030319/artfynd/A 30484-2025 artfynd.xlsx", "A 30484-2025")</f>
        <v/>
      </c>
      <c r="T340">
        <f>HYPERLINK("https://klasma.github.io/Logging_030319/kartor/A 30484-2025 karta.png", "A 30484-2025")</f>
        <v/>
      </c>
      <c r="V340">
        <f>HYPERLINK("https://klasma.github.io/Logging_030319/klagomål/A 30484-2025 FSC-klagomål.docx", "A 30484-2025")</f>
        <v/>
      </c>
      <c r="W340">
        <f>HYPERLINK("https://klasma.github.io/Logging_030319/klagomålsmail/A 30484-2025 FSC-klagomål mail.docx", "A 30484-2025")</f>
        <v/>
      </c>
      <c r="X340">
        <f>HYPERLINK("https://klasma.github.io/Logging_030319/tillsyn/A 30484-2025 tillsynsbegäran.docx", "A 30484-2025")</f>
        <v/>
      </c>
      <c r="Y340">
        <f>HYPERLINK("https://klasma.github.io/Logging_030319/tillsynsmail/A 30484-2025 tillsynsbegäran mail.docx", "A 30484-2025")</f>
        <v/>
      </c>
    </row>
    <row r="341" ht="15" customHeight="1">
      <c r="A341" t="inlineStr">
        <is>
          <t>A 30716-2025</t>
        </is>
      </c>
      <c r="B341" s="1" t="n">
        <v>45831</v>
      </c>
      <c r="C341" s="1" t="n">
        <v>45846</v>
      </c>
      <c r="D341" t="inlineStr">
        <is>
          <t>UPPSALA LÄN</t>
        </is>
      </c>
      <c r="E341" t="inlineStr">
        <is>
          <t>UPPSALA</t>
        </is>
      </c>
      <c r="G341" t="n">
        <v>2.3</v>
      </c>
      <c r="H341" t="n">
        <v>2</v>
      </c>
      <c r="I341" t="n">
        <v>1</v>
      </c>
      <c r="J341" t="n">
        <v>1</v>
      </c>
      <c r="K341" t="n">
        <v>1</v>
      </c>
      <c r="L341" t="n">
        <v>0</v>
      </c>
      <c r="M341" t="n">
        <v>0</v>
      </c>
      <c r="N341" t="n">
        <v>0</v>
      </c>
      <c r="O341" t="n">
        <v>2</v>
      </c>
      <c r="P341" t="n">
        <v>1</v>
      </c>
      <c r="Q341" t="n">
        <v>3</v>
      </c>
      <c r="R341" s="2" t="inlineStr">
        <is>
          <t>Knärot
Talltita
Skinnlav</t>
        </is>
      </c>
      <c r="S341">
        <f>HYPERLINK("https://klasma.github.io/Logging_030380/artfynd/A 30716-2025 artfynd.xlsx", "A 30716-2025")</f>
        <v/>
      </c>
      <c r="T341">
        <f>HYPERLINK("https://klasma.github.io/Logging_030380/kartor/A 30716-2025 karta.png", "A 30716-2025")</f>
        <v/>
      </c>
      <c r="U341">
        <f>HYPERLINK("https://klasma.github.io/Logging_030380/knärot/A 30716-2025 karta knärot.png", "A 30716-2025")</f>
        <v/>
      </c>
      <c r="V341">
        <f>HYPERLINK("https://klasma.github.io/Logging_030380/klagomål/A 30716-2025 FSC-klagomål.docx", "A 30716-2025")</f>
        <v/>
      </c>
      <c r="W341">
        <f>HYPERLINK("https://klasma.github.io/Logging_030380/klagomålsmail/A 30716-2025 FSC-klagomål mail.docx", "A 30716-2025")</f>
        <v/>
      </c>
      <c r="X341">
        <f>HYPERLINK("https://klasma.github.io/Logging_030380/tillsyn/A 30716-2025 tillsynsbegäran.docx", "A 30716-2025")</f>
        <v/>
      </c>
      <c r="Y341">
        <f>HYPERLINK("https://klasma.github.io/Logging_030380/tillsynsmail/A 30716-2025 tillsynsbegäran mail.docx", "A 30716-2025")</f>
        <v/>
      </c>
      <c r="Z341">
        <f>HYPERLINK("https://klasma.github.io/Logging_030380/fåglar/A 30716-2025 prioriterade fågelarter.docx", "A 30716-2025")</f>
        <v/>
      </c>
    </row>
    <row r="342" ht="15" customHeight="1">
      <c r="A342" t="inlineStr">
        <is>
          <t>A 20671-2019</t>
        </is>
      </c>
      <c r="B342" s="1" t="n">
        <v>43572</v>
      </c>
      <c r="C342" s="1" t="n">
        <v>45846</v>
      </c>
      <c r="D342" t="inlineStr">
        <is>
          <t>UPPSALA LÄN</t>
        </is>
      </c>
      <c r="E342" t="inlineStr">
        <is>
          <t>UPPSALA</t>
        </is>
      </c>
      <c r="G342" t="n">
        <v>14.8</v>
      </c>
      <c r="H342" t="n">
        <v>1</v>
      </c>
      <c r="I342" t="n">
        <v>0</v>
      </c>
      <c r="J342" t="n">
        <v>2</v>
      </c>
      <c r="K342" t="n">
        <v>0</v>
      </c>
      <c r="L342" t="n">
        <v>0</v>
      </c>
      <c r="M342" t="n">
        <v>0</v>
      </c>
      <c r="N342" t="n">
        <v>0</v>
      </c>
      <c r="O342" t="n">
        <v>2</v>
      </c>
      <c r="P342" t="n">
        <v>0</v>
      </c>
      <c r="Q342" t="n">
        <v>2</v>
      </c>
      <c r="R342" s="2" t="inlineStr">
        <is>
          <t>Gulsparv
Svartöra</t>
        </is>
      </c>
      <c r="S342">
        <f>HYPERLINK("https://klasma.github.io/Logging_0380/artfynd/A 20671-2019 artfynd.xlsx", "A 20671-2019")</f>
        <v/>
      </c>
      <c r="T342">
        <f>HYPERLINK("https://klasma.github.io/Logging_0380/kartor/A 20671-2019 karta.png", "A 20671-2019")</f>
        <v/>
      </c>
      <c r="V342">
        <f>HYPERLINK("https://klasma.github.io/Logging_0380/klagomål/A 20671-2019 FSC-klagomål.docx", "A 20671-2019")</f>
        <v/>
      </c>
      <c r="W342">
        <f>HYPERLINK("https://klasma.github.io/Logging_0380/klagomålsmail/A 20671-2019 FSC-klagomål mail.docx", "A 20671-2019")</f>
        <v/>
      </c>
      <c r="X342">
        <f>HYPERLINK("https://klasma.github.io/Logging_0380/tillsyn/A 20671-2019 tillsynsbegäran.docx", "A 20671-2019")</f>
        <v/>
      </c>
      <c r="Y342">
        <f>HYPERLINK("https://klasma.github.io/Logging_0380/tillsynsmail/A 20671-2019 tillsynsbegäran mail.docx", "A 20671-2019")</f>
        <v/>
      </c>
      <c r="Z342">
        <f>HYPERLINK("https://klasma.github.io/Logging_0380/fåglar/A 20671-2019 prioriterade fågelarter.docx", "A 20671-2019")</f>
        <v/>
      </c>
    </row>
    <row r="343" ht="15" customHeight="1">
      <c r="A343" t="inlineStr">
        <is>
          <t>A 25607-2019</t>
        </is>
      </c>
      <c r="B343" s="1" t="n">
        <v>43607</v>
      </c>
      <c r="C343" s="1" t="n">
        <v>45846</v>
      </c>
      <c r="D343" t="inlineStr">
        <is>
          <t>UPPSALA LÄN</t>
        </is>
      </c>
      <c r="E343" t="inlineStr">
        <is>
          <t>UPPSALA</t>
        </is>
      </c>
      <c r="G343" t="n">
        <v>1.1</v>
      </c>
      <c r="H343" t="n">
        <v>2</v>
      </c>
      <c r="I343" t="n">
        <v>0</v>
      </c>
      <c r="J343" t="n">
        <v>0</v>
      </c>
      <c r="K343" t="n">
        <v>0</v>
      </c>
      <c r="L343" t="n">
        <v>0</v>
      </c>
      <c r="M343" t="n">
        <v>0</v>
      </c>
      <c r="N343" t="n">
        <v>0</v>
      </c>
      <c r="O343" t="n">
        <v>0</v>
      </c>
      <c r="P343" t="n">
        <v>0</v>
      </c>
      <c r="Q343" t="n">
        <v>2</v>
      </c>
      <c r="R343" s="2" t="inlineStr">
        <is>
          <t>Större vattensalamander
Mindre vattensalamander</t>
        </is>
      </c>
      <c r="S343">
        <f>HYPERLINK("https://klasma.github.io/Logging_0380/artfynd/A 25607-2019 artfynd.xlsx", "A 25607-2019")</f>
        <v/>
      </c>
      <c r="T343">
        <f>HYPERLINK("https://klasma.github.io/Logging_0380/kartor/A 25607-2019 karta.png", "A 25607-2019")</f>
        <v/>
      </c>
      <c r="V343">
        <f>HYPERLINK("https://klasma.github.io/Logging_0380/klagomål/A 25607-2019 FSC-klagomål.docx", "A 25607-2019")</f>
        <v/>
      </c>
      <c r="W343">
        <f>HYPERLINK("https://klasma.github.io/Logging_0380/klagomålsmail/A 25607-2019 FSC-klagomål mail.docx", "A 25607-2019")</f>
        <v/>
      </c>
      <c r="X343">
        <f>HYPERLINK("https://klasma.github.io/Logging_0380/tillsyn/A 25607-2019 tillsynsbegäran.docx", "A 25607-2019")</f>
        <v/>
      </c>
      <c r="Y343">
        <f>HYPERLINK("https://klasma.github.io/Logging_0380/tillsynsmail/A 25607-2019 tillsynsbegäran mail.docx", "A 25607-2019")</f>
        <v/>
      </c>
    </row>
    <row r="344" ht="15" customHeight="1">
      <c r="A344" t="inlineStr">
        <is>
          <t>A 34066-2019</t>
        </is>
      </c>
      <c r="B344" s="1" t="n">
        <v>43654</v>
      </c>
      <c r="C344" s="1" t="n">
        <v>45846</v>
      </c>
      <c r="D344" t="inlineStr">
        <is>
          <t>UPPSALA LÄN</t>
        </is>
      </c>
      <c r="E344" t="inlineStr">
        <is>
          <t>UPPSALA</t>
        </is>
      </c>
      <c r="G344" t="n">
        <v>1.3</v>
      </c>
      <c r="H344" t="n">
        <v>0</v>
      </c>
      <c r="I344" t="n">
        <v>0</v>
      </c>
      <c r="J344" t="n">
        <v>2</v>
      </c>
      <c r="K344" t="n">
        <v>0</v>
      </c>
      <c r="L344" t="n">
        <v>0</v>
      </c>
      <c r="M344" t="n">
        <v>0</v>
      </c>
      <c r="N344" t="n">
        <v>0</v>
      </c>
      <c r="O344" t="n">
        <v>2</v>
      </c>
      <c r="P344" t="n">
        <v>0</v>
      </c>
      <c r="Q344" t="n">
        <v>2</v>
      </c>
      <c r="R344" s="2" t="inlineStr">
        <is>
          <t>Asppraktbagge
Grön aspvedbock</t>
        </is>
      </c>
      <c r="S344">
        <f>HYPERLINK("https://klasma.github.io/Logging_0380/artfynd/A 34066-2019 artfynd.xlsx", "A 34066-2019")</f>
        <v/>
      </c>
      <c r="T344">
        <f>HYPERLINK("https://klasma.github.io/Logging_0380/kartor/A 34066-2019 karta.png", "A 34066-2019")</f>
        <v/>
      </c>
      <c r="V344">
        <f>HYPERLINK("https://klasma.github.io/Logging_0380/klagomål/A 34066-2019 FSC-klagomål.docx", "A 34066-2019")</f>
        <v/>
      </c>
      <c r="W344">
        <f>HYPERLINK("https://klasma.github.io/Logging_0380/klagomålsmail/A 34066-2019 FSC-klagomål mail.docx", "A 34066-2019")</f>
        <v/>
      </c>
      <c r="X344">
        <f>HYPERLINK("https://klasma.github.io/Logging_0380/tillsyn/A 34066-2019 tillsynsbegäran.docx", "A 34066-2019")</f>
        <v/>
      </c>
      <c r="Y344">
        <f>HYPERLINK("https://klasma.github.io/Logging_0380/tillsynsmail/A 34066-2019 tillsynsbegäran mail.docx", "A 34066-2019")</f>
        <v/>
      </c>
    </row>
    <row r="345" ht="15" customHeight="1">
      <c r="A345" t="inlineStr">
        <is>
          <t>A 35563-2019</t>
        </is>
      </c>
      <c r="B345" s="1" t="n">
        <v>43664</v>
      </c>
      <c r="C345" s="1" t="n">
        <v>45846</v>
      </c>
      <c r="D345" t="inlineStr">
        <is>
          <t>UPPSALA LÄN</t>
        </is>
      </c>
      <c r="E345" t="inlineStr">
        <is>
          <t>TIERP</t>
        </is>
      </c>
      <c r="F345" t="inlineStr">
        <is>
          <t>Bergvik skog öst AB</t>
        </is>
      </c>
      <c r="G345" t="n">
        <v>4.6</v>
      </c>
      <c r="H345" t="n">
        <v>1</v>
      </c>
      <c r="I345" t="n">
        <v>2</v>
      </c>
      <c r="J345" t="n">
        <v>0</v>
      </c>
      <c r="K345" t="n">
        <v>0</v>
      </c>
      <c r="L345" t="n">
        <v>0</v>
      </c>
      <c r="M345" t="n">
        <v>0</v>
      </c>
      <c r="N345" t="n">
        <v>0</v>
      </c>
      <c r="O345" t="n">
        <v>0</v>
      </c>
      <c r="P345" t="n">
        <v>0</v>
      </c>
      <c r="Q345" t="n">
        <v>2</v>
      </c>
      <c r="R345" s="2" t="inlineStr">
        <is>
          <t>Nästrot
Tibast</t>
        </is>
      </c>
      <c r="S345">
        <f>HYPERLINK("https://klasma.github.io/Logging_0360/artfynd/A 35563-2019 artfynd.xlsx", "A 35563-2019")</f>
        <v/>
      </c>
      <c r="T345">
        <f>HYPERLINK("https://klasma.github.io/Logging_0360/kartor/A 35563-2019 karta.png", "A 35563-2019")</f>
        <v/>
      </c>
      <c r="V345">
        <f>HYPERLINK("https://klasma.github.io/Logging_0360/klagomål/A 35563-2019 FSC-klagomål.docx", "A 35563-2019")</f>
        <v/>
      </c>
      <c r="W345">
        <f>HYPERLINK("https://klasma.github.io/Logging_0360/klagomålsmail/A 35563-2019 FSC-klagomål mail.docx", "A 35563-2019")</f>
        <v/>
      </c>
      <c r="X345">
        <f>HYPERLINK("https://klasma.github.io/Logging_0360/tillsyn/A 35563-2019 tillsynsbegäran.docx", "A 35563-2019")</f>
        <v/>
      </c>
      <c r="Y345">
        <f>HYPERLINK("https://klasma.github.io/Logging_0360/tillsynsmail/A 35563-2019 tillsynsbegäran mail.docx", "A 35563-2019")</f>
        <v/>
      </c>
    </row>
    <row r="346" ht="15" customHeight="1">
      <c r="A346" t="inlineStr">
        <is>
          <t>A 52165-2019</t>
        </is>
      </c>
      <c r="B346" s="1" t="n">
        <v>43742</v>
      </c>
      <c r="C346" s="1" t="n">
        <v>45846</v>
      </c>
      <c r="D346" t="inlineStr">
        <is>
          <t>UPPSALA LÄN</t>
        </is>
      </c>
      <c r="E346" t="inlineStr">
        <is>
          <t>UPPSALA</t>
        </is>
      </c>
      <c r="F346" t="inlineStr">
        <is>
          <t>Allmännings- och besparingsskogar</t>
        </is>
      </c>
      <c r="G346" t="n">
        <v>28.7</v>
      </c>
      <c r="H346" t="n">
        <v>2</v>
      </c>
      <c r="I346" t="n">
        <v>2</v>
      </c>
      <c r="J346" t="n">
        <v>0</v>
      </c>
      <c r="K346" t="n">
        <v>0</v>
      </c>
      <c r="L346" t="n">
        <v>0</v>
      </c>
      <c r="M346" t="n">
        <v>0</v>
      </c>
      <c r="N346" t="n">
        <v>0</v>
      </c>
      <c r="O346" t="n">
        <v>0</v>
      </c>
      <c r="P346" t="n">
        <v>0</v>
      </c>
      <c r="Q346" t="n">
        <v>2</v>
      </c>
      <c r="R346" s="2" t="inlineStr">
        <is>
          <t>Korallrot
Spindelblomster</t>
        </is>
      </c>
      <c r="S346">
        <f>HYPERLINK("https://klasma.github.io/Logging_0380/artfynd/A 52165-2019 artfynd.xlsx", "A 52165-2019")</f>
        <v/>
      </c>
      <c r="T346">
        <f>HYPERLINK("https://klasma.github.io/Logging_0380/kartor/A 52165-2019 karta.png", "A 52165-2019")</f>
        <v/>
      </c>
      <c r="V346">
        <f>HYPERLINK("https://klasma.github.io/Logging_0380/klagomål/A 52165-2019 FSC-klagomål.docx", "A 52165-2019")</f>
        <v/>
      </c>
      <c r="W346">
        <f>HYPERLINK("https://klasma.github.io/Logging_0380/klagomålsmail/A 52165-2019 FSC-klagomål mail.docx", "A 52165-2019")</f>
        <v/>
      </c>
      <c r="X346">
        <f>HYPERLINK("https://klasma.github.io/Logging_0380/tillsyn/A 52165-2019 tillsynsbegäran.docx", "A 52165-2019")</f>
        <v/>
      </c>
      <c r="Y346">
        <f>HYPERLINK("https://klasma.github.io/Logging_0380/tillsynsmail/A 52165-2019 tillsynsbegäran mail.docx", "A 52165-2019")</f>
        <v/>
      </c>
    </row>
    <row r="347" ht="15" customHeight="1">
      <c r="A347" t="inlineStr">
        <is>
          <t>A 60083-2019</t>
        </is>
      </c>
      <c r="B347" s="1" t="n">
        <v>43777</v>
      </c>
      <c r="C347" s="1" t="n">
        <v>45846</v>
      </c>
      <c r="D347" t="inlineStr">
        <is>
          <t>UPPSALA LÄN</t>
        </is>
      </c>
      <c r="E347" t="inlineStr">
        <is>
          <t>TIERP</t>
        </is>
      </c>
      <c r="G347" t="n">
        <v>2.7</v>
      </c>
      <c r="H347" t="n">
        <v>0</v>
      </c>
      <c r="I347" t="n">
        <v>2</v>
      </c>
      <c r="J347" t="n">
        <v>0</v>
      </c>
      <c r="K347" t="n">
        <v>0</v>
      </c>
      <c r="L347" t="n">
        <v>0</v>
      </c>
      <c r="M347" t="n">
        <v>0</v>
      </c>
      <c r="N347" t="n">
        <v>0</v>
      </c>
      <c r="O347" t="n">
        <v>0</v>
      </c>
      <c r="P347" t="n">
        <v>0</v>
      </c>
      <c r="Q347" t="n">
        <v>2</v>
      </c>
      <c r="R347" s="2" t="inlineStr">
        <is>
          <t>Granbarkgnagare
Skarp dropptaggsvamp</t>
        </is>
      </c>
      <c r="S347">
        <f>HYPERLINK("https://klasma.github.io/Logging_0360/artfynd/A 60083-2019 artfynd.xlsx", "A 60083-2019")</f>
        <v/>
      </c>
      <c r="T347">
        <f>HYPERLINK("https://klasma.github.io/Logging_0360/kartor/A 60083-2019 karta.png", "A 60083-2019")</f>
        <v/>
      </c>
      <c r="V347">
        <f>HYPERLINK("https://klasma.github.io/Logging_0360/klagomål/A 60083-2019 FSC-klagomål.docx", "A 60083-2019")</f>
        <v/>
      </c>
      <c r="W347">
        <f>HYPERLINK("https://klasma.github.io/Logging_0360/klagomålsmail/A 60083-2019 FSC-klagomål mail.docx", "A 60083-2019")</f>
        <v/>
      </c>
      <c r="X347">
        <f>HYPERLINK("https://klasma.github.io/Logging_0360/tillsyn/A 60083-2019 tillsynsbegäran.docx", "A 60083-2019")</f>
        <v/>
      </c>
      <c r="Y347">
        <f>HYPERLINK("https://klasma.github.io/Logging_0360/tillsynsmail/A 60083-2019 tillsynsbegäran mail.docx", "A 60083-2019")</f>
        <v/>
      </c>
    </row>
    <row r="348" ht="15" customHeight="1">
      <c r="A348" t="inlineStr">
        <is>
          <t>A 2172-2020</t>
        </is>
      </c>
      <c r="B348" s="1" t="n">
        <v>43846</v>
      </c>
      <c r="C348" s="1" t="n">
        <v>45846</v>
      </c>
      <c r="D348" t="inlineStr">
        <is>
          <t>UPPSALA LÄN</t>
        </is>
      </c>
      <c r="E348" t="inlineStr">
        <is>
          <t>ÖSTHAMMAR</t>
        </is>
      </c>
      <c r="G348" t="n">
        <v>3.8</v>
      </c>
      <c r="H348" t="n">
        <v>0</v>
      </c>
      <c r="I348" t="n">
        <v>1</v>
      </c>
      <c r="J348" t="n">
        <v>1</v>
      </c>
      <c r="K348" t="n">
        <v>0</v>
      </c>
      <c r="L348" t="n">
        <v>0</v>
      </c>
      <c r="M348" t="n">
        <v>0</v>
      </c>
      <c r="N348" t="n">
        <v>0</v>
      </c>
      <c r="O348" t="n">
        <v>1</v>
      </c>
      <c r="P348" t="n">
        <v>0</v>
      </c>
      <c r="Q348" t="n">
        <v>2</v>
      </c>
      <c r="R348" s="2" t="inlineStr">
        <is>
          <t>Flattoppad klubbsvamp
Zontaggsvamp</t>
        </is>
      </c>
      <c r="S348">
        <f>HYPERLINK("https://klasma.github.io/Logging_0382/artfynd/A 2172-2020 artfynd.xlsx", "A 2172-2020")</f>
        <v/>
      </c>
      <c r="T348">
        <f>HYPERLINK("https://klasma.github.io/Logging_0382/kartor/A 2172-2020 karta.png", "A 2172-2020")</f>
        <v/>
      </c>
      <c r="V348">
        <f>HYPERLINK("https://klasma.github.io/Logging_0382/klagomål/A 2172-2020 FSC-klagomål.docx", "A 2172-2020")</f>
        <v/>
      </c>
      <c r="W348">
        <f>HYPERLINK("https://klasma.github.io/Logging_0382/klagomålsmail/A 2172-2020 FSC-klagomål mail.docx", "A 2172-2020")</f>
        <v/>
      </c>
      <c r="X348">
        <f>HYPERLINK("https://klasma.github.io/Logging_0382/tillsyn/A 2172-2020 tillsynsbegäran.docx", "A 2172-2020")</f>
        <v/>
      </c>
      <c r="Y348">
        <f>HYPERLINK("https://klasma.github.io/Logging_0382/tillsynsmail/A 2172-2020 tillsynsbegäran mail.docx", "A 2172-2020")</f>
        <v/>
      </c>
    </row>
    <row r="349" ht="15" customHeight="1">
      <c r="A349" t="inlineStr">
        <is>
          <t>A 9867-2020</t>
        </is>
      </c>
      <c r="B349" s="1" t="n">
        <v>43882</v>
      </c>
      <c r="C349" s="1" t="n">
        <v>45846</v>
      </c>
      <c r="D349" t="inlineStr">
        <is>
          <t>UPPSALA LÄN</t>
        </is>
      </c>
      <c r="E349" t="inlineStr">
        <is>
          <t>ÖSTHAMMAR</t>
        </is>
      </c>
      <c r="F349" t="inlineStr">
        <is>
          <t>Bergvik skog öst AB</t>
        </is>
      </c>
      <c r="G349" t="n">
        <v>11.1</v>
      </c>
      <c r="H349" t="n">
        <v>1</v>
      </c>
      <c r="I349" t="n">
        <v>1</v>
      </c>
      <c r="J349" t="n">
        <v>0</v>
      </c>
      <c r="K349" t="n">
        <v>0</v>
      </c>
      <c r="L349" t="n">
        <v>0</v>
      </c>
      <c r="M349" t="n">
        <v>0</v>
      </c>
      <c r="N349" t="n">
        <v>0</v>
      </c>
      <c r="O349" t="n">
        <v>0</v>
      </c>
      <c r="P349" t="n">
        <v>0</v>
      </c>
      <c r="Q349" t="n">
        <v>2</v>
      </c>
      <c r="R349" s="2" t="inlineStr">
        <is>
          <t>Gräsull
Revlummer</t>
        </is>
      </c>
      <c r="S349">
        <f>HYPERLINK("https://klasma.github.io/Logging_0382/artfynd/A 9867-2020 artfynd.xlsx", "A 9867-2020")</f>
        <v/>
      </c>
      <c r="T349">
        <f>HYPERLINK("https://klasma.github.io/Logging_0382/kartor/A 9867-2020 karta.png", "A 9867-2020")</f>
        <v/>
      </c>
      <c r="V349">
        <f>HYPERLINK("https://klasma.github.io/Logging_0382/klagomål/A 9867-2020 FSC-klagomål.docx", "A 9867-2020")</f>
        <v/>
      </c>
      <c r="W349">
        <f>HYPERLINK("https://klasma.github.io/Logging_0382/klagomålsmail/A 9867-2020 FSC-klagomål mail.docx", "A 9867-2020")</f>
        <v/>
      </c>
      <c r="X349">
        <f>HYPERLINK("https://klasma.github.io/Logging_0382/tillsyn/A 9867-2020 tillsynsbegäran.docx", "A 9867-2020")</f>
        <v/>
      </c>
      <c r="Y349">
        <f>HYPERLINK("https://klasma.github.io/Logging_0382/tillsynsmail/A 9867-2020 tillsynsbegäran mail.docx", "A 9867-2020")</f>
        <v/>
      </c>
    </row>
    <row r="350" ht="15" customHeight="1">
      <c r="A350" t="inlineStr">
        <is>
          <t>A 14181-2020</t>
        </is>
      </c>
      <c r="B350" s="1" t="n">
        <v>43907</v>
      </c>
      <c r="C350" s="1" t="n">
        <v>45846</v>
      </c>
      <c r="D350" t="inlineStr">
        <is>
          <t>UPPSALA LÄN</t>
        </is>
      </c>
      <c r="E350" t="inlineStr">
        <is>
          <t>ENKÖPING</t>
        </is>
      </c>
      <c r="F350" t="inlineStr">
        <is>
          <t>Kyrkan</t>
        </is>
      </c>
      <c r="G350" t="n">
        <v>2.5</v>
      </c>
      <c r="H350" t="n">
        <v>0</v>
      </c>
      <c r="I350" t="n">
        <v>1</v>
      </c>
      <c r="J350" t="n">
        <v>1</v>
      </c>
      <c r="K350" t="n">
        <v>0</v>
      </c>
      <c r="L350" t="n">
        <v>0</v>
      </c>
      <c r="M350" t="n">
        <v>0</v>
      </c>
      <c r="N350" t="n">
        <v>0</v>
      </c>
      <c r="O350" t="n">
        <v>1</v>
      </c>
      <c r="P350" t="n">
        <v>0</v>
      </c>
      <c r="Q350" t="n">
        <v>2</v>
      </c>
      <c r="R350" s="2" t="inlineStr">
        <is>
          <t>Flentimotej
Svart trolldruva</t>
        </is>
      </c>
      <c r="S350">
        <f>HYPERLINK("https://klasma.github.io/Logging_0381/artfynd/A 14181-2020 artfynd.xlsx", "A 14181-2020")</f>
        <v/>
      </c>
      <c r="T350">
        <f>HYPERLINK("https://klasma.github.io/Logging_0381/kartor/A 14181-2020 karta.png", "A 14181-2020")</f>
        <v/>
      </c>
      <c r="V350">
        <f>HYPERLINK("https://klasma.github.io/Logging_0381/klagomål/A 14181-2020 FSC-klagomål.docx", "A 14181-2020")</f>
        <v/>
      </c>
      <c r="W350">
        <f>HYPERLINK("https://klasma.github.io/Logging_0381/klagomålsmail/A 14181-2020 FSC-klagomål mail.docx", "A 14181-2020")</f>
        <v/>
      </c>
      <c r="X350">
        <f>HYPERLINK("https://klasma.github.io/Logging_0381/tillsyn/A 14181-2020 tillsynsbegäran.docx", "A 14181-2020")</f>
        <v/>
      </c>
      <c r="Y350">
        <f>HYPERLINK("https://klasma.github.io/Logging_0381/tillsynsmail/A 14181-2020 tillsynsbegäran mail.docx", "A 14181-2020")</f>
        <v/>
      </c>
    </row>
    <row r="351" ht="15" customHeight="1">
      <c r="A351" t="inlineStr">
        <is>
          <t>A 18468-2020</t>
        </is>
      </c>
      <c r="B351" s="1" t="n">
        <v>43929</v>
      </c>
      <c r="C351" s="1" t="n">
        <v>45846</v>
      </c>
      <c r="D351" t="inlineStr">
        <is>
          <t>UPPSALA LÄN</t>
        </is>
      </c>
      <c r="E351" t="inlineStr">
        <is>
          <t>UPPSALA</t>
        </is>
      </c>
      <c r="G351" t="n">
        <v>0.5</v>
      </c>
      <c r="H351" t="n">
        <v>1</v>
      </c>
      <c r="I351" t="n">
        <v>1</v>
      </c>
      <c r="J351" t="n">
        <v>0</v>
      </c>
      <c r="K351" t="n">
        <v>0</v>
      </c>
      <c r="L351" t="n">
        <v>0</v>
      </c>
      <c r="M351" t="n">
        <v>0</v>
      </c>
      <c r="N351" t="n">
        <v>0</v>
      </c>
      <c r="O351" t="n">
        <v>0</v>
      </c>
      <c r="P351" t="n">
        <v>0</v>
      </c>
      <c r="Q351" t="n">
        <v>2</v>
      </c>
      <c r="R351" s="2" t="inlineStr">
        <is>
          <t>Mindre märgborre
Gullviva</t>
        </is>
      </c>
      <c r="S351">
        <f>HYPERLINK("https://klasma.github.io/Logging_0380/artfynd/A 18468-2020 artfynd.xlsx", "A 18468-2020")</f>
        <v/>
      </c>
      <c r="T351">
        <f>HYPERLINK("https://klasma.github.io/Logging_0380/kartor/A 18468-2020 karta.png", "A 18468-2020")</f>
        <v/>
      </c>
      <c r="V351">
        <f>HYPERLINK("https://klasma.github.io/Logging_0380/klagomål/A 18468-2020 FSC-klagomål.docx", "A 18468-2020")</f>
        <v/>
      </c>
      <c r="W351">
        <f>HYPERLINK("https://klasma.github.io/Logging_0380/klagomålsmail/A 18468-2020 FSC-klagomål mail.docx", "A 18468-2020")</f>
        <v/>
      </c>
      <c r="X351">
        <f>HYPERLINK("https://klasma.github.io/Logging_0380/tillsyn/A 18468-2020 tillsynsbegäran.docx", "A 18468-2020")</f>
        <v/>
      </c>
      <c r="Y351">
        <f>HYPERLINK("https://klasma.github.io/Logging_0380/tillsynsmail/A 18468-2020 tillsynsbegäran mail.docx", "A 18468-2020")</f>
        <v/>
      </c>
    </row>
    <row r="352" ht="15" customHeight="1">
      <c r="A352" t="inlineStr">
        <is>
          <t>A 18788-2020</t>
        </is>
      </c>
      <c r="B352" s="1" t="n">
        <v>43931</v>
      </c>
      <c r="C352" s="1" t="n">
        <v>45846</v>
      </c>
      <c r="D352" t="inlineStr">
        <is>
          <t>UPPSALA LÄN</t>
        </is>
      </c>
      <c r="E352" t="inlineStr">
        <is>
          <t>TIERP</t>
        </is>
      </c>
      <c r="F352" t="inlineStr">
        <is>
          <t>Bergvik skog väst AB</t>
        </is>
      </c>
      <c r="G352" t="n">
        <v>2.4</v>
      </c>
      <c r="H352" t="n">
        <v>0</v>
      </c>
      <c r="I352" t="n">
        <v>0</v>
      </c>
      <c r="J352" t="n">
        <v>2</v>
      </c>
      <c r="K352" t="n">
        <v>0</v>
      </c>
      <c r="L352" t="n">
        <v>0</v>
      </c>
      <c r="M352" t="n">
        <v>0</v>
      </c>
      <c r="N352" t="n">
        <v>0</v>
      </c>
      <c r="O352" t="n">
        <v>2</v>
      </c>
      <c r="P352" t="n">
        <v>0</v>
      </c>
      <c r="Q352" t="n">
        <v>2</v>
      </c>
      <c r="R352" s="2" t="inlineStr">
        <is>
          <t>Gullklöver
Rödbrun blekspik</t>
        </is>
      </c>
      <c r="S352">
        <f>HYPERLINK("https://klasma.github.io/Logging_0360/artfynd/A 18788-2020 artfynd.xlsx", "A 18788-2020")</f>
        <v/>
      </c>
      <c r="T352">
        <f>HYPERLINK("https://klasma.github.io/Logging_0360/kartor/A 18788-2020 karta.png", "A 18788-2020")</f>
        <v/>
      </c>
      <c r="V352">
        <f>HYPERLINK("https://klasma.github.io/Logging_0360/klagomål/A 18788-2020 FSC-klagomål.docx", "A 18788-2020")</f>
        <v/>
      </c>
      <c r="W352">
        <f>HYPERLINK("https://klasma.github.io/Logging_0360/klagomålsmail/A 18788-2020 FSC-klagomål mail.docx", "A 18788-2020")</f>
        <v/>
      </c>
      <c r="X352">
        <f>HYPERLINK("https://klasma.github.io/Logging_0360/tillsyn/A 18788-2020 tillsynsbegäran.docx", "A 18788-2020")</f>
        <v/>
      </c>
      <c r="Y352">
        <f>HYPERLINK("https://klasma.github.io/Logging_0360/tillsynsmail/A 18788-2020 tillsynsbegäran mail.docx", "A 18788-2020")</f>
        <v/>
      </c>
    </row>
    <row r="353" ht="15" customHeight="1">
      <c r="A353" t="inlineStr">
        <is>
          <t>A 20778-2020</t>
        </is>
      </c>
      <c r="B353" s="1" t="n">
        <v>43949</v>
      </c>
      <c r="C353" s="1" t="n">
        <v>45846</v>
      </c>
      <c r="D353" t="inlineStr">
        <is>
          <t>UPPSALA LÄN</t>
        </is>
      </c>
      <c r="E353" t="inlineStr">
        <is>
          <t>KNIVSTA</t>
        </is>
      </c>
      <c r="G353" t="n">
        <v>2.9</v>
      </c>
      <c r="H353" t="n">
        <v>0</v>
      </c>
      <c r="I353" t="n">
        <v>1</v>
      </c>
      <c r="J353" t="n">
        <v>1</v>
      </c>
      <c r="K353" t="n">
        <v>0</v>
      </c>
      <c r="L353" t="n">
        <v>0</v>
      </c>
      <c r="M353" t="n">
        <v>0</v>
      </c>
      <c r="N353" t="n">
        <v>0</v>
      </c>
      <c r="O353" t="n">
        <v>1</v>
      </c>
      <c r="P353" t="n">
        <v>0</v>
      </c>
      <c r="Q353" t="n">
        <v>2</v>
      </c>
      <c r="R353" s="2" t="inlineStr">
        <is>
          <t>Gultoppig fingersvamp
Trådticka</t>
        </is>
      </c>
      <c r="S353">
        <f>HYPERLINK("https://klasma.github.io/Logging_0330/artfynd/A 20778-2020 artfynd.xlsx", "A 20778-2020")</f>
        <v/>
      </c>
      <c r="T353">
        <f>HYPERLINK("https://klasma.github.io/Logging_0330/kartor/A 20778-2020 karta.png", "A 20778-2020")</f>
        <v/>
      </c>
      <c r="V353">
        <f>HYPERLINK("https://klasma.github.io/Logging_0330/klagomål/A 20778-2020 FSC-klagomål.docx", "A 20778-2020")</f>
        <v/>
      </c>
      <c r="W353">
        <f>HYPERLINK("https://klasma.github.io/Logging_0330/klagomålsmail/A 20778-2020 FSC-klagomål mail.docx", "A 20778-2020")</f>
        <v/>
      </c>
      <c r="X353">
        <f>HYPERLINK("https://klasma.github.io/Logging_0330/tillsyn/A 20778-2020 tillsynsbegäran.docx", "A 20778-2020")</f>
        <v/>
      </c>
      <c r="Y353">
        <f>HYPERLINK("https://klasma.github.io/Logging_0330/tillsynsmail/A 20778-2020 tillsynsbegäran mail.docx", "A 20778-2020")</f>
        <v/>
      </c>
    </row>
    <row r="354" ht="15" customHeight="1">
      <c r="A354" t="inlineStr">
        <is>
          <t>A 24031-2020</t>
        </is>
      </c>
      <c r="B354" s="1" t="n">
        <v>43971</v>
      </c>
      <c r="C354" s="1" t="n">
        <v>45846</v>
      </c>
      <c r="D354" t="inlineStr">
        <is>
          <t>UPPSALA LÄN</t>
        </is>
      </c>
      <c r="E354" t="inlineStr">
        <is>
          <t>KNIVSTA</t>
        </is>
      </c>
      <c r="F354" t="inlineStr">
        <is>
          <t>Övriga statliga verk och myndigheter</t>
        </is>
      </c>
      <c r="G354" t="n">
        <v>2.4</v>
      </c>
      <c r="H354" t="n">
        <v>2</v>
      </c>
      <c r="I354" t="n">
        <v>0</v>
      </c>
      <c r="J354" t="n">
        <v>1</v>
      </c>
      <c r="K354" t="n">
        <v>0</v>
      </c>
      <c r="L354" t="n">
        <v>0</v>
      </c>
      <c r="M354" t="n">
        <v>0</v>
      </c>
      <c r="N354" t="n">
        <v>0</v>
      </c>
      <c r="O354" t="n">
        <v>1</v>
      </c>
      <c r="P354" t="n">
        <v>0</v>
      </c>
      <c r="Q354" t="n">
        <v>2</v>
      </c>
      <c r="R354" s="2" t="inlineStr">
        <is>
          <t>Grönsångare
Vanlig snok</t>
        </is>
      </c>
      <c r="S354">
        <f>HYPERLINK("https://klasma.github.io/Logging_0330/artfynd/A 24031-2020 artfynd.xlsx", "A 24031-2020")</f>
        <v/>
      </c>
      <c r="T354">
        <f>HYPERLINK("https://klasma.github.io/Logging_0330/kartor/A 24031-2020 karta.png", "A 24031-2020")</f>
        <v/>
      </c>
      <c r="V354">
        <f>HYPERLINK("https://klasma.github.io/Logging_0330/klagomål/A 24031-2020 FSC-klagomål.docx", "A 24031-2020")</f>
        <v/>
      </c>
      <c r="W354">
        <f>HYPERLINK("https://klasma.github.io/Logging_0330/klagomålsmail/A 24031-2020 FSC-klagomål mail.docx", "A 24031-2020")</f>
        <v/>
      </c>
      <c r="X354">
        <f>HYPERLINK("https://klasma.github.io/Logging_0330/tillsyn/A 24031-2020 tillsynsbegäran.docx", "A 24031-2020")</f>
        <v/>
      </c>
      <c r="Y354">
        <f>HYPERLINK("https://klasma.github.io/Logging_0330/tillsynsmail/A 24031-2020 tillsynsbegäran mail.docx", "A 24031-2020")</f>
        <v/>
      </c>
      <c r="Z354">
        <f>HYPERLINK("https://klasma.github.io/Logging_0330/fåglar/A 24031-2020 prioriterade fågelarter.docx", "A 24031-2020")</f>
        <v/>
      </c>
    </row>
    <row r="355" ht="15" customHeight="1">
      <c r="A355" t="inlineStr">
        <is>
          <t>A 29091-2020</t>
        </is>
      </c>
      <c r="B355" s="1" t="n">
        <v>44002</v>
      </c>
      <c r="C355" s="1" t="n">
        <v>45846</v>
      </c>
      <c r="D355" t="inlineStr">
        <is>
          <t>UPPSALA LÄN</t>
        </is>
      </c>
      <c r="E355" t="inlineStr">
        <is>
          <t>HEBY</t>
        </is>
      </c>
      <c r="G355" t="n">
        <v>2.6</v>
      </c>
      <c r="H355" t="n">
        <v>1</v>
      </c>
      <c r="I355" t="n">
        <v>1</v>
      </c>
      <c r="J355" t="n">
        <v>0</v>
      </c>
      <c r="K355" t="n">
        <v>1</v>
      </c>
      <c r="L355" t="n">
        <v>0</v>
      </c>
      <c r="M355" t="n">
        <v>0</v>
      </c>
      <c r="N355" t="n">
        <v>0</v>
      </c>
      <c r="O355" t="n">
        <v>1</v>
      </c>
      <c r="P355" t="n">
        <v>1</v>
      </c>
      <c r="Q355" t="n">
        <v>2</v>
      </c>
      <c r="R355" s="2" t="inlineStr">
        <is>
          <t>Knärot
Grönpyrola</t>
        </is>
      </c>
      <c r="S355">
        <f>HYPERLINK("https://klasma.github.io/Logging_0331/artfynd/A 29091-2020 artfynd.xlsx", "A 29091-2020")</f>
        <v/>
      </c>
      <c r="T355">
        <f>HYPERLINK("https://klasma.github.io/Logging_0331/kartor/A 29091-2020 karta.png", "A 29091-2020")</f>
        <v/>
      </c>
      <c r="U355">
        <f>HYPERLINK("https://klasma.github.io/Logging_0331/knärot/A 29091-2020 karta knärot.png", "A 29091-2020")</f>
        <v/>
      </c>
      <c r="V355">
        <f>HYPERLINK("https://klasma.github.io/Logging_0331/klagomål/A 29091-2020 FSC-klagomål.docx", "A 29091-2020")</f>
        <v/>
      </c>
      <c r="W355">
        <f>HYPERLINK("https://klasma.github.io/Logging_0331/klagomålsmail/A 29091-2020 FSC-klagomål mail.docx", "A 29091-2020")</f>
        <v/>
      </c>
      <c r="X355">
        <f>HYPERLINK("https://klasma.github.io/Logging_0331/tillsyn/A 29091-2020 tillsynsbegäran.docx", "A 29091-2020")</f>
        <v/>
      </c>
      <c r="Y355">
        <f>HYPERLINK("https://klasma.github.io/Logging_0331/tillsynsmail/A 29091-2020 tillsynsbegäran mail.docx", "A 29091-2020")</f>
        <v/>
      </c>
    </row>
    <row r="356" ht="15" customHeight="1">
      <c r="A356" t="inlineStr">
        <is>
          <t>A 36385-2020</t>
        </is>
      </c>
      <c r="B356" s="1" t="n">
        <v>44049</v>
      </c>
      <c r="C356" s="1" t="n">
        <v>45846</v>
      </c>
      <c r="D356" t="inlineStr">
        <is>
          <t>UPPSALA LÄN</t>
        </is>
      </c>
      <c r="E356" t="inlineStr">
        <is>
          <t>HEBY</t>
        </is>
      </c>
      <c r="F356" t="inlineStr">
        <is>
          <t>Bergvik skog väst AB</t>
        </is>
      </c>
      <c r="G356" t="n">
        <v>0.8</v>
      </c>
      <c r="H356" t="n">
        <v>1</v>
      </c>
      <c r="I356" t="n">
        <v>1</v>
      </c>
      <c r="J356" t="n">
        <v>0</v>
      </c>
      <c r="K356" t="n">
        <v>0</v>
      </c>
      <c r="L356" t="n">
        <v>0</v>
      </c>
      <c r="M356" t="n">
        <v>0</v>
      </c>
      <c r="N356" t="n">
        <v>0</v>
      </c>
      <c r="O356" t="n">
        <v>0</v>
      </c>
      <c r="P356" t="n">
        <v>0</v>
      </c>
      <c r="Q356" t="n">
        <v>2</v>
      </c>
      <c r="R356" s="2" t="inlineStr">
        <is>
          <t>Granbarkgnagare
Revlummer</t>
        </is>
      </c>
      <c r="S356">
        <f>HYPERLINK("https://klasma.github.io/Logging_0331/artfynd/A 36385-2020 artfynd.xlsx", "A 36385-2020")</f>
        <v/>
      </c>
      <c r="T356">
        <f>HYPERLINK("https://klasma.github.io/Logging_0331/kartor/A 36385-2020 karta.png", "A 36385-2020")</f>
        <v/>
      </c>
      <c r="V356">
        <f>HYPERLINK("https://klasma.github.io/Logging_0331/klagomål/A 36385-2020 FSC-klagomål.docx", "A 36385-2020")</f>
        <v/>
      </c>
      <c r="W356">
        <f>HYPERLINK("https://klasma.github.io/Logging_0331/klagomålsmail/A 36385-2020 FSC-klagomål mail.docx", "A 36385-2020")</f>
        <v/>
      </c>
      <c r="X356">
        <f>HYPERLINK("https://klasma.github.io/Logging_0331/tillsyn/A 36385-2020 tillsynsbegäran.docx", "A 36385-2020")</f>
        <v/>
      </c>
      <c r="Y356">
        <f>HYPERLINK("https://klasma.github.io/Logging_0331/tillsynsmail/A 36385-2020 tillsynsbegäran mail.docx", "A 36385-2020")</f>
        <v/>
      </c>
    </row>
    <row r="357" ht="15" customHeight="1">
      <c r="A357" t="inlineStr">
        <is>
          <t>A 37289-2020</t>
        </is>
      </c>
      <c r="B357" s="1" t="n">
        <v>44054</v>
      </c>
      <c r="C357" s="1" t="n">
        <v>45846</v>
      </c>
      <c r="D357" t="inlineStr">
        <is>
          <t>UPPSALA LÄN</t>
        </is>
      </c>
      <c r="E357" t="inlineStr">
        <is>
          <t>UPPSALA</t>
        </is>
      </c>
      <c r="F357" t="inlineStr">
        <is>
          <t>Allmännings- och besparingsskogar</t>
        </is>
      </c>
      <c r="G357" t="n">
        <v>13.5</v>
      </c>
      <c r="H357" t="n">
        <v>0</v>
      </c>
      <c r="I357" t="n">
        <v>1</v>
      </c>
      <c r="J357" t="n">
        <v>1</v>
      </c>
      <c r="K357" t="n">
        <v>0</v>
      </c>
      <c r="L357" t="n">
        <v>0</v>
      </c>
      <c r="M357" t="n">
        <v>0</v>
      </c>
      <c r="N357" t="n">
        <v>0</v>
      </c>
      <c r="O357" t="n">
        <v>1</v>
      </c>
      <c r="P357" t="n">
        <v>0</v>
      </c>
      <c r="Q357" t="n">
        <v>2</v>
      </c>
      <c r="R357" s="2" t="inlineStr">
        <is>
          <t>Vedtrappmossa
Granbarkgnagare</t>
        </is>
      </c>
      <c r="S357">
        <f>HYPERLINK("https://klasma.github.io/Logging_0380/artfynd/A 37289-2020 artfynd.xlsx", "A 37289-2020")</f>
        <v/>
      </c>
      <c r="T357">
        <f>HYPERLINK("https://klasma.github.io/Logging_0380/kartor/A 37289-2020 karta.png", "A 37289-2020")</f>
        <v/>
      </c>
      <c r="V357">
        <f>HYPERLINK("https://klasma.github.io/Logging_0380/klagomål/A 37289-2020 FSC-klagomål.docx", "A 37289-2020")</f>
        <v/>
      </c>
      <c r="W357">
        <f>HYPERLINK("https://klasma.github.io/Logging_0380/klagomålsmail/A 37289-2020 FSC-klagomål mail.docx", "A 37289-2020")</f>
        <v/>
      </c>
      <c r="X357">
        <f>HYPERLINK("https://klasma.github.io/Logging_0380/tillsyn/A 37289-2020 tillsynsbegäran.docx", "A 37289-2020")</f>
        <v/>
      </c>
      <c r="Y357">
        <f>HYPERLINK("https://klasma.github.io/Logging_0380/tillsynsmail/A 37289-2020 tillsynsbegäran mail.docx", "A 37289-2020")</f>
        <v/>
      </c>
    </row>
    <row r="358" ht="15" customHeight="1">
      <c r="A358" t="inlineStr">
        <is>
          <t>A 42520-2020</t>
        </is>
      </c>
      <c r="B358" s="1" t="n">
        <v>44077</v>
      </c>
      <c r="C358" s="1" t="n">
        <v>45846</v>
      </c>
      <c r="D358" t="inlineStr">
        <is>
          <t>UPPSALA LÄN</t>
        </is>
      </c>
      <c r="E358" t="inlineStr">
        <is>
          <t>ÖSTHAMMAR</t>
        </is>
      </c>
      <c r="G358" t="n">
        <v>2.8</v>
      </c>
      <c r="H358" t="n">
        <v>1</v>
      </c>
      <c r="I358" t="n">
        <v>2</v>
      </c>
      <c r="J358" t="n">
        <v>0</v>
      </c>
      <c r="K358" t="n">
        <v>0</v>
      </c>
      <c r="L358" t="n">
        <v>0</v>
      </c>
      <c r="M358" t="n">
        <v>0</v>
      </c>
      <c r="N358" t="n">
        <v>0</v>
      </c>
      <c r="O358" t="n">
        <v>0</v>
      </c>
      <c r="P358" t="n">
        <v>0</v>
      </c>
      <c r="Q358" t="n">
        <v>2</v>
      </c>
      <c r="R358" s="2" t="inlineStr">
        <is>
          <t>Hasselticka
Skogsknipprot</t>
        </is>
      </c>
      <c r="S358">
        <f>HYPERLINK("https://klasma.github.io/Logging_0382/artfynd/A 42520-2020 artfynd.xlsx", "A 42520-2020")</f>
        <v/>
      </c>
      <c r="T358">
        <f>HYPERLINK("https://klasma.github.io/Logging_0382/kartor/A 42520-2020 karta.png", "A 42520-2020")</f>
        <v/>
      </c>
      <c r="V358">
        <f>HYPERLINK("https://klasma.github.io/Logging_0382/klagomål/A 42520-2020 FSC-klagomål.docx", "A 42520-2020")</f>
        <v/>
      </c>
      <c r="W358">
        <f>HYPERLINK("https://klasma.github.io/Logging_0382/klagomålsmail/A 42520-2020 FSC-klagomål mail.docx", "A 42520-2020")</f>
        <v/>
      </c>
      <c r="X358">
        <f>HYPERLINK("https://klasma.github.io/Logging_0382/tillsyn/A 42520-2020 tillsynsbegäran.docx", "A 42520-2020")</f>
        <v/>
      </c>
      <c r="Y358">
        <f>HYPERLINK("https://klasma.github.io/Logging_0382/tillsynsmail/A 42520-2020 tillsynsbegäran mail.docx", "A 42520-2020")</f>
        <v/>
      </c>
    </row>
    <row r="359" ht="15" customHeight="1">
      <c r="A359" t="inlineStr">
        <is>
          <t>A 48100-2020</t>
        </is>
      </c>
      <c r="B359" s="1" t="n">
        <v>44101</v>
      </c>
      <c r="C359" s="1" t="n">
        <v>45846</v>
      </c>
      <c r="D359" t="inlineStr">
        <is>
          <t>UPPSALA LÄN</t>
        </is>
      </c>
      <c r="E359" t="inlineStr">
        <is>
          <t>UPPSALA</t>
        </is>
      </c>
      <c r="F359" t="inlineStr">
        <is>
          <t>Sveaskog</t>
        </is>
      </c>
      <c r="G359" t="n">
        <v>8.800000000000001</v>
      </c>
      <c r="H359" t="n">
        <v>1</v>
      </c>
      <c r="I359" t="n">
        <v>1</v>
      </c>
      <c r="J359" t="n">
        <v>0</v>
      </c>
      <c r="K359" t="n">
        <v>0</v>
      </c>
      <c r="L359" t="n">
        <v>0</v>
      </c>
      <c r="M359" t="n">
        <v>0</v>
      </c>
      <c r="N359" t="n">
        <v>0</v>
      </c>
      <c r="O359" t="n">
        <v>0</v>
      </c>
      <c r="P359" t="n">
        <v>0</v>
      </c>
      <c r="Q359" t="n">
        <v>2</v>
      </c>
      <c r="R359" s="2" t="inlineStr">
        <is>
          <t>Svavelriska
Blåsippa</t>
        </is>
      </c>
      <c r="S359">
        <f>HYPERLINK("https://klasma.github.io/Logging_0380/artfynd/A 48100-2020 artfynd.xlsx", "A 48100-2020")</f>
        <v/>
      </c>
      <c r="T359">
        <f>HYPERLINK("https://klasma.github.io/Logging_0380/kartor/A 48100-2020 karta.png", "A 48100-2020")</f>
        <v/>
      </c>
      <c r="V359">
        <f>HYPERLINK("https://klasma.github.io/Logging_0380/klagomål/A 48100-2020 FSC-klagomål.docx", "A 48100-2020")</f>
        <v/>
      </c>
      <c r="W359">
        <f>HYPERLINK("https://klasma.github.io/Logging_0380/klagomålsmail/A 48100-2020 FSC-klagomål mail.docx", "A 48100-2020")</f>
        <v/>
      </c>
      <c r="X359">
        <f>HYPERLINK("https://klasma.github.io/Logging_0380/tillsyn/A 48100-2020 tillsynsbegäran.docx", "A 48100-2020")</f>
        <v/>
      </c>
      <c r="Y359">
        <f>HYPERLINK("https://klasma.github.io/Logging_0380/tillsynsmail/A 48100-2020 tillsynsbegäran mail.docx", "A 48100-2020")</f>
        <v/>
      </c>
    </row>
    <row r="360" ht="15" customHeight="1">
      <c r="A360" t="inlineStr">
        <is>
          <t>A 50415-2020</t>
        </is>
      </c>
      <c r="B360" s="1" t="n">
        <v>44110</v>
      </c>
      <c r="C360" s="1" t="n">
        <v>45846</v>
      </c>
      <c r="D360" t="inlineStr">
        <is>
          <t>UPPSALA LÄN</t>
        </is>
      </c>
      <c r="E360" t="inlineStr">
        <is>
          <t>ÄLVKARLEBY</t>
        </is>
      </c>
      <c r="F360" t="inlineStr">
        <is>
          <t>Bergvik skog väst AB</t>
        </is>
      </c>
      <c r="G360" t="n">
        <v>2.9</v>
      </c>
      <c r="H360" t="n">
        <v>1</v>
      </c>
      <c r="I360" t="n">
        <v>0</v>
      </c>
      <c r="J360" t="n">
        <v>2</v>
      </c>
      <c r="K360" t="n">
        <v>0</v>
      </c>
      <c r="L360" t="n">
        <v>0</v>
      </c>
      <c r="M360" t="n">
        <v>0</v>
      </c>
      <c r="N360" t="n">
        <v>0</v>
      </c>
      <c r="O360" t="n">
        <v>2</v>
      </c>
      <c r="P360" t="n">
        <v>0</v>
      </c>
      <c r="Q360" t="n">
        <v>2</v>
      </c>
      <c r="R360" s="2" t="inlineStr">
        <is>
          <t>Grönsångare
Skogssvingel</t>
        </is>
      </c>
      <c r="S360">
        <f>HYPERLINK("https://klasma.github.io/Logging_0319/artfynd/A 50415-2020 artfynd.xlsx", "A 50415-2020")</f>
        <v/>
      </c>
      <c r="T360">
        <f>HYPERLINK("https://klasma.github.io/Logging_0319/kartor/A 50415-2020 karta.png", "A 50415-2020")</f>
        <v/>
      </c>
      <c r="V360">
        <f>HYPERLINK("https://klasma.github.io/Logging_0319/klagomål/A 50415-2020 FSC-klagomål.docx", "A 50415-2020")</f>
        <v/>
      </c>
      <c r="W360">
        <f>HYPERLINK("https://klasma.github.io/Logging_0319/klagomålsmail/A 50415-2020 FSC-klagomål mail.docx", "A 50415-2020")</f>
        <v/>
      </c>
      <c r="X360">
        <f>HYPERLINK("https://klasma.github.io/Logging_0319/tillsyn/A 50415-2020 tillsynsbegäran.docx", "A 50415-2020")</f>
        <v/>
      </c>
      <c r="Y360">
        <f>HYPERLINK("https://klasma.github.io/Logging_0319/tillsynsmail/A 50415-2020 tillsynsbegäran mail.docx", "A 50415-2020")</f>
        <v/>
      </c>
      <c r="Z360">
        <f>HYPERLINK("https://klasma.github.io/Logging_0319/fåglar/A 50415-2020 prioriterade fågelarter.docx", "A 50415-2020")</f>
        <v/>
      </c>
    </row>
    <row r="361" ht="15" customHeight="1">
      <c r="A361" t="inlineStr">
        <is>
          <t>A 53716-2020</t>
        </is>
      </c>
      <c r="B361" s="1" t="n">
        <v>44124</v>
      </c>
      <c r="C361" s="1" t="n">
        <v>45846</v>
      </c>
      <c r="D361" t="inlineStr">
        <is>
          <t>UPPSALA LÄN</t>
        </is>
      </c>
      <c r="E361" t="inlineStr">
        <is>
          <t>HÅBO</t>
        </is>
      </c>
      <c r="F361" t="inlineStr">
        <is>
          <t>Kommuner</t>
        </is>
      </c>
      <c r="G361" t="n">
        <v>16.7</v>
      </c>
      <c r="H361" t="n">
        <v>0</v>
      </c>
      <c r="I361" t="n">
        <v>1</v>
      </c>
      <c r="J361" t="n">
        <v>1</v>
      </c>
      <c r="K361" t="n">
        <v>0</v>
      </c>
      <c r="L361" t="n">
        <v>0</v>
      </c>
      <c r="M361" t="n">
        <v>0</v>
      </c>
      <c r="N361" t="n">
        <v>0</v>
      </c>
      <c r="O361" t="n">
        <v>1</v>
      </c>
      <c r="P361" t="n">
        <v>0</v>
      </c>
      <c r="Q361" t="n">
        <v>2</v>
      </c>
      <c r="R361" s="2" t="inlineStr">
        <is>
          <t>Ullticka
Blåmossa</t>
        </is>
      </c>
      <c r="S361">
        <f>HYPERLINK("https://klasma.github.io/Logging_0305/artfynd/A 53716-2020 artfynd.xlsx", "A 53716-2020")</f>
        <v/>
      </c>
      <c r="T361">
        <f>HYPERLINK("https://klasma.github.io/Logging_0305/kartor/A 53716-2020 karta.png", "A 53716-2020")</f>
        <v/>
      </c>
      <c r="V361">
        <f>HYPERLINK("https://klasma.github.io/Logging_0305/klagomål/A 53716-2020 FSC-klagomål.docx", "A 53716-2020")</f>
        <v/>
      </c>
      <c r="W361">
        <f>HYPERLINK("https://klasma.github.io/Logging_0305/klagomålsmail/A 53716-2020 FSC-klagomål mail.docx", "A 53716-2020")</f>
        <v/>
      </c>
      <c r="X361">
        <f>HYPERLINK("https://klasma.github.io/Logging_0305/tillsyn/A 53716-2020 tillsynsbegäran.docx", "A 53716-2020")</f>
        <v/>
      </c>
      <c r="Y361">
        <f>HYPERLINK("https://klasma.github.io/Logging_0305/tillsynsmail/A 53716-2020 tillsynsbegäran mail.docx", "A 53716-2020")</f>
        <v/>
      </c>
    </row>
    <row r="362" ht="15" customHeight="1">
      <c r="A362" t="inlineStr">
        <is>
          <t>A 59416-2020</t>
        </is>
      </c>
      <c r="B362" s="1" t="n">
        <v>44148</v>
      </c>
      <c r="C362" s="1" t="n">
        <v>45846</v>
      </c>
      <c r="D362" t="inlineStr">
        <is>
          <t>UPPSALA LÄN</t>
        </is>
      </c>
      <c r="E362" t="inlineStr">
        <is>
          <t>ÖSTHAMMAR</t>
        </is>
      </c>
      <c r="F362" t="inlineStr">
        <is>
          <t>Sveaskog</t>
        </is>
      </c>
      <c r="G362" t="n">
        <v>1.7</v>
      </c>
      <c r="H362" t="n">
        <v>2</v>
      </c>
      <c r="I362" t="n">
        <v>0</v>
      </c>
      <c r="J362" t="n">
        <v>1</v>
      </c>
      <c r="K362" t="n">
        <v>0</v>
      </c>
      <c r="L362" t="n">
        <v>1</v>
      </c>
      <c r="M362" t="n">
        <v>0</v>
      </c>
      <c r="N362" t="n">
        <v>0</v>
      </c>
      <c r="O362" t="n">
        <v>2</v>
      </c>
      <c r="P362" t="n">
        <v>1</v>
      </c>
      <c r="Q362" t="n">
        <v>2</v>
      </c>
      <c r="R362" s="2" t="inlineStr">
        <is>
          <t>Grönfink
Svartvit flugsnappare</t>
        </is>
      </c>
      <c r="S362">
        <f>HYPERLINK("https://klasma.github.io/Logging_0382/artfynd/A 59416-2020 artfynd.xlsx", "A 59416-2020")</f>
        <v/>
      </c>
      <c r="T362">
        <f>HYPERLINK("https://klasma.github.io/Logging_0382/kartor/A 59416-2020 karta.png", "A 59416-2020")</f>
        <v/>
      </c>
      <c r="V362">
        <f>HYPERLINK("https://klasma.github.io/Logging_0382/klagomål/A 59416-2020 FSC-klagomål.docx", "A 59416-2020")</f>
        <v/>
      </c>
      <c r="W362">
        <f>HYPERLINK("https://klasma.github.io/Logging_0382/klagomålsmail/A 59416-2020 FSC-klagomål mail.docx", "A 59416-2020")</f>
        <v/>
      </c>
      <c r="X362">
        <f>HYPERLINK("https://klasma.github.io/Logging_0382/tillsyn/A 59416-2020 tillsynsbegäran.docx", "A 59416-2020")</f>
        <v/>
      </c>
      <c r="Y362">
        <f>HYPERLINK("https://klasma.github.io/Logging_0382/tillsynsmail/A 59416-2020 tillsynsbegäran mail.docx", "A 59416-2020")</f>
        <v/>
      </c>
      <c r="Z362">
        <f>HYPERLINK("https://klasma.github.io/Logging_0382/fåglar/A 59416-2020 prioriterade fågelarter.docx", "A 59416-2020")</f>
        <v/>
      </c>
    </row>
    <row r="363" ht="15" customHeight="1">
      <c r="A363" t="inlineStr">
        <is>
          <t>A 6223-2021</t>
        </is>
      </c>
      <c r="B363" s="1" t="n">
        <v>44235</v>
      </c>
      <c r="C363" s="1" t="n">
        <v>45846</v>
      </c>
      <c r="D363" t="inlineStr">
        <is>
          <t>UPPSALA LÄN</t>
        </is>
      </c>
      <c r="E363" t="inlineStr">
        <is>
          <t>ÖSTHAMMAR</t>
        </is>
      </c>
      <c r="G363" t="n">
        <v>0.5</v>
      </c>
      <c r="H363" t="n">
        <v>2</v>
      </c>
      <c r="I363" t="n">
        <v>0</v>
      </c>
      <c r="J363" t="n">
        <v>0</v>
      </c>
      <c r="K363" t="n">
        <v>0</v>
      </c>
      <c r="L363" t="n">
        <v>0</v>
      </c>
      <c r="M363" t="n">
        <v>0</v>
      </c>
      <c r="N363" t="n">
        <v>0</v>
      </c>
      <c r="O363" t="n">
        <v>0</v>
      </c>
      <c r="P363" t="n">
        <v>0</v>
      </c>
      <c r="Q363" t="n">
        <v>2</v>
      </c>
      <c r="R363" s="2" t="inlineStr">
        <is>
          <t>Blåsippa
Gullviva</t>
        </is>
      </c>
      <c r="S363">
        <f>HYPERLINK("https://klasma.github.io/Logging_0382/artfynd/A 6223-2021 artfynd.xlsx", "A 6223-2021")</f>
        <v/>
      </c>
      <c r="T363">
        <f>HYPERLINK("https://klasma.github.io/Logging_0382/kartor/A 6223-2021 karta.png", "A 6223-2021")</f>
        <v/>
      </c>
      <c r="V363">
        <f>HYPERLINK("https://klasma.github.io/Logging_0382/klagomål/A 6223-2021 FSC-klagomål.docx", "A 6223-2021")</f>
        <v/>
      </c>
      <c r="W363">
        <f>HYPERLINK("https://klasma.github.io/Logging_0382/klagomålsmail/A 6223-2021 FSC-klagomål mail.docx", "A 6223-2021")</f>
        <v/>
      </c>
      <c r="X363">
        <f>HYPERLINK("https://klasma.github.io/Logging_0382/tillsyn/A 6223-2021 tillsynsbegäran.docx", "A 6223-2021")</f>
        <v/>
      </c>
      <c r="Y363">
        <f>HYPERLINK("https://klasma.github.io/Logging_0382/tillsynsmail/A 6223-2021 tillsynsbegäran mail.docx", "A 6223-2021")</f>
        <v/>
      </c>
    </row>
    <row r="364" ht="15" customHeight="1">
      <c r="A364" t="inlineStr">
        <is>
          <t>A 22025-2021</t>
        </is>
      </c>
      <c r="B364" s="1" t="n">
        <v>44323</v>
      </c>
      <c r="C364" s="1" t="n">
        <v>45846</v>
      </c>
      <c r="D364" t="inlineStr">
        <is>
          <t>UPPSALA LÄN</t>
        </is>
      </c>
      <c r="E364" t="inlineStr">
        <is>
          <t>ÄLVKARLEBY</t>
        </is>
      </c>
      <c r="F364" t="inlineStr">
        <is>
          <t>Bergvik skog väst AB</t>
        </is>
      </c>
      <c r="G364" t="n">
        <v>15.8</v>
      </c>
      <c r="H364" t="n">
        <v>0</v>
      </c>
      <c r="I364" t="n">
        <v>0</v>
      </c>
      <c r="J364" t="n">
        <v>2</v>
      </c>
      <c r="K364" t="n">
        <v>0</v>
      </c>
      <c r="L364" t="n">
        <v>0</v>
      </c>
      <c r="M364" t="n">
        <v>0</v>
      </c>
      <c r="N364" t="n">
        <v>0</v>
      </c>
      <c r="O364" t="n">
        <v>2</v>
      </c>
      <c r="P364" t="n">
        <v>0</v>
      </c>
      <c r="Q364" t="n">
        <v>2</v>
      </c>
      <c r="R364" s="2" t="inlineStr">
        <is>
          <t>Ekticka
Rödbrun blekspik</t>
        </is>
      </c>
      <c r="S364">
        <f>HYPERLINK("https://klasma.github.io/Logging_0319/artfynd/A 22025-2021 artfynd.xlsx", "A 22025-2021")</f>
        <v/>
      </c>
      <c r="T364">
        <f>HYPERLINK("https://klasma.github.io/Logging_0319/kartor/A 22025-2021 karta.png", "A 22025-2021")</f>
        <v/>
      </c>
      <c r="V364">
        <f>HYPERLINK("https://klasma.github.io/Logging_0319/klagomål/A 22025-2021 FSC-klagomål.docx", "A 22025-2021")</f>
        <v/>
      </c>
      <c r="W364">
        <f>HYPERLINK("https://klasma.github.io/Logging_0319/klagomålsmail/A 22025-2021 FSC-klagomål mail.docx", "A 22025-2021")</f>
        <v/>
      </c>
      <c r="X364">
        <f>HYPERLINK("https://klasma.github.io/Logging_0319/tillsyn/A 22025-2021 tillsynsbegäran.docx", "A 22025-2021")</f>
        <v/>
      </c>
      <c r="Y364">
        <f>HYPERLINK("https://klasma.github.io/Logging_0319/tillsynsmail/A 22025-2021 tillsynsbegäran mail.docx", "A 22025-2021")</f>
        <v/>
      </c>
    </row>
    <row r="365" ht="15" customHeight="1">
      <c r="A365" t="inlineStr">
        <is>
          <t>A 31622-2021</t>
        </is>
      </c>
      <c r="B365" s="1" t="n">
        <v>44369</v>
      </c>
      <c r="C365" s="1" t="n">
        <v>45846</v>
      </c>
      <c r="D365" t="inlineStr">
        <is>
          <t>UPPSALA LÄN</t>
        </is>
      </c>
      <c r="E365" t="inlineStr">
        <is>
          <t>ÖSTHAMMAR</t>
        </is>
      </c>
      <c r="G365" t="n">
        <v>12.6</v>
      </c>
      <c r="H365" t="n">
        <v>2</v>
      </c>
      <c r="I365" t="n">
        <v>0</v>
      </c>
      <c r="J365" t="n">
        <v>1</v>
      </c>
      <c r="K365" t="n">
        <v>0</v>
      </c>
      <c r="L365" t="n">
        <v>0</v>
      </c>
      <c r="M365" t="n">
        <v>0</v>
      </c>
      <c r="N365" t="n">
        <v>0</v>
      </c>
      <c r="O365" t="n">
        <v>1</v>
      </c>
      <c r="P365" t="n">
        <v>0</v>
      </c>
      <c r="Q365" t="n">
        <v>2</v>
      </c>
      <c r="R365" s="2" t="inlineStr">
        <is>
          <t>Spillkråka
Mattlummer</t>
        </is>
      </c>
      <c r="S365">
        <f>HYPERLINK("https://klasma.github.io/Logging_0382/artfynd/A 31622-2021 artfynd.xlsx", "A 31622-2021")</f>
        <v/>
      </c>
      <c r="T365">
        <f>HYPERLINK("https://klasma.github.io/Logging_0382/kartor/A 31622-2021 karta.png", "A 31622-2021")</f>
        <v/>
      </c>
      <c r="V365">
        <f>HYPERLINK("https://klasma.github.io/Logging_0382/klagomål/A 31622-2021 FSC-klagomål.docx", "A 31622-2021")</f>
        <v/>
      </c>
      <c r="W365">
        <f>HYPERLINK("https://klasma.github.io/Logging_0382/klagomålsmail/A 31622-2021 FSC-klagomål mail.docx", "A 31622-2021")</f>
        <v/>
      </c>
      <c r="X365">
        <f>HYPERLINK("https://klasma.github.io/Logging_0382/tillsyn/A 31622-2021 tillsynsbegäran.docx", "A 31622-2021")</f>
        <v/>
      </c>
      <c r="Y365">
        <f>HYPERLINK("https://klasma.github.io/Logging_0382/tillsynsmail/A 31622-2021 tillsynsbegäran mail.docx", "A 31622-2021")</f>
        <v/>
      </c>
      <c r="Z365">
        <f>HYPERLINK("https://klasma.github.io/Logging_0382/fåglar/A 31622-2021 prioriterade fågelarter.docx", "A 31622-2021")</f>
        <v/>
      </c>
    </row>
    <row r="366" ht="15" customHeight="1">
      <c r="A366" t="inlineStr">
        <is>
          <t>A 34150-2021</t>
        </is>
      </c>
      <c r="B366" s="1" t="n">
        <v>44379</v>
      </c>
      <c r="C366" s="1" t="n">
        <v>45846</v>
      </c>
      <c r="D366" t="inlineStr">
        <is>
          <t>UPPSALA LÄN</t>
        </is>
      </c>
      <c r="E366" t="inlineStr">
        <is>
          <t>ENKÖPING</t>
        </is>
      </c>
      <c r="G366" t="n">
        <v>9.199999999999999</v>
      </c>
      <c r="H366" t="n">
        <v>0</v>
      </c>
      <c r="I366" t="n">
        <v>1</v>
      </c>
      <c r="J366" t="n">
        <v>1</v>
      </c>
      <c r="K366" t="n">
        <v>0</v>
      </c>
      <c r="L366" t="n">
        <v>0</v>
      </c>
      <c r="M366" t="n">
        <v>0</v>
      </c>
      <c r="N366" t="n">
        <v>0</v>
      </c>
      <c r="O366" t="n">
        <v>1</v>
      </c>
      <c r="P366" t="n">
        <v>0</v>
      </c>
      <c r="Q366" t="n">
        <v>2</v>
      </c>
      <c r="R366" s="2" t="inlineStr">
        <is>
          <t>Ullticka
Bronshjon</t>
        </is>
      </c>
      <c r="S366">
        <f>HYPERLINK("https://klasma.github.io/Logging_0381/artfynd/A 34150-2021 artfynd.xlsx", "A 34150-2021")</f>
        <v/>
      </c>
      <c r="T366">
        <f>HYPERLINK("https://klasma.github.io/Logging_0381/kartor/A 34150-2021 karta.png", "A 34150-2021")</f>
        <v/>
      </c>
      <c r="V366">
        <f>HYPERLINK("https://klasma.github.io/Logging_0381/klagomål/A 34150-2021 FSC-klagomål.docx", "A 34150-2021")</f>
        <v/>
      </c>
      <c r="W366">
        <f>HYPERLINK("https://klasma.github.io/Logging_0381/klagomålsmail/A 34150-2021 FSC-klagomål mail.docx", "A 34150-2021")</f>
        <v/>
      </c>
      <c r="X366">
        <f>HYPERLINK("https://klasma.github.io/Logging_0381/tillsyn/A 34150-2021 tillsynsbegäran.docx", "A 34150-2021")</f>
        <v/>
      </c>
      <c r="Y366">
        <f>HYPERLINK("https://klasma.github.io/Logging_0381/tillsynsmail/A 34150-2021 tillsynsbegäran mail.docx", "A 34150-2021")</f>
        <v/>
      </c>
    </row>
    <row r="367" ht="15" customHeight="1">
      <c r="A367" t="inlineStr">
        <is>
          <t>A 53324-2021</t>
        </is>
      </c>
      <c r="B367" s="1" t="n">
        <v>44468</v>
      </c>
      <c r="C367" s="1" t="n">
        <v>45846</v>
      </c>
      <c r="D367" t="inlineStr">
        <is>
          <t>UPPSALA LÄN</t>
        </is>
      </c>
      <c r="E367" t="inlineStr">
        <is>
          <t>TIERP</t>
        </is>
      </c>
      <c r="G367" t="n">
        <v>0.8</v>
      </c>
      <c r="H367" t="n">
        <v>0</v>
      </c>
      <c r="I367" t="n">
        <v>1</v>
      </c>
      <c r="J367" t="n">
        <v>1</v>
      </c>
      <c r="K367" t="n">
        <v>0</v>
      </c>
      <c r="L367" t="n">
        <v>0</v>
      </c>
      <c r="M367" t="n">
        <v>0</v>
      </c>
      <c r="N367" t="n">
        <v>0</v>
      </c>
      <c r="O367" t="n">
        <v>1</v>
      </c>
      <c r="P367" t="n">
        <v>0</v>
      </c>
      <c r="Q367" t="n">
        <v>2</v>
      </c>
      <c r="R367" s="2" t="inlineStr">
        <is>
          <t>Granticka
Stor aspticka</t>
        </is>
      </c>
      <c r="S367">
        <f>HYPERLINK("https://klasma.github.io/Logging_0360/artfynd/A 53324-2021 artfynd.xlsx", "A 53324-2021")</f>
        <v/>
      </c>
      <c r="T367">
        <f>HYPERLINK("https://klasma.github.io/Logging_0360/kartor/A 53324-2021 karta.png", "A 53324-2021")</f>
        <v/>
      </c>
      <c r="V367">
        <f>HYPERLINK("https://klasma.github.io/Logging_0360/klagomål/A 53324-2021 FSC-klagomål.docx", "A 53324-2021")</f>
        <v/>
      </c>
      <c r="W367">
        <f>HYPERLINK("https://klasma.github.io/Logging_0360/klagomålsmail/A 53324-2021 FSC-klagomål mail.docx", "A 53324-2021")</f>
        <v/>
      </c>
      <c r="X367">
        <f>HYPERLINK("https://klasma.github.io/Logging_0360/tillsyn/A 53324-2021 tillsynsbegäran.docx", "A 53324-2021")</f>
        <v/>
      </c>
      <c r="Y367">
        <f>HYPERLINK("https://klasma.github.io/Logging_0360/tillsynsmail/A 53324-2021 tillsynsbegäran mail.docx", "A 53324-2021")</f>
        <v/>
      </c>
    </row>
    <row r="368" ht="15" customHeight="1">
      <c r="A368" t="inlineStr">
        <is>
          <t>A 58906-2021</t>
        </is>
      </c>
      <c r="B368" s="1" t="n">
        <v>44489</v>
      </c>
      <c r="C368" s="1" t="n">
        <v>45846</v>
      </c>
      <c r="D368" t="inlineStr">
        <is>
          <t>UPPSALA LÄN</t>
        </is>
      </c>
      <c r="E368" t="inlineStr">
        <is>
          <t>UPPSALA</t>
        </is>
      </c>
      <c r="G368" t="n">
        <v>8.6</v>
      </c>
      <c r="H368" t="n">
        <v>1</v>
      </c>
      <c r="I368" t="n">
        <v>0</v>
      </c>
      <c r="J368" t="n">
        <v>1</v>
      </c>
      <c r="K368" t="n">
        <v>0</v>
      </c>
      <c r="L368" t="n">
        <v>0</v>
      </c>
      <c r="M368" t="n">
        <v>0</v>
      </c>
      <c r="N368" t="n">
        <v>0</v>
      </c>
      <c r="O368" t="n">
        <v>1</v>
      </c>
      <c r="P368" t="n">
        <v>0</v>
      </c>
      <c r="Q368" t="n">
        <v>2</v>
      </c>
      <c r="R368" s="2" t="inlineStr">
        <is>
          <t>Ullticka
Tjäder</t>
        </is>
      </c>
      <c r="S368">
        <f>HYPERLINK("https://klasma.github.io/Logging_0380/artfynd/A 58906-2021 artfynd.xlsx", "A 58906-2021")</f>
        <v/>
      </c>
      <c r="T368">
        <f>HYPERLINK("https://klasma.github.io/Logging_0380/kartor/A 58906-2021 karta.png", "A 58906-2021")</f>
        <v/>
      </c>
      <c r="V368">
        <f>HYPERLINK("https://klasma.github.io/Logging_0380/klagomål/A 58906-2021 FSC-klagomål.docx", "A 58906-2021")</f>
        <v/>
      </c>
      <c r="W368">
        <f>HYPERLINK("https://klasma.github.io/Logging_0380/klagomålsmail/A 58906-2021 FSC-klagomål mail.docx", "A 58906-2021")</f>
        <v/>
      </c>
      <c r="X368">
        <f>HYPERLINK("https://klasma.github.io/Logging_0380/tillsyn/A 58906-2021 tillsynsbegäran.docx", "A 58906-2021")</f>
        <v/>
      </c>
      <c r="Y368">
        <f>HYPERLINK("https://klasma.github.io/Logging_0380/tillsynsmail/A 58906-2021 tillsynsbegäran mail.docx", "A 58906-2021")</f>
        <v/>
      </c>
      <c r="Z368">
        <f>HYPERLINK("https://klasma.github.io/Logging_0380/fåglar/A 58906-2021 prioriterade fågelarter.docx", "A 58906-2021")</f>
        <v/>
      </c>
    </row>
    <row r="369" ht="15" customHeight="1">
      <c r="A369" t="inlineStr">
        <is>
          <t>A 60078-2021</t>
        </is>
      </c>
      <c r="B369" s="1" t="n">
        <v>44495</v>
      </c>
      <c r="C369" s="1" t="n">
        <v>45846</v>
      </c>
      <c r="D369" t="inlineStr">
        <is>
          <t>UPPSALA LÄN</t>
        </is>
      </c>
      <c r="E369" t="inlineStr">
        <is>
          <t>ÖSTHAMMAR</t>
        </is>
      </c>
      <c r="G369" t="n">
        <v>1.1</v>
      </c>
      <c r="H369" t="n">
        <v>0</v>
      </c>
      <c r="I369" t="n">
        <v>0</v>
      </c>
      <c r="J369" t="n">
        <v>1</v>
      </c>
      <c r="K369" t="n">
        <v>1</v>
      </c>
      <c r="L369" t="n">
        <v>0</v>
      </c>
      <c r="M369" t="n">
        <v>0</v>
      </c>
      <c r="N369" t="n">
        <v>0</v>
      </c>
      <c r="O369" t="n">
        <v>2</v>
      </c>
      <c r="P369" t="n">
        <v>1</v>
      </c>
      <c r="Q369" t="n">
        <v>2</v>
      </c>
      <c r="R369" s="2" t="inlineStr">
        <is>
          <t>Violgubbe
Blek fingersvamp</t>
        </is>
      </c>
      <c r="S369">
        <f>HYPERLINK("https://klasma.github.io/Logging_0382/artfynd/A 60078-2021 artfynd.xlsx", "A 60078-2021")</f>
        <v/>
      </c>
      <c r="T369">
        <f>HYPERLINK("https://klasma.github.io/Logging_0382/kartor/A 60078-2021 karta.png", "A 60078-2021")</f>
        <v/>
      </c>
      <c r="V369">
        <f>HYPERLINK("https://klasma.github.io/Logging_0382/klagomål/A 60078-2021 FSC-klagomål.docx", "A 60078-2021")</f>
        <v/>
      </c>
      <c r="W369">
        <f>HYPERLINK("https://klasma.github.io/Logging_0382/klagomålsmail/A 60078-2021 FSC-klagomål mail.docx", "A 60078-2021")</f>
        <v/>
      </c>
      <c r="X369">
        <f>HYPERLINK("https://klasma.github.io/Logging_0382/tillsyn/A 60078-2021 tillsynsbegäran.docx", "A 60078-2021")</f>
        <v/>
      </c>
      <c r="Y369">
        <f>HYPERLINK("https://klasma.github.io/Logging_0382/tillsynsmail/A 60078-2021 tillsynsbegäran mail.docx", "A 60078-2021")</f>
        <v/>
      </c>
    </row>
    <row r="370" ht="15" customHeight="1">
      <c r="A370" t="inlineStr">
        <is>
          <t>A 65165-2021</t>
        </is>
      </c>
      <c r="B370" s="1" t="n">
        <v>44515</v>
      </c>
      <c r="C370" s="1" t="n">
        <v>45846</v>
      </c>
      <c r="D370" t="inlineStr">
        <is>
          <t>UPPSALA LÄN</t>
        </is>
      </c>
      <c r="E370" t="inlineStr">
        <is>
          <t>ÖSTHAMMAR</t>
        </is>
      </c>
      <c r="F370" t="inlineStr">
        <is>
          <t>Sveaskog</t>
        </is>
      </c>
      <c r="G370" t="n">
        <v>2.8</v>
      </c>
      <c r="H370" t="n">
        <v>1</v>
      </c>
      <c r="I370" t="n">
        <v>0</v>
      </c>
      <c r="J370" t="n">
        <v>2</v>
      </c>
      <c r="K370" t="n">
        <v>0</v>
      </c>
      <c r="L370" t="n">
        <v>0</v>
      </c>
      <c r="M370" t="n">
        <v>0</v>
      </c>
      <c r="N370" t="n">
        <v>0</v>
      </c>
      <c r="O370" t="n">
        <v>2</v>
      </c>
      <c r="P370" t="n">
        <v>0</v>
      </c>
      <c r="Q370" t="n">
        <v>2</v>
      </c>
      <c r="R370" s="2" t="inlineStr">
        <is>
          <t>Spillkråka
Vedtrappmossa</t>
        </is>
      </c>
      <c r="S370">
        <f>HYPERLINK("https://klasma.github.io/Logging_0382/artfynd/A 65165-2021 artfynd.xlsx", "A 65165-2021")</f>
        <v/>
      </c>
      <c r="T370">
        <f>HYPERLINK("https://klasma.github.io/Logging_0382/kartor/A 65165-2021 karta.png", "A 65165-2021")</f>
        <v/>
      </c>
      <c r="U370">
        <f>HYPERLINK("https://klasma.github.io/Logging_0382/knärot/A 65165-2021 karta knärot.png", "A 65165-2021")</f>
        <v/>
      </c>
      <c r="V370">
        <f>HYPERLINK("https://klasma.github.io/Logging_0382/klagomål/A 65165-2021 FSC-klagomål.docx", "A 65165-2021")</f>
        <v/>
      </c>
      <c r="W370">
        <f>HYPERLINK("https://klasma.github.io/Logging_0382/klagomålsmail/A 65165-2021 FSC-klagomål mail.docx", "A 65165-2021")</f>
        <v/>
      </c>
      <c r="X370">
        <f>HYPERLINK("https://klasma.github.io/Logging_0382/tillsyn/A 65165-2021 tillsynsbegäran.docx", "A 65165-2021")</f>
        <v/>
      </c>
      <c r="Y370">
        <f>HYPERLINK("https://klasma.github.io/Logging_0382/tillsynsmail/A 65165-2021 tillsynsbegäran mail.docx", "A 65165-2021")</f>
        <v/>
      </c>
      <c r="Z370">
        <f>HYPERLINK("https://klasma.github.io/Logging_0382/fåglar/A 65165-2021 prioriterade fågelarter.docx", "A 65165-2021")</f>
        <v/>
      </c>
    </row>
    <row r="371" ht="15" customHeight="1">
      <c r="A371" t="inlineStr">
        <is>
          <t>A 67855-2021</t>
        </is>
      </c>
      <c r="B371" s="1" t="n">
        <v>44525</v>
      </c>
      <c r="C371" s="1" t="n">
        <v>45846</v>
      </c>
      <c r="D371" t="inlineStr">
        <is>
          <t>UPPSALA LÄN</t>
        </is>
      </c>
      <c r="E371" t="inlineStr">
        <is>
          <t>ÖSTHAMMAR</t>
        </is>
      </c>
      <c r="G371" t="n">
        <v>7.5</v>
      </c>
      <c r="H371" t="n">
        <v>0</v>
      </c>
      <c r="I371" t="n">
        <v>2</v>
      </c>
      <c r="J371" t="n">
        <v>0</v>
      </c>
      <c r="K371" t="n">
        <v>0</v>
      </c>
      <c r="L371" t="n">
        <v>0</v>
      </c>
      <c r="M371" t="n">
        <v>0</v>
      </c>
      <c r="N371" t="n">
        <v>0</v>
      </c>
      <c r="O371" t="n">
        <v>0</v>
      </c>
      <c r="P371" t="n">
        <v>0</v>
      </c>
      <c r="Q371" t="n">
        <v>2</v>
      </c>
      <c r="R371" s="2" t="inlineStr">
        <is>
          <t>Guldkremla
Kamjordstjärna</t>
        </is>
      </c>
      <c r="S371">
        <f>HYPERLINK("https://klasma.github.io/Logging_0382/artfynd/A 67855-2021 artfynd.xlsx", "A 67855-2021")</f>
        <v/>
      </c>
      <c r="T371">
        <f>HYPERLINK("https://klasma.github.io/Logging_0382/kartor/A 67855-2021 karta.png", "A 67855-2021")</f>
        <v/>
      </c>
      <c r="V371">
        <f>HYPERLINK("https://klasma.github.io/Logging_0382/klagomål/A 67855-2021 FSC-klagomål.docx", "A 67855-2021")</f>
        <v/>
      </c>
      <c r="W371">
        <f>HYPERLINK("https://klasma.github.io/Logging_0382/klagomålsmail/A 67855-2021 FSC-klagomål mail.docx", "A 67855-2021")</f>
        <v/>
      </c>
      <c r="X371">
        <f>HYPERLINK("https://klasma.github.io/Logging_0382/tillsyn/A 67855-2021 tillsynsbegäran.docx", "A 67855-2021")</f>
        <v/>
      </c>
      <c r="Y371">
        <f>HYPERLINK("https://klasma.github.io/Logging_0382/tillsynsmail/A 67855-2021 tillsynsbegäran mail.docx", "A 67855-2021")</f>
        <v/>
      </c>
    </row>
    <row r="372" ht="15" customHeight="1">
      <c r="A372" t="inlineStr">
        <is>
          <t>A 69241-2021</t>
        </is>
      </c>
      <c r="B372" s="1" t="n">
        <v>44529</v>
      </c>
      <c r="C372" s="1" t="n">
        <v>45846</v>
      </c>
      <c r="D372" t="inlineStr">
        <is>
          <t>UPPSALA LÄN</t>
        </is>
      </c>
      <c r="E372" t="inlineStr">
        <is>
          <t>ÖSTHAMMAR</t>
        </is>
      </c>
      <c r="G372" t="n">
        <v>0.7</v>
      </c>
      <c r="H372" t="n">
        <v>0</v>
      </c>
      <c r="I372" t="n">
        <v>1</v>
      </c>
      <c r="J372" t="n">
        <v>1</v>
      </c>
      <c r="K372" t="n">
        <v>0</v>
      </c>
      <c r="L372" t="n">
        <v>0</v>
      </c>
      <c r="M372" t="n">
        <v>0</v>
      </c>
      <c r="N372" t="n">
        <v>0</v>
      </c>
      <c r="O372" t="n">
        <v>1</v>
      </c>
      <c r="P372" t="n">
        <v>0</v>
      </c>
      <c r="Q372" t="n">
        <v>2</v>
      </c>
      <c r="R372" s="2" t="inlineStr">
        <is>
          <t>Harticka
Zontaggsvamp</t>
        </is>
      </c>
      <c r="S372">
        <f>HYPERLINK("https://klasma.github.io/Logging_0382/artfynd/A 69241-2021 artfynd.xlsx", "A 69241-2021")</f>
        <v/>
      </c>
      <c r="T372">
        <f>HYPERLINK("https://klasma.github.io/Logging_0382/kartor/A 69241-2021 karta.png", "A 69241-2021")</f>
        <v/>
      </c>
      <c r="V372">
        <f>HYPERLINK("https://klasma.github.io/Logging_0382/klagomål/A 69241-2021 FSC-klagomål.docx", "A 69241-2021")</f>
        <v/>
      </c>
      <c r="W372">
        <f>HYPERLINK("https://klasma.github.io/Logging_0382/klagomålsmail/A 69241-2021 FSC-klagomål mail.docx", "A 69241-2021")</f>
        <v/>
      </c>
      <c r="X372">
        <f>HYPERLINK("https://klasma.github.io/Logging_0382/tillsyn/A 69241-2021 tillsynsbegäran.docx", "A 69241-2021")</f>
        <v/>
      </c>
      <c r="Y372">
        <f>HYPERLINK("https://klasma.github.io/Logging_0382/tillsynsmail/A 69241-2021 tillsynsbegäran mail.docx", "A 69241-2021")</f>
        <v/>
      </c>
    </row>
    <row r="373" ht="15" customHeight="1">
      <c r="A373" t="inlineStr">
        <is>
          <t>A 73981-2021</t>
        </is>
      </c>
      <c r="B373" s="1" t="n">
        <v>44555</v>
      </c>
      <c r="C373" s="1" t="n">
        <v>45846</v>
      </c>
      <c r="D373" t="inlineStr">
        <is>
          <t>UPPSALA LÄN</t>
        </is>
      </c>
      <c r="E373" t="inlineStr">
        <is>
          <t>ÖSTHAMMAR</t>
        </is>
      </c>
      <c r="G373" t="n">
        <v>2.4</v>
      </c>
      <c r="H373" t="n">
        <v>0</v>
      </c>
      <c r="I373" t="n">
        <v>1</v>
      </c>
      <c r="J373" t="n">
        <v>1</v>
      </c>
      <c r="K373" t="n">
        <v>0</v>
      </c>
      <c r="L373" t="n">
        <v>0</v>
      </c>
      <c r="M373" t="n">
        <v>0</v>
      </c>
      <c r="N373" t="n">
        <v>0</v>
      </c>
      <c r="O373" t="n">
        <v>1</v>
      </c>
      <c r="P373" t="n">
        <v>0</v>
      </c>
      <c r="Q373" t="n">
        <v>2</v>
      </c>
      <c r="R373" s="2" t="inlineStr">
        <is>
          <t>Skogsklocka
Vårärt</t>
        </is>
      </c>
      <c r="S373">
        <f>HYPERLINK("https://klasma.github.io/Logging_0382/artfynd/A 73981-2021 artfynd.xlsx", "A 73981-2021")</f>
        <v/>
      </c>
      <c r="T373">
        <f>HYPERLINK("https://klasma.github.io/Logging_0382/kartor/A 73981-2021 karta.png", "A 73981-2021")</f>
        <v/>
      </c>
      <c r="V373">
        <f>HYPERLINK("https://klasma.github.io/Logging_0382/klagomål/A 73981-2021 FSC-klagomål.docx", "A 73981-2021")</f>
        <v/>
      </c>
      <c r="W373">
        <f>HYPERLINK("https://klasma.github.io/Logging_0382/klagomålsmail/A 73981-2021 FSC-klagomål mail.docx", "A 73981-2021")</f>
        <v/>
      </c>
      <c r="X373">
        <f>HYPERLINK("https://klasma.github.io/Logging_0382/tillsyn/A 73981-2021 tillsynsbegäran.docx", "A 73981-2021")</f>
        <v/>
      </c>
      <c r="Y373">
        <f>HYPERLINK("https://klasma.github.io/Logging_0382/tillsynsmail/A 73981-2021 tillsynsbegäran mail.docx", "A 73981-2021")</f>
        <v/>
      </c>
    </row>
    <row r="374" ht="15" customHeight="1">
      <c r="A374" t="inlineStr">
        <is>
          <t>A 74031-2021</t>
        </is>
      </c>
      <c r="B374" s="1" t="n">
        <v>44557</v>
      </c>
      <c r="C374" s="1" t="n">
        <v>45846</v>
      </c>
      <c r="D374" t="inlineStr">
        <is>
          <t>UPPSALA LÄN</t>
        </is>
      </c>
      <c r="E374" t="inlineStr">
        <is>
          <t>ENKÖPING</t>
        </is>
      </c>
      <c r="G374" t="n">
        <v>6</v>
      </c>
      <c r="H374" t="n">
        <v>0</v>
      </c>
      <c r="I374" t="n">
        <v>2</v>
      </c>
      <c r="J374" t="n">
        <v>0</v>
      </c>
      <c r="K374" t="n">
        <v>0</v>
      </c>
      <c r="L374" t="n">
        <v>0</v>
      </c>
      <c r="M374" t="n">
        <v>0</v>
      </c>
      <c r="N374" t="n">
        <v>0</v>
      </c>
      <c r="O374" t="n">
        <v>0</v>
      </c>
      <c r="P374" t="n">
        <v>0</v>
      </c>
      <c r="Q374" t="n">
        <v>2</v>
      </c>
      <c r="R374" s="2" t="inlineStr">
        <is>
          <t>Scharlakansvårskål agg.
Tibast</t>
        </is>
      </c>
      <c r="S374">
        <f>HYPERLINK("https://klasma.github.io/Logging_0381/artfynd/A 74031-2021 artfynd.xlsx", "A 74031-2021")</f>
        <v/>
      </c>
      <c r="T374">
        <f>HYPERLINK("https://klasma.github.io/Logging_0381/kartor/A 74031-2021 karta.png", "A 74031-2021")</f>
        <v/>
      </c>
      <c r="V374">
        <f>HYPERLINK("https://klasma.github.io/Logging_0381/klagomål/A 74031-2021 FSC-klagomål.docx", "A 74031-2021")</f>
        <v/>
      </c>
      <c r="W374">
        <f>HYPERLINK("https://klasma.github.io/Logging_0381/klagomålsmail/A 74031-2021 FSC-klagomål mail.docx", "A 74031-2021")</f>
        <v/>
      </c>
      <c r="X374">
        <f>HYPERLINK("https://klasma.github.io/Logging_0381/tillsyn/A 74031-2021 tillsynsbegäran.docx", "A 74031-2021")</f>
        <v/>
      </c>
      <c r="Y374">
        <f>HYPERLINK("https://klasma.github.io/Logging_0381/tillsynsmail/A 74031-2021 tillsynsbegäran mail.docx", "A 74031-2021")</f>
        <v/>
      </c>
    </row>
    <row r="375" ht="15" customHeight="1">
      <c r="A375" t="inlineStr">
        <is>
          <t>A 8290-2022</t>
        </is>
      </c>
      <c r="B375" s="1" t="n">
        <v>44610</v>
      </c>
      <c r="C375" s="1" t="n">
        <v>45846</v>
      </c>
      <c r="D375" t="inlineStr">
        <is>
          <t>UPPSALA LÄN</t>
        </is>
      </c>
      <c r="E375" t="inlineStr">
        <is>
          <t>ÖSTHAMMAR</t>
        </is>
      </c>
      <c r="G375" t="n">
        <v>3.5</v>
      </c>
      <c r="H375" t="n">
        <v>0</v>
      </c>
      <c r="I375" t="n">
        <v>1</v>
      </c>
      <c r="J375" t="n">
        <v>0</v>
      </c>
      <c r="K375" t="n">
        <v>1</v>
      </c>
      <c r="L375" t="n">
        <v>0</v>
      </c>
      <c r="M375" t="n">
        <v>0</v>
      </c>
      <c r="N375" t="n">
        <v>0</v>
      </c>
      <c r="O375" t="n">
        <v>1</v>
      </c>
      <c r="P375" t="n">
        <v>1</v>
      </c>
      <c r="Q375" t="n">
        <v>2</v>
      </c>
      <c r="R375" s="2" t="inlineStr">
        <is>
          <t>Gul lammticka
Brandmusseron</t>
        </is>
      </c>
      <c r="S375">
        <f>HYPERLINK("https://klasma.github.io/Logging_0382/artfynd/A 8290-2022 artfynd.xlsx", "A 8290-2022")</f>
        <v/>
      </c>
      <c r="T375">
        <f>HYPERLINK("https://klasma.github.io/Logging_0382/kartor/A 8290-2022 karta.png", "A 8290-2022")</f>
        <v/>
      </c>
      <c r="V375">
        <f>HYPERLINK("https://klasma.github.io/Logging_0382/klagomål/A 8290-2022 FSC-klagomål.docx", "A 8290-2022")</f>
        <v/>
      </c>
      <c r="W375">
        <f>HYPERLINK("https://klasma.github.io/Logging_0382/klagomålsmail/A 8290-2022 FSC-klagomål mail.docx", "A 8290-2022")</f>
        <v/>
      </c>
      <c r="X375">
        <f>HYPERLINK("https://klasma.github.io/Logging_0382/tillsyn/A 8290-2022 tillsynsbegäran.docx", "A 8290-2022")</f>
        <v/>
      </c>
      <c r="Y375">
        <f>HYPERLINK("https://klasma.github.io/Logging_0382/tillsynsmail/A 8290-2022 tillsynsbegäran mail.docx", "A 8290-2022")</f>
        <v/>
      </c>
    </row>
    <row r="376" ht="15" customHeight="1">
      <c r="A376" t="inlineStr">
        <is>
          <t>A 12186-2022</t>
        </is>
      </c>
      <c r="B376" s="1" t="n">
        <v>44636</v>
      </c>
      <c r="C376" s="1" t="n">
        <v>45846</v>
      </c>
      <c r="D376" t="inlineStr">
        <is>
          <t>UPPSALA LÄN</t>
        </is>
      </c>
      <c r="E376" t="inlineStr">
        <is>
          <t>TIERP</t>
        </is>
      </c>
      <c r="G376" t="n">
        <v>8.1</v>
      </c>
      <c r="H376" t="n">
        <v>0</v>
      </c>
      <c r="I376" t="n">
        <v>0</v>
      </c>
      <c r="J376" t="n">
        <v>2</v>
      </c>
      <c r="K376" t="n">
        <v>0</v>
      </c>
      <c r="L376" t="n">
        <v>0</v>
      </c>
      <c r="M376" t="n">
        <v>0</v>
      </c>
      <c r="N376" t="n">
        <v>0</v>
      </c>
      <c r="O376" t="n">
        <v>2</v>
      </c>
      <c r="P376" t="n">
        <v>0</v>
      </c>
      <c r="Q376" t="n">
        <v>2</v>
      </c>
      <c r="R376" s="2" t="inlineStr">
        <is>
          <t>Flattoppad klubbsvamp
Äggspindling</t>
        </is>
      </c>
      <c r="S376">
        <f>HYPERLINK("https://klasma.github.io/Logging_0360/artfynd/A 12186-2022 artfynd.xlsx", "A 12186-2022")</f>
        <v/>
      </c>
      <c r="T376">
        <f>HYPERLINK("https://klasma.github.io/Logging_0360/kartor/A 12186-2022 karta.png", "A 12186-2022")</f>
        <v/>
      </c>
      <c r="V376">
        <f>HYPERLINK("https://klasma.github.io/Logging_0360/klagomål/A 12186-2022 FSC-klagomål.docx", "A 12186-2022")</f>
        <v/>
      </c>
      <c r="W376">
        <f>HYPERLINK("https://klasma.github.io/Logging_0360/klagomålsmail/A 12186-2022 FSC-klagomål mail.docx", "A 12186-2022")</f>
        <v/>
      </c>
      <c r="X376">
        <f>HYPERLINK("https://klasma.github.io/Logging_0360/tillsyn/A 12186-2022 tillsynsbegäran.docx", "A 12186-2022")</f>
        <v/>
      </c>
      <c r="Y376">
        <f>HYPERLINK("https://klasma.github.io/Logging_0360/tillsynsmail/A 12186-2022 tillsynsbegäran mail.docx", "A 12186-2022")</f>
        <v/>
      </c>
    </row>
    <row r="377" ht="15" customHeight="1">
      <c r="A377" t="inlineStr">
        <is>
          <t>A 13287-2022</t>
        </is>
      </c>
      <c r="B377" s="1" t="n">
        <v>44644</v>
      </c>
      <c r="C377" s="1" t="n">
        <v>45846</v>
      </c>
      <c r="D377" t="inlineStr">
        <is>
          <t>UPPSALA LÄN</t>
        </is>
      </c>
      <c r="E377" t="inlineStr">
        <is>
          <t>ÖSTHAMMAR</t>
        </is>
      </c>
      <c r="G377" t="n">
        <v>14.6</v>
      </c>
      <c r="H377" t="n">
        <v>0</v>
      </c>
      <c r="I377" t="n">
        <v>1</v>
      </c>
      <c r="J377" t="n">
        <v>0</v>
      </c>
      <c r="K377" t="n">
        <v>1</v>
      </c>
      <c r="L377" t="n">
        <v>0</v>
      </c>
      <c r="M377" t="n">
        <v>0</v>
      </c>
      <c r="N377" t="n">
        <v>0</v>
      </c>
      <c r="O377" t="n">
        <v>1</v>
      </c>
      <c r="P377" t="n">
        <v>1</v>
      </c>
      <c r="Q377" t="n">
        <v>2</v>
      </c>
      <c r="R377" s="2" t="inlineStr">
        <is>
          <t>Bullspindling
Olivspindling</t>
        </is>
      </c>
      <c r="S377">
        <f>HYPERLINK("https://klasma.github.io/Logging_0382/artfynd/A 13287-2022 artfynd.xlsx", "A 13287-2022")</f>
        <v/>
      </c>
      <c r="T377">
        <f>HYPERLINK("https://klasma.github.io/Logging_0382/kartor/A 13287-2022 karta.png", "A 13287-2022")</f>
        <v/>
      </c>
      <c r="V377">
        <f>HYPERLINK("https://klasma.github.io/Logging_0382/klagomål/A 13287-2022 FSC-klagomål.docx", "A 13287-2022")</f>
        <v/>
      </c>
      <c r="W377">
        <f>HYPERLINK("https://klasma.github.io/Logging_0382/klagomålsmail/A 13287-2022 FSC-klagomål mail.docx", "A 13287-2022")</f>
        <v/>
      </c>
      <c r="X377">
        <f>HYPERLINK("https://klasma.github.io/Logging_0382/tillsyn/A 13287-2022 tillsynsbegäran.docx", "A 13287-2022")</f>
        <v/>
      </c>
      <c r="Y377">
        <f>HYPERLINK("https://klasma.github.io/Logging_0382/tillsynsmail/A 13287-2022 tillsynsbegäran mail.docx", "A 13287-2022")</f>
        <v/>
      </c>
    </row>
    <row r="378" ht="15" customHeight="1">
      <c r="A378" t="inlineStr">
        <is>
          <t>A 14093-2022</t>
        </is>
      </c>
      <c r="B378" s="1" t="n">
        <v>44651</v>
      </c>
      <c r="C378" s="1" t="n">
        <v>45846</v>
      </c>
      <c r="D378" t="inlineStr">
        <is>
          <t>UPPSALA LÄN</t>
        </is>
      </c>
      <c r="E378" t="inlineStr">
        <is>
          <t>TIERP</t>
        </is>
      </c>
      <c r="F378" t="inlineStr">
        <is>
          <t>Bergvik skog öst AB</t>
        </is>
      </c>
      <c r="G378" t="n">
        <v>3.9</v>
      </c>
      <c r="H378" t="n">
        <v>0</v>
      </c>
      <c r="I378" t="n">
        <v>2</v>
      </c>
      <c r="J378" t="n">
        <v>0</v>
      </c>
      <c r="K378" t="n">
        <v>0</v>
      </c>
      <c r="L378" t="n">
        <v>0</v>
      </c>
      <c r="M378" t="n">
        <v>0</v>
      </c>
      <c r="N378" t="n">
        <v>0</v>
      </c>
      <c r="O378" t="n">
        <v>0</v>
      </c>
      <c r="P378" t="n">
        <v>0</v>
      </c>
      <c r="Q378" t="n">
        <v>2</v>
      </c>
      <c r="R378" s="2" t="inlineStr">
        <is>
          <t>Björksplintborre
Jättesvampmal</t>
        </is>
      </c>
      <c r="S378">
        <f>HYPERLINK("https://klasma.github.io/Logging_0360/artfynd/A 14093-2022 artfynd.xlsx", "A 14093-2022")</f>
        <v/>
      </c>
      <c r="T378">
        <f>HYPERLINK("https://klasma.github.io/Logging_0360/kartor/A 14093-2022 karta.png", "A 14093-2022")</f>
        <v/>
      </c>
      <c r="V378">
        <f>HYPERLINK("https://klasma.github.io/Logging_0360/klagomål/A 14093-2022 FSC-klagomål.docx", "A 14093-2022")</f>
        <v/>
      </c>
      <c r="W378">
        <f>HYPERLINK("https://klasma.github.io/Logging_0360/klagomålsmail/A 14093-2022 FSC-klagomål mail.docx", "A 14093-2022")</f>
        <v/>
      </c>
      <c r="X378">
        <f>HYPERLINK("https://klasma.github.io/Logging_0360/tillsyn/A 14093-2022 tillsynsbegäran.docx", "A 14093-2022")</f>
        <v/>
      </c>
      <c r="Y378">
        <f>HYPERLINK("https://klasma.github.io/Logging_0360/tillsynsmail/A 14093-2022 tillsynsbegäran mail.docx", "A 14093-2022")</f>
        <v/>
      </c>
    </row>
    <row r="379" ht="15" customHeight="1">
      <c r="A379" t="inlineStr">
        <is>
          <t>A 15277-2022</t>
        </is>
      </c>
      <c r="B379" s="1" t="n">
        <v>44659</v>
      </c>
      <c r="C379" s="1" t="n">
        <v>45846</v>
      </c>
      <c r="D379" t="inlineStr">
        <is>
          <t>UPPSALA LÄN</t>
        </is>
      </c>
      <c r="E379" t="inlineStr">
        <is>
          <t>UPPSALA</t>
        </is>
      </c>
      <c r="G379" t="n">
        <v>8.9</v>
      </c>
      <c r="H379" t="n">
        <v>2</v>
      </c>
      <c r="I379" t="n">
        <v>0</v>
      </c>
      <c r="J379" t="n">
        <v>2</v>
      </c>
      <c r="K379" t="n">
        <v>0</v>
      </c>
      <c r="L379" t="n">
        <v>0</v>
      </c>
      <c r="M379" t="n">
        <v>0</v>
      </c>
      <c r="N379" t="n">
        <v>0</v>
      </c>
      <c r="O379" t="n">
        <v>2</v>
      </c>
      <c r="P379" t="n">
        <v>0</v>
      </c>
      <c r="Q379" t="n">
        <v>2</v>
      </c>
      <c r="R379" s="2" t="inlineStr">
        <is>
          <t>Entita
Mindre hackspett</t>
        </is>
      </c>
      <c r="S379">
        <f>HYPERLINK("https://klasma.github.io/Logging_0380/artfynd/A 15277-2022 artfynd.xlsx", "A 15277-2022")</f>
        <v/>
      </c>
      <c r="T379">
        <f>HYPERLINK("https://klasma.github.io/Logging_0380/kartor/A 15277-2022 karta.png", "A 15277-2022")</f>
        <v/>
      </c>
      <c r="V379">
        <f>HYPERLINK("https://klasma.github.io/Logging_0380/klagomål/A 15277-2022 FSC-klagomål.docx", "A 15277-2022")</f>
        <v/>
      </c>
      <c r="W379">
        <f>HYPERLINK("https://klasma.github.io/Logging_0380/klagomålsmail/A 15277-2022 FSC-klagomål mail.docx", "A 15277-2022")</f>
        <v/>
      </c>
      <c r="X379">
        <f>HYPERLINK("https://klasma.github.io/Logging_0380/tillsyn/A 15277-2022 tillsynsbegäran.docx", "A 15277-2022")</f>
        <v/>
      </c>
      <c r="Y379">
        <f>HYPERLINK("https://klasma.github.io/Logging_0380/tillsynsmail/A 15277-2022 tillsynsbegäran mail.docx", "A 15277-2022")</f>
        <v/>
      </c>
      <c r="Z379">
        <f>HYPERLINK("https://klasma.github.io/Logging_0380/fåglar/A 15277-2022 prioriterade fågelarter.docx", "A 15277-2022")</f>
        <v/>
      </c>
    </row>
    <row r="380" ht="15" customHeight="1">
      <c r="A380" t="inlineStr">
        <is>
          <t>A 17341-2022</t>
        </is>
      </c>
      <c r="B380" s="1" t="n">
        <v>44678</v>
      </c>
      <c r="C380" s="1" t="n">
        <v>45846</v>
      </c>
      <c r="D380" t="inlineStr">
        <is>
          <t>UPPSALA LÄN</t>
        </is>
      </c>
      <c r="E380" t="inlineStr">
        <is>
          <t>UPPSALA</t>
        </is>
      </c>
      <c r="F380" t="inlineStr">
        <is>
          <t>Övriga Aktiebolag</t>
        </is>
      </c>
      <c r="G380" t="n">
        <v>10.3</v>
      </c>
      <c r="H380" t="n">
        <v>2</v>
      </c>
      <c r="I380" t="n">
        <v>0</v>
      </c>
      <c r="J380" t="n">
        <v>2</v>
      </c>
      <c r="K380" t="n">
        <v>0</v>
      </c>
      <c r="L380" t="n">
        <v>0</v>
      </c>
      <c r="M380" t="n">
        <v>0</v>
      </c>
      <c r="N380" t="n">
        <v>0</v>
      </c>
      <c r="O380" t="n">
        <v>2</v>
      </c>
      <c r="P380" t="n">
        <v>0</v>
      </c>
      <c r="Q380" t="n">
        <v>2</v>
      </c>
      <c r="R380" s="2" t="inlineStr">
        <is>
          <t>Järpe
Tretåig hackspett</t>
        </is>
      </c>
      <c r="S380">
        <f>HYPERLINK("https://klasma.github.io/Logging_0380/artfynd/A 17341-2022 artfynd.xlsx", "A 17341-2022")</f>
        <v/>
      </c>
      <c r="T380">
        <f>HYPERLINK("https://klasma.github.io/Logging_0380/kartor/A 17341-2022 karta.png", "A 17341-2022")</f>
        <v/>
      </c>
      <c r="V380">
        <f>HYPERLINK("https://klasma.github.io/Logging_0380/klagomål/A 17341-2022 FSC-klagomål.docx", "A 17341-2022")</f>
        <v/>
      </c>
      <c r="W380">
        <f>HYPERLINK("https://klasma.github.io/Logging_0380/klagomålsmail/A 17341-2022 FSC-klagomål mail.docx", "A 17341-2022")</f>
        <v/>
      </c>
      <c r="X380">
        <f>HYPERLINK("https://klasma.github.io/Logging_0380/tillsyn/A 17341-2022 tillsynsbegäran.docx", "A 17341-2022")</f>
        <v/>
      </c>
      <c r="Y380">
        <f>HYPERLINK("https://klasma.github.io/Logging_0380/tillsynsmail/A 17341-2022 tillsynsbegäran mail.docx", "A 17341-2022")</f>
        <v/>
      </c>
      <c r="Z380">
        <f>HYPERLINK("https://klasma.github.io/Logging_0380/fåglar/A 17341-2022 prioriterade fågelarter.docx", "A 17341-2022")</f>
        <v/>
      </c>
    </row>
    <row r="381" ht="15" customHeight="1">
      <c r="A381" t="inlineStr">
        <is>
          <t>A 22212-2022</t>
        </is>
      </c>
      <c r="B381" s="1" t="n">
        <v>44712</v>
      </c>
      <c r="C381" s="1" t="n">
        <v>45846</v>
      </c>
      <c r="D381" t="inlineStr">
        <is>
          <t>UPPSALA LÄN</t>
        </is>
      </c>
      <c r="E381" t="inlineStr">
        <is>
          <t>HEBY</t>
        </is>
      </c>
      <c r="G381" t="n">
        <v>7.9</v>
      </c>
      <c r="H381" t="n">
        <v>0</v>
      </c>
      <c r="I381" t="n">
        <v>2</v>
      </c>
      <c r="J381" t="n">
        <v>0</v>
      </c>
      <c r="K381" t="n">
        <v>0</v>
      </c>
      <c r="L381" t="n">
        <v>0</v>
      </c>
      <c r="M381" t="n">
        <v>0</v>
      </c>
      <c r="N381" t="n">
        <v>0</v>
      </c>
      <c r="O381" t="n">
        <v>0</v>
      </c>
      <c r="P381" t="n">
        <v>0</v>
      </c>
      <c r="Q381" t="n">
        <v>2</v>
      </c>
      <c r="R381" s="2" t="inlineStr">
        <is>
          <t>Bronshjon
Thomsons trägnagare</t>
        </is>
      </c>
      <c r="S381">
        <f>HYPERLINK("https://klasma.github.io/Logging_0331/artfynd/A 22212-2022 artfynd.xlsx", "A 22212-2022")</f>
        <v/>
      </c>
      <c r="T381">
        <f>HYPERLINK("https://klasma.github.io/Logging_0331/kartor/A 22212-2022 karta.png", "A 22212-2022")</f>
        <v/>
      </c>
      <c r="V381">
        <f>HYPERLINK("https://klasma.github.io/Logging_0331/klagomål/A 22212-2022 FSC-klagomål.docx", "A 22212-2022")</f>
        <v/>
      </c>
      <c r="W381">
        <f>HYPERLINK("https://klasma.github.io/Logging_0331/klagomålsmail/A 22212-2022 FSC-klagomål mail.docx", "A 22212-2022")</f>
        <v/>
      </c>
      <c r="X381">
        <f>HYPERLINK("https://klasma.github.io/Logging_0331/tillsyn/A 22212-2022 tillsynsbegäran.docx", "A 22212-2022")</f>
        <v/>
      </c>
      <c r="Y381">
        <f>HYPERLINK("https://klasma.github.io/Logging_0331/tillsynsmail/A 22212-2022 tillsynsbegäran mail.docx", "A 22212-2022")</f>
        <v/>
      </c>
    </row>
    <row r="382" ht="15" customHeight="1">
      <c r="A382" t="inlineStr">
        <is>
          <t>A 23303-2022</t>
        </is>
      </c>
      <c r="B382" s="1" t="n">
        <v>44719</v>
      </c>
      <c r="C382" s="1" t="n">
        <v>45846</v>
      </c>
      <c r="D382" t="inlineStr">
        <is>
          <t>UPPSALA LÄN</t>
        </is>
      </c>
      <c r="E382" t="inlineStr">
        <is>
          <t>HÅBO</t>
        </is>
      </c>
      <c r="F382" t="inlineStr">
        <is>
          <t>Naturvårdsverket</t>
        </is>
      </c>
      <c r="G382" t="n">
        <v>2</v>
      </c>
      <c r="H382" t="n">
        <v>2</v>
      </c>
      <c r="I382" t="n">
        <v>0</v>
      </c>
      <c r="J382" t="n">
        <v>1</v>
      </c>
      <c r="K382" t="n">
        <v>0</v>
      </c>
      <c r="L382" t="n">
        <v>0</v>
      </c>
      <c r="M382" t="n">
        <v>0</v>
      </c>
      <c r="N382" t="n">
        <v>0</v>
      </c>
      <c r="O382" t="n">
        <v>1</v>
      </c>
      <c r="P382" t="n">
        <v>0</v>
      </c>
      <c r="Q382" t="n">
        <v>2</v>
      </c>
      <c r="R382" s="2" t="inlineStr">
        <is>
          <t>Mindre hackspett
Blåsippa</t>
        </is>
      </c>
      <c r="S382">
        <f>HYPERLINK("https://klasma.github.io/Logging_0305/artfynd/A 23303-2022 artfynd.xlsx", "A 23303-2022")</f>
        <v/>
      </c>
      <c r="T382">
        <f>HYPERLINK("https://klasma.github.io/Logging_0305/kartor/A 23303-2022 karta.png", "A 23303-2022")</f>
        <v/>
      </c>
      <c r="V382">
        <f>HYPERLINK("https://klasma.github.io/Logging_0305/klagomål/A 23303-2022 FSC-klagomål.docx", "A 23303-2022")</f>
        <v/>
      </c>
      <c r="W382">
        <f>HYPERLINK("https://klasma.github.io/Logging_0305/klagomålsmail/A 23303-2022 FSC-klagomål mail.docx", "A 23303-2022")</f>
        <v/>
      </c>
      <c r="X382">
        <f>HYPERLINK("https://klasma.github.io/Logging_0305/tillsyn/A 23303-2022 tillsynsbegäran.docx", "A 23303-2022")</f>
        <v/>
      </c>
      <c r="Y382">
        <f>HYPERLINK("https://klasma.github.io/Logging_0305/tillsynsmail/A 23303-2022 tillsynsbegäran mail.docx", "A 23303-2022")</f>
        <v/>
      </c>
      <c r="Z382">
        <f>HYPERLINK("https://klasma.github.io/Logging_0305/fåglar/A 23303-2022 prioriterade fågelarter.docx", "A 23303-2022")</f>
        <v/>
      </c>
    </row>
    <row r="383" ht="15" customHeight="1">
      <c r="A383" t="inlineStr">
        <is>
          <t>A 25098-2022</t>
        </is>
      </c>
      <c r="B383" s="1" t="n">
        <v>44729</v>
      </c>
      <c r="C383" s="1" t="n">
        <v>45846</v>
      </c>
      <c r="D383" t="inlineStr">
        <is>
          <t>UPPSALA LÄN</t>
        </is>
      </c>
      <c r="E383" t="inlineStr">
        <is>
          <t>ÖSTHAMMAR</t>
        </is>
      </c>
      <c r="G383" t="n">
        <v>2.9</v>
      </c>
      <c r="H383" t="n">
        <v>2</v>
      </c>
      <c r="I383" t="n">
        <v>0</v>
      </c>
      <c r="J383" t="n">
        <v>0</v>
      </c>
      <c r="K383" t="n">
        <v>0</v>
      </c>
      <c r="L383" t="n">
        <v>0</v>
      </c>
      <c r="M383" t="n">
        <v>0</v>
      </c>
      <c r="N383" t="n">
        <v>0</v>
      </c>
      <c r="O383" t="n">
        <v>0</v>
      </c>
      <c r="P383" t="n">
        <v>0</v>
      </c>
      <c r="Q383" t="n">
        <v>2</v>
      </c>
      <c r="R383" s="2" t="inlineStr">
        <is>
          <t>Blåsippa
Gullviva</t>
        </is>
      </c>
      <c r="S383">
        <f>HYPERLINK("https://klasma.github.io/Logging_0382/artfynd/A 25098-2022 artfynd.xlsx", "A 25098-2022")</f>
        <v/>
      </c>
      <c r="T383">
        <f>HYPERLINK("https://klasma.github.io/Logging_0382/kartor/A 25098-2022 karta.png", "A 25098-2022")</f>
        <v/>
      </c>
      <c r="V383">
        <f>HYPERLINK("https://klasma.github.io/Logging_0382/klagomål/A 25098-2022 FSC-klagomål.docx", "A 25098-2022")</f>
        <v/>
      </c>
      <c r="W383">
        <f>HYPERLINK("https://klasma.github.io/Logging_0382/klagomålsmail/A 25098-2022 FSC-klagomål mail.docx", "A 25098-2022")</f>
        <v/>
      </c>
      <c r="X383">
        <f>HYPERLINK("https://klasma.github.io/Logging_0382/tillsyn/A 25098-2022 tillsynsbegäran.docx", "A 25098-2022")</f>
        <v/>
      </c>
      <c r="Y383">
        <f>HYPERLINK("https://klasma.github.io/Logging_0382/tillsynsmail/A 25098-2022 tillsynsbegäran mail.docx", "A 25098-2022")</f>
        <v/>
      </c>
    </row>
    <row r="384" ht="15" customHeight="1">
      <c r="A384" t="inlineStr">
        <is>
          <t>A 32064-2022</t>
        </is>
      </c>
      <c r="B384" s="1" t="n">
        <v>44778</v>
      </c>
      <c r="C384" s="1" t="n">
        <v>45846</v>
      </c>
      <c r="D384" t="inlineStr">
        <is>
          <t>UPPSALA LÄN</t>
        </is>
      </c>
      <c r="E384" t="inlineStr">
        <is>
          <t>ÖSTHAMMAR</t>
        </is>
      </c>
      <c r="G384" t="n">
        <v>2.2</v>
      </c>
      <c r="H384" t="n">
        <v>0</v>
      </c>
      <c r="I384" t="n">
        <v>1</v>
      </c>
      <c r="J384" t="n">
        <v>0</v>
      </c>
      <c r="K384" t="n">
        <v>1</v>
      </c>
      <c r="L384" t="n">
        <v>0</v>
      </c>
      <c r="M384" t="n">
        <v>0</v>
      </c>
      <c r="N384" t="n">
        <v>0</v>
      </c>
      <c r="O384" t="n">
        <v>1</v>
      </c>
      <c r="P384" t="n">
        <v>1</v>
      </c>
      <c r="Q384" t="n">
        <v>2</v>
      </c>
      <c r="R384" s="2" t="inlineStr">
        <is>
          <t>Gul lammticka
Olivspindling</t>
        </is>
      </c>
      <c r="S384">
        <f>HYPERLINK("https://klasma.github.io/Logging_0382/artfynd/A 32064-2022 artfynd.xlsx", "A 32064-2022")</f>
        <v/>
      </c>
      <c r="T384">
        <f>HYPERLINK("https://klasma.github.io/Logging_0382/kartor/A 32064-2022 karta.png", "A 32064-2022")</f>
        <v/>
      </c>
      <c r="V384">
        <f>HYPERLINK("https://klasma.github.io/Logging_0382/klagomål/A 32064-2022 FSC-klagomål.docx", "A 32064-2022")</f>
        <v/>
      </c>
      <c r="W384">
        <f>HYPERLINK("https://klasma.github.io/Logging_0382/klagomålsmail/A 32064-2022 FSC-klagomål mail.docx", "A 32064-2022")</f>
        <v/>
      </c>
      <c r="X384">
        <f>HYPERLINK("https://klasma.github.io/Logging_0382/tillsyn/A 32064-2022 tillsynsbegäran.docx", "A 32064-2022")</f>
        <v/>
      </c>
      <c r="Y384">
        <f>HYPERLINK("https://klasma.github.io/Logging_0382/tillsynsmail/A 32064-2022 tillsynsbegäran mail.docx", "A 32064-2022")</f>
        <v/>
      </c>
    </row>
    <row r="385" ht="15" customHeight="1">
      <c r="A385" t="inlineStr">
        <is>
          <t>A 45851-2022</t>
        </is>
      </c>
      <c r="B385" s="1" t="n">
        <v>44846</v>
      </c>
      <c r="C385" s="1" t="n">
        <v>45846</v>
      </c>
      <c r="D385" t="inlineStr">
        <is>
          <t>UPPSALA LÄN</t>
        </is>
      </c>
      <c r="E385" t="inlineStr">
        <is>
          <t>TIERP</t>
        </is>
      </c>
      <c r="G385" t="n">
        <v>2.6</v>
      </c>
      <c r="H385" t="n">
        <v>0</v>
      </c>
      <c r="I385" t="n">
        <v>2</v>
      </c>
      <c r="J385" t="n">
        <v>0</v>
      </c>
      <c r="K385" t="n">
        <v>0</v>
      </c>
      <c r="L385" t="n">
        <v>0</v>
      </c>
      <c r="M385" t="n">
        <v>0</v>
      </c>
      <c r="N385" t="n">
        <v>0</v>
      </c>
      <c r="O385" t="n">
        <v>0</v>
      </c>
      <c r="P385" t="n">
        <v>0</v>
      </c>
      <c r="Q385" t="n">
        <v>2</v>
      </c>
      <c r="R385" s="2" t="inlineStr">
        <is>
          <t>Olivspindling
Rödgul trumpetsvamp</t>
        </is>
      </c>
      <c r="S385">
        <f>HYPERLINK("https://klasma.github.io/Logging_0360/artfynd/A 45851-2022 artfynd.xlsx", "A 45851-2022")</f>
        <v/>
      </c>
      <c r="T385">
        <f>HYPERLINK("https://klasma.github.io/Logging_0360/kartor/A 45851-2022 karta.png", "A 45851-2022")</f>
        <v/>
      </c>
      <c r="V385">
        <f>HYPERLINK("https://klasma.github.io/Logging_0360/klagomål/A 45851-2022 FSC-klagomål.docx", "A 45851-2022")</f>
        <v/>
      </c>
      <c r="W385">
        <f>HYPERLINK("https://klasma.github.io/Logging_0360/klagomålsmail/A 45851-2022 FSC-klagomål mail.docx", "A 45851-2022")</f>
        <v/>
      </c>
      <c r="X385">
        <f>HYPERLINK("https://klasma.github.io/Logging_0360/tillsyn/A 45851-2022 tillsynsbegäran.docx", "A 45851-2022")</f>
        <v/>
      </c>
      <c r="Y385">
        <f>HYPERLINK("https://klasma.github.io/Logging_0360/tillsynsmail/A 45851-2022 tillsynsbegäran mail.docx", "A 45851-2022")</f>
        <v/>
      </c>
    </row>
    <row r="386" ht="15" customHeight="1">
      <c r="A386" t="inlineStr">
        <is>
          <t>A 52092-2022</t>
        </is>
      </c>
      <c r="B386" s="1" t="n">
        <v>44873</v>
      </c>
      <c r="C386" s="1" t="n">
        <v>45846</v>
      </c>
      <c r="D386" t="inlineStr">
        <is>
          <t>UPPSALA LÄN</t>
        </is>
      </c>
      <c r="E386" t="inlineStr">
        <is>
          <t>ENKÖPING</t>
        </is>
      </c>
      <c r="G386" t="n">
        <v>2.4</v>
      </c>
      <c r="H386" t="n">
        <v>1</v>
      </c>
      <c r="I386" t="n">
        <v>0</v>
      </c>
      <c r="J386" t="n">
        <v>1</v>
      </c>
      <c r="K386" t="n">
        <v>1</v>
      </c>
      <c r="L386" t="n">
        <v>0</v>
      </c>
      <c r="M386" t="n">
        <v>0</v>
      </c>
      <c r="N386" t="n">
        <v>0</v>
      </c>
      <c r="O386" t="n">
        <v>2</v>
      </c>
      <c r="P386" t="n">
        <v>1</v>
      </c>
      <c r="Q386" t="n">
        <v>2</v>
      </c>
      <c r="R386" s="2" t="inlineStr">
        <is>
          <t>Bombmurkla
Fyrflikig jordstjärna</t>
        </is>
      </c>
      <c r="S386">
        <f>HYPERLINK("https://klasma.github.io/Logging_0381/artfynd/A 52092-2022 artfynd.xlsx", "A 52092-2022")</f>
        <v/>
      </c>
      <c r="T386">
        <f>HYPERLINK("https://klasma.github.io/Logging_0381/kartor/A 52092-2022 karta.png", "A 52092-2022")</f>
        <v/>
      </c>
      <c r="V386">
        <f>HYPERLINK("https://klasma.github.io/Logging_0381/klagomål/A 52092-2022 FSC-klagomål.docx", "A 52092-2022")</f>
        <v/>
      </c>
      <c r="W386">
        <f>HYPERLINK("https://klasma.github.io/Logging_0381/klagomålsmail/A 52092-2022 FSC-klagomål mail.docx", "A 52092-2022")</f>
        <v/>
      </c>
      <c r="X386">
        <f>HYPERLINK("https://klasma.github.io/Logging_0381/tillsyn/A 52092-2022 tillsynsbegäran.docx", "A 52092-2022")</f>
        <v/>
      </c>
      <c r="Y386">
        <f>HYPERLINK("https://klasma.github.io/Logging_0381/tillsynsmail/A 52092-2022 tillsynsbegäran mail.docx", "A 52092-2022")</f>
        <v/>
      </c>
    </row>
    <row r="387" ht="15" customHeight="1">
      <c r="A387" t="inlineStr">
        <is>
          <t>A 52654-2022</t>
        </is>
      </c>
      <c r="B387" s="1" t="n">
        <v>44874</v>
      </c>
      <c r="C387" s="1" t="n">
        <v>45846</v>
      </c>
      <c r="D387" t="inlineStr">
        <is>
          <t>UPPSALA LÄN</t>
        </is>
      </c>
      <c r="E387" t="inlineStr">
        <is>
          <t>ÖSTHAMMAR</t>
        </is>
      </c>
      <c r="F387" t="inlineStr">
        <is>
          <t>Bergvik skog öst AB</t>
        </is>
      </c>
      <c r="G387" t="n">
        <v>5.2</v>
      </c>
      <c r="H387" t="n">
        <v>2</v>
      </c>
      <c r="I387" t="n">
        <v>0</v>
      </c>
      <c r="J387" t="n">
        <v>2</v>
      </c>
      <c r="K387" t="n">
        <v>0</v>
      </c>
      <c r="L387" t="n">
        <v>0</v>
      </c>
      <c r="M387" t="n">
        <v>0</v>
      </c>
      <c r="N387" t="n">
        <v>0</v>
      </c>
      <c r="O387" t="n">
        <v>2</v>
      </c>
      <c r="P387" t="n">
        <v>0</v>
      </c>
      <c r="Q387" t="n">
        <v>2</v>
      </c>
      <c r="R387" s="2" t="inlineStr">
        <is>
          <t>Fiskmås
Strandskata</t>
        </is>
      </c>
      <c r="S387">
        <f>HYPERLINK("https://klasma.github.io/Logging_0382/artfynd/A 52654-2022 artfynd.xlsx", "A 52654-2022")</f>
        <v/>
      </c>
      <c r="T387">
        <f>HYPERLINK("https://klasma.github.io/Logging_0382/kartor/A 52654-2022 karta.png", "A 52654-2022")</f>
        <v/>
      </c>
      <c r="V387">
        <f>HYPERLINK("https://klasma.github.io/Logging_0382/klagomål/A 52654-2022 FSC-klagomål.docx", "A 52654-2022")</f>
        <v/>
      </c>
      <c r="W387">
        <f>HYPERLINK("https://klasma.github.io/Logging_0382/klagomålsmail/A 52654-2022 FSC-klagomål mail.docx", "A 52654-2022")</f>
        <v/>
      </c>
      <c r="X387">
        <f>HYPERLINK("https://klasma.github.io/Logging_0382/tillsyn/A 52654-2022 tillsynsbegäran.docx", "A 52654-2022")</f>
        <v/>
      </c>
      <c r="Y387">
        <f>HYPERLINK("https://klasma.github.io/Logging_0382/tillsynsmail/A 52654-2022 tillsynsbegäran mail.docx", "A 52654-2022")</f>
        <v/>
      </c>
    </row>
    <row r="388" ht="15" customHeight="1">
      <c r="A388" t="inlineStr">
        <is>
          <t>A 52658-2022</t>
        </is>
      </c>
      <c r="B388" s="1" t="n">
        <v>44874</v>
      </c>
      <c r="C388" s="1" t="n">
        <v>45846</v>
      </c>
      <c r="D388" t="inlineStr">
        <is>
          <t>UPPSALA LÄN</t>
        </is>
      </c>
      <c r="E388" t="inlineStr">
        <is>
          <t>ÖSTHAMMAR</t>
        </is>
      </c>
      <c r="F388" t="inlineStr">
        <is>
          <t>Bergvik skog öst AB</t>
        </is>
      </c>
      <c r="G388" t="n">
        <v>1.4</v>
      </c>
      <c r="H388" t="n">
        <v>2</v>
      </c>
      <c r="I388" t="n">
        <v>0</v>
      </c>
      <c r="J388" t="n">
        <v>2</v>
      </c>
      <c r="K388" t="n">
        <v>0</v>
      </c>
      <c r="L388" t="n">
        <v>0</v>
      </c>
      <c r="M388" t="n">
        <v>0</v>
      </c>
      <c r="N388" t="n">
        <v>0</v>
      </c>
      <c r="O388" t="n">
        <v>2</v>
      </c>
      <c r="P388" t="n">
        <v>0</v>
      </c>
      <c r="Q388" t="n">
        <v>2</v>
      </c>
      <c r="R388" s="2" t="inlineStr">
        <is>
          <t>Strandskata
Svartvit flugsnappare</t>
        </is>
      </c>
      <c r="S388">
        <f>HYPERLINK("https://klasma.github.io/Logging_0382/artfynd/A 52658-2022 artfynd.xlsx", "A 52658-2022")</f>
        <v/>
      </c>
      <c r="T388">
        <f>HYPERLINK("https://klasma.github.io/Logging_0382/kartor/A 52658-2022 karta.png", "A 52658-2022")</f>
        <v/>
      </c>
      <c r="V388">
        <f>HYPERLINK("https://klasma.github.io/Logging_0382/klagomål/A 52658-2022 FSC-klagomål.docx", "A 52658-2022")</f>
        <v/>
      </c>
      <c r="W388">
        <f>HYPERLINK("https://klasma.github.io/Logging_0382/klagomålsmail/A 52658-2022 FSC-klagomål mail.docx", "A 52658-2022")</f>
        <v/>
      </c>
      <c r="X388">
        <f>HYPERLINK("https://klasma.github.io/Logging_0382/tillsyn/A 52658-2022 tillsynsbegäran.docx", "A 52658-2022")</f>
        <v/>
      </c>
      <c r="Y388">
        <f>HYPERLINK("https://klasma.github.io/Logging_0382/tillsynsmail/A 52658-2022 tillsynsbegäran mail.docx", "A 52658-2022")</f>
        <v/>
      </c>
      <c r="Z388">
        <f>HYPERLINK("https://klasma.github.io/Logging_0382/fåglar/A 52658-2022 prioriterade fågelarter.docx", "A 52658-2022")</f>
        <v/>
      </c>
    </row>
    <row r="389" ht="15" customHeight="1">
      <c r="A389" t="inlineStr">
        <is>
          <t>A 54082-2022</t>
        </is>
      </c>
      <c r="B389" s="1" t="n">
        <v>44879</v>
      </c>
      <c r="C389" s="1" t="n">
        <v>45846</v>
      </c>
      <c r="D389" t="inlineStr">
        <is>
          <t>UPPSALA LÄN</t>
        </is>
      </c>
      <c r="E389" t="inlineStr">
        <is>
          <t>UPPSALA</t>
        </is>
      </c>
      <c r="G389" t="n">
        <v>15.1</v>
      </c>
      <c r="H389" t="n">
        <v>0</v>
      </c>
      <c r="I389" t="n">
        <v>2</v>
      </c>
      <c r="J389" t="n">
        <v>0</v>
      </c>
      <c r="K389" t="n">
        <v>0</v>
      </c>
      <c r="L389" t="n">
        <v>0</v>
      </c>
      <c r="M389" t="n">
        <v>0</v>
      </c>
      <c r="N389" t="n">
        <v>0</v>
      </c>
      <c r="O389" t="n">
        <v>0</v>
      </c>
      <c r="P389" t="n">
        <v>0</v>
      </c>
      <c r="Q389" t="n">
        <v>2</v>
      </c>
      <c r="R389" s="2" t="inlineStr">
        <is>
          <t>Fjällig taggsvamp s.str.
Skarp dropptaggsvamp</t>
        </is>
      </c>
      <c r="S389">
        <f>HYPERLINK("https://klasma.github.io/Logging_0380/artfynd/A 54082-2022 artfynd.xlsx", "A 54082-2022")</f>
        <v/>
      </c>
      <c r="T389">
        <f>HYPERLINK("https://klasma.github.io/Logging_0380/kartor/A 54082-2022 karta.png", "A 54082-2022")</f>
        <v/>
      </c>
      <c r="V389">
        <f>HYPERLINK("https://klasma.github.io/Logging_0380/klagomål/A 54082-2022 FSC-klagomål.docx", "A 54082-2022")</f>
        <v/>
      </c>
      <c r="W389">
        <f>HYPERLINK("https://klasma.github.io/Logging_0380/klagomålsmail/A 54082-2022 FSC-klagomål mail.docx", "A 54082-2022")</f>
        <v/>
      </c>
      <c r="X389">
        <f>HYPERLINK("https://klasma.github.io/Logging_0380/tillsyn/A 54082-2022 tillsynsbegäran.docx", "A 54082-2022")</f>
        <v/>
      </c>
      <c r="Y389">
        <f>HYPERLINK("https://klasma.github.io/Logging_0380/tillsynsmail/A 54082-2022 tillsynsbegäran mail.docx", "A 54082-2022")</f>
        <v/>
      </c>
    </row>
    <row r="390" ht="15" customHeight="1">
      <c r="A390" t="inlineStr">
        <is>
          <t>A 56531-2022</t>
        </is>
      </c>
      <c r="B390" s="1" t="n">
        <v>44887</v>
      </c>
      <c r="C390" s="1" t="n">
        <v>45846</v>
      </c>
      <c r="D390" t="inlineStr">
        <is>
          <t>UPPSALA LÄN</t>
        </is>
      </c>
      <c r="E390" t="inlineStr">
        <is>
          <t>TIERP</t>
        </is>
      </c>
      <c r="F390" t="inlineStr">
        <is>
          <t>Bergvik skog väst AB</t>
        </is>
      </c>
      <c r="G390" t="n">
        <v>14.2</v>
      </c>
      <c r="H390" t="n">
        <v>2</v>
      </c>
      <c r="I390" t="n">
        <v>0</v>
      </c>
      <c r="J390" t="n">
        <v>2</v>
      </c>
      <c r="K390" t="n">
        <v>0</v>
      </c>
      <c r="L390" t="n">
        <v>0</v>
      </c>
      <c r="M390" t="n">
        <v>0</v>
      </c>
      <c r="N390" t="n">
        <v>0</v>
      </c>
      <c r="O390" t="n">
        <v>2</v>
      </c>
      <c r="P390" t="n">
        <v>0</v>
      </c>
      <c r="Q390" t="n">
        <v>2</v>
      </c>
      <c r="R390" s="2" t="inlineStr">
        <is>
          <t>Spillkråka
Talltita</t>
        </is>
      </c>
      <c r="S390">
        <f>HYPERLINK("https://klasma.github.io/Logging_0360/artfynd/A 56531-2022 artfynd.xlsx", "A 56531-2022")</f>
        <v/>
      </c>
      <c r="T390">
        <f>HYPERLINK("https://klasma.github.io/Logging_0360/kartor/A 56531-2022 karta.png", "A 56531-2022")</f>
        <v/>
      </c>
      <c r="V390">
        <f>HYPERLINK("https://klasma.github.io/Logging_0360/klagomål/A 56531-2022 FSC-klagomål.docx", "A 56531-2022")</f>
        <v/>
      </c>
      <c r="W390">
        <f>HYPERLINK("https://klasma.github.io/Logging_0360/klagomålsmail/A 56531-2022 FSC-klagomål mail.docx", "A 56531-2022")</f>
        <v/>
      </c>
      <c r="X390">
        <f>HYPERLINK("https://klasma.github.io/Logging_0360/tillsyn/A 56531-2022 tillsynsbegäran.docx", "A 56531-2022")</f>
        <v/>
      </c>
      <c r="Y390">
        <f>HYPERLINK("https://klasma.github.io/Logging_0360/tillsynsmail/A 56531-2022 tillsynsbegäran mail.docx", "A 56531-2022")</f>
        <v/>
      </c>
      <c r="Z390">
        <f>HYPERLINK("https://klasma.github.io/Logging_0360/fåglar/A 56531-2022 prioriterade fågelarter.docx", "A 56531-2022")</f>
        <v/>
      </c>
    </row>
    <row r="391" ht="15" customHeight="1">
      <c r="A391" t="inlineStr">
        <is>
          <t>A 55975-2022</t>
        </is>
      </c>
      <c r="B391" s="1" t="n">
        <v>44889</v>
      </c>
      <c r="C391" s="1" t="n">
        <v>45846</v>
      </c>
      <c r="D391" t="inlineStr">
        <is>
          <t>UPPSALA LÄN</t>
        </is>
      </c>
      <c r="E391" t="inlineStr">
        <is>
          <t>HEBY</t>
        </is>
      </c>
      <c r="G391" t="n">
        <v>23.4</v>
      </c>
      <c r="H391" t="n">
        <v>0</v>
      </c>
      <c r="I391" t="n">
        <v>0</v>
      </c>
      <c r="J391" t="n">
        <v>1</v>
      </c>
      <c r="K391" t="n">
        <v>1</v>
      </c>
      <c r="L391" t="n">
        <v>0</v>
      </c>
      <c r="M391" t="n">
        <v>0</v>
      </c>
      <c r="N391" t="n">
        <v>0</v>
      </c>
      <c r="O391" t="n">
        <v>2</v>
      </c>
      <c r="P391" t="n">
        <v>1</v>
      </c>
      <c r="Q391" t="n">
        <v>2</v>
      </c>
      <c r="R391" s="2" t="inlineStr">
        <is>
          <t>Rynkskinn
Ullticka</t>
        </is>
      </c>
      <c r="S391">
        <f>HYPERLINK("https://klasma.github.io/Logging_0331/artfynd/A 55975-2022 artfynd.xlsx", "A 55975-2022")</f>
        <v/>
      </c>
      <c r="T391">
        <f>HYPERLINK("https://klasma.github.io/Logging_0331/kartor/A 55975-2022 karta.png", "A 55975-2022")</f>
        <v/>
      </c>
      <c r="V391">
        <f>HYPERLINK("https://klasma.github.io/Logging_0331/klagomål/A 55975-2022 FSC-klagomål.docx", "A 55975-2022")</f>
        <v/>
      </c>
      <c r="W391">
        <f>HYPERLINK("https://klasma.github.io/Logging_0331/klagomålsmail/A 55975-2022 FSC-klagomål mail.docx", "A 55975-2022")</f>
        <v/>
      </c>
      <c r="X391">
        <f>HYPERLINK("https://klasma.github.io/Logging_0331/tillsyn/A 55975-2022 tillsynsbegäran.docx", "A 55975-2022")</f>
        <v/>
      </c>
      <c r="Y391">
        <f>HYPERLINK("https://klasma.github.io/Logging_0331/tillsynsmail/A 55975-2022 tillsynsbegäran mail.docx", "A 55975-2022")</f>
        <v/>
      </c>
    </row>
    <row r="392" ht="15" customHeight="1">
      <c r="A392" t="inlineStr">
        <is>
          <t>A 57244-2022</t>
        </is>
      </c>
      <c r="B392" s="1" t="n">
        <v>44895</v>
      </c>
      <c r="C392" s="1" t="n">
        <v>45846</v>
      </c>
      <c r="D392" t="inlineStr">
        <is>
          <t>UPPSALA LÄN</t>
        </is>
      </c>
      <c r="E392" t="inlineStr">
        <is>
          <t>HEBY</t>
        </is>
      </c>
      <c r="G392" t="n">
        <v>6.5</v>
      </c>
      <c r="H392" t="n">
        <v>0</v>
      </c>
      <c r="I392" t="n">
        <v>1</v>
      </c>
      <c r="J392" t="n">
        <v>1</v>
      </c>
      <c r="K392" t="n">
        <v>0</v>
      </c>
      <c r="L392" t="n">
        <v>0</v>
      </c>
      <c r="M392" t="n">
        <v>0</v>
      </c>
      <c r="N392" t="n">
        <v>0</v>
      </c>
      <c r="O392" t="n">
        <v>1</v>
      </c>
      <c r="P392" t="n">
        <v>0</v>
      </c>
      <c r="Q392" t="n">
        <v>2</v>
      </c>
      <c r="R392" s="2" t="inlineStr">
        <is>
          <t>Garnlav
Trådticka</t>
        </is>
      </c>
      <c r="S392">
        <f>HYPERLINK("https://klasma.github.io/Logging_0331/artfynd/A 57244-2022 artfynd.xlsx", "A 57244-2022")</f>
        <v/>
      </c>
      <c r="T392">
        <f>HYPERLINK("https://klasma.github.io/Logging_0331/kartor/A 57244-2022 karta.png", "A 57244-2022")</f>
        <v/>
      </c>
      <c r="V392">
        <f>HYPERLINK("https://klasma.github.io/Logging_0331/klagomål/A 57244-2022 FSC-klagomål.docx", "A 57244-2022")</f>
        <v/>
      </c>
      <c r="W392">
        <f>HYPERLINK("https://klasma.github.io/Logging_0331/klagomålsmail/A 57244-2022 FSC-klagomål mail.docx", "A 57244-2022")</f>
        <v/>
      </c>
      <c r="X392">
        <f>HYPERLINK("https://klasma.github.io/Logging_0331/tillsyn/A 57244-2022 tillsynsbegäran.docx", "A 57244-2022")</f>
        <v/>
      </c>
      <c r="Y392">
        <f>HYPERLINK("https://klasma.github.io/Logging_0331/tillsynsmail/A 57244-2022 tillsynsbegäran mail.docx", "A 57244-2022")</f>
        <v/>
      </c>
    </row>
    <row r="393" ht="15" customHeight="1">
      <c r="A393" t="inlineStr">
        <is>
          <t>A 61114-2022</t>
        </is>
      </c>
      <c r="B393" s="1" t="n">
        <v>44915</v>
      </c>
      <c r="C393" s="1" t="n">
        <v>45846</v>
      </c>
      <c r="D393" t="inlineStr">
        <is>
          <t>UPPSALA LÄN</t>
        </is>
      </c>
      <c r="E393" t="inlineStr">
        <is>
          <t>ENKÖPING</t>
        </is>
      </c>
      <c r="G393" t="n">
        <v>19.1</v>
      </c>
      <c r="H393" t="n">
        <v>2</v>
      </c>
      <c r="I393" t="n">
        <v>1</v>
      </c>
      <c r="J393" t="n">
        <v>0</v>
      </c>
      <c r="K393" t="n">
        <v>0</v>
      </c>
      <c r="L393" t="n">
        <v>0</v>
      </c>
      <c r="M393" t="n">
        <v>0</v>
      </c>
      <c r="N393" t="n">
        <v>0</v>
      </c>
      <c r="O393" t="n">
        <v>0</v>
      </c>
      <c r="P393" t="n">
        <v>0</v>
      </c>
      <c r="Q393" t="n">
        <v>2</v>
      </c>
      <c r="R393" s="2" t="inlineStr">
        <is>
          <t>Plattlummer
Fläcknycklar</t>
        </is>
      </c>
      <c r="S393">
        <f>HYPERLINK("https://klasma.github.io/Logging_0381/artfynd/A 61114-2022 artfynd.xlsx", "A 61114-2022")</f>
        <v/>
      </c>
      <c r="T393">
        <f>HYPERLINK("https://klasma.github.io/Logging_0381/kartor/A 61114-2022 karta.png", "A 61114-2022")</f>
        <v/>
      </c>
      <c r="V393">
        <f>HYPERLINK("https://klasma.github.io/Logging_0381/klagomål/A 61114-2022 FSC-klagomål.docx", "A 61114-2022")</f>
        <v/>
      </c>
      <c r="W393">
        <f>HYPERLINK("https://klasma.github.io/Logging_0381/klagomålsmail/A 61114-2022 FSC-klagomål mail.docx", "A 61114-2022")</f>
        <v/>
      </c>
      <c r="X393">
        <f>HYPERLINK("https://klasma.github.io/Logging_0381/tillsyn/A 61114-2022 tillsynsbegäran.docx", "A 61114-2022")</f>
        <v/>
      </c>
      <c r="Y393">
        <f>HYPERLINK("https://klasma.github.io/Logging_0381/tillsynsmail/A 61114-2022 tillsynsbegäran mail.docx", "A 61114-2022")</f>
        <v/>
      </c>
    </row>
    <row r="394" ht="15" customHeight="1">
      <c r="A394" t="inlineStr">
        <is>
          <t>A 3510-2023</t>
        </is>
      </c>
      <c r="B394" s="1" t="n">
        <v>44950</v>
      </c>
      <c r="C394" s="1" t="n">
        <v>45846</v>
      </c>
      <c r="D394" t="inlineStr">
        <is>
          <t>UPPSALA LÄN</t>
        </is>
      </c>
      <c r="E394" t="inlineStr">
        <is>
          <t>TIERP</t>
        </is>
      </c>
      <c r="F394" t="inlineStr">
        <is>
          <t>Bergvik skog öst AB</t>
        </is>
      </c>
      <c r="G394" t="n">
        <v>2.4</v>
      </c>
      <c r="H394" t="n">
        <v>2</v>
      </c>
      <c r="I394" t="n">
        <v>0</v>
      </c>
      <c r="J394" t="n">
        <v>0</v>
      </c>
      <c r="K394" t="n">
        <v>0</v>
      </c>
      <c r="L394" t="n">
        <v>0</v>
      </c>
      <c r="M394" t="n">
        <v>0</v>
      </c>
      <c r="N394" t="n">
        <v>0</v>
      </c>
      <c r="O394" t="n">
        <v>0</v>
      </c>
      <c r="P394" t="n">
        <v>0</v>
      </c>
      <c r="Q394" t="n">
        <v>2</v>
      </c>
      <c r="R394" s="2" t="inlineStr">
        <is>
          <t>Blåsippa
Revlummer</t>
        </is>
      </c>
      <c r="S394">
        <f>HYPERLINK("https://klasma.github.io/Logging_0360/artfynd/A 3510-2023 artfynd.xlsx", "A 3510-2023")</f>
        <v/>
      </c>
      <c r="T394">
        <f>HYPERLINK("https://klasma.github.io/Logging_0360/kartor/A 3510-2023 karta.png", "A 3510-2023")</f>
        <v/>
      </c>
      <c r="V394">
        <f>HYPERLINK("https://klasma.github.io/Logging_0360/klagomål/A 3510-2023 FSC-klagomål.docx", "A 3510-2023")</f>
        <v/>
      </c>
      <c r="W394">
        <f>HYPERLINK("https://klasma.github.io/Logging_0360/klagomålsmail/A 3510-2023 FSC-klagomål mail.docx", "A 3510-2023")</f>
        <v/>
      </c>
      <c r="X394">
        <f>HYPERLINK("https://klasma.github.io/Logging_0360/tillsyn/A 3510-2023 tillsynsbegäran.docx", "A 3510-2023")</f>
        <v/>
      </c>
      <c r="Y394">
        <f>HYPERLINK("https://klasma.github.io/Logging_0360/tillsynsmail/A 3510-2023 tillsynsbegäran mail.docx", "A 3510-2023")</f>
        <v/>
      </c>
    </row>
    <row r="395" ht="15" customHeight="1">
      <c r="A395" t="inlineStr">
        <is>
          <t>A 3538-2023</t>
        </is>
      </c>
      <c r="B395" s="1" t="n">
        <v>44950</v>
      </c>
      <c r="C395" s="1" t="n">
        <v>45846</v>
      </c>
      <c r="D395" t="inlineStr">
        <is>
          <t>UPPSALA LÄN</t>
        </is>
      </c>
      <c r="E395" t="inlineStr">
        <is>
          <t>ENKÖPING</t>
        </is>
      </c>
      <c r="G395" t="n">
        <v>4.2</v>
      </c>
      <c r="H395" t="n">
        <v>0</v>
      </c>
      <c r="I395" t="n">
        <v>1</v>
      </c>
      <c r="J395" t="n">
        <v>1</v>
      </c>
      <c r="K395" t="n">
        <v>0</v>
      </c>
      <c r="L395" t="n">
        <v>0</v>
      </c>
      <c r="M395" t="n">
        <v>0</v>
      </c>
      <c r="N395" t="n">
        <v>0</v>
      </c>
      <c r="O395" t="n">
        <v>1</v>
      </c>
      <c r="P395" t="n">
        <v>0</v>
      </c>
      <c r="Q395" t="n">
        <v>2</v>
      </c>
      <c r="R395" s="2" t="inlineStr">
        <is>
          <t>Vedskivlav
Bårdlav</t>
        </is>
      </c>
      <c r="S395">
        <f>HYPERLINK("https://klasma.github.io/Logging_0381/artfynd/A 3538-2023 artfynd.xlsx", "A 3538-2023")</f>
        <v/>
      </c>
      <c r="T395">
        <f>HYPERLINK("https://klasma.github.io/Logging_0381/kartor/A 3538-2023 karta.png", "A 3538-2023")</f>
        <v/>
      </c>
      <c r="V395">
        <f>HYPERLINK("https://klasma.github.io/Logging_0381/klagomål/A 3538-2023 FSC-klagomål.docx", "A 3538-2023")</f>
        <v/>
      </c>
      <c r="W395">
        <f>HYPERLINK("https://klasma.github.io/Logging_0381/klagomålsmail/A 3538-2023 FSC-klagomål mail.docx", "A 3538-2023")</f>
        <v/>
      </c>
      <c r="X395">
        <f>HYPERLINK("https://klasma.github.io/Logging_0381/tillsyn/A 3538-2023 tillsynsbegäran.docx", "A 3538-2023")</f>
        <v/>
      </c>
      <c r="Y395">
        <f>HYPERLINK("https://klasma.github.io/Logging_0381/tillsynsmail/A 3538-2023 tillsynsbegäran mail.docx", "A 3538-2023")</f>
        <v/>
      </c>
    </row>
    <row r="396" ht="15" customHeight="1">
      <c r="A396" t="inlineStr">
        <is>
          <t>A 6981-2023</t>
        </is>
      </c>
      <c r="B396" s="1" t="n">
        <v>44967</v>
      </c>
      <c r="C396" s="1" t="n">
        <v>45846</v>
      </c>
      <c r="D396" t="inlineStr">
        <is>
          <t>UPPSALA LÄN</t>
        </is>
      </c>
      <c r="E396" t="inlineStr">
        <is>
          <t>ÖSTHAMMAR</t>
        </is>
      </c>
      <c r="G396" t="n">
        <v>3.2</v>
      </c>
      <c r="H396" t="n">
        <v>1</v>
      </c>
      <c r="I396" t="n">
        <v>0</v>
      </c>
      <c r="J396" t="n">
        <v>1</v>
      </c>
      <c r="K396" t="n">
        <v>0</v>
      </c>
      <c r="L396" t="n">
        <v>0</v>
      </c>
      <c r="M396" t="n">
        <v>0</v>
      </c>
      <c r="N396" t="n">
        <v>0</v>
      </c>
      <c r="O396" t="n">
        <v>1</v>
      </c>
      <c r="P396" t="n">
        <v>0</v>
      </c>
      <c r="Q396" t="n">
        <v>2</v>
      </c>
      <c r="R396" s="2" t="inlineStr">
        <is>
          <t>Tallticka
Större vattensalamander</t>
        </is>
      </c>
      <c r="S396">
        <f>HYPERLINK("https://klasma.github.io/Logging_0382/artfynd/A 6981-2023 artfynd.xlsx", "A 6981-2023")</f>
        <v/>
      </c>
      <c r="T396">
        <f>HYPERLINK("https://klasma.github.io/Logging_0382/kartor/A 6981-2023 karta.png", "A 6981-2023")</f>
        <v/>
      </c>
      <c r="V396">
        <f>HYPERLINK("https://klasma.github.io/Logging_0382/klagomål/A 6981-2023 FSC-klagomål.docx", "A 6981-2023")</f>
        <v/>
      </c>
      <c r="W396">
        <f>HYPERLINK("https://klasma.github.io/Logging_0382/klagomålsmail/A 6981-2023 FSC-klagomål mail.docx", "A 6981-2023")</f>
        <v/>
      </c>
      <c r="X396">
        <f>HYPERLINK("https://klasma.github.io/Logging_0382/tillsyn/A 6981-2023 tillsynsbegäran.docx", "A 6981-2023")</f>
        <v/>
      </c>
      <c r="Y396">
        <f>HYPERLINK("https://klasma.github.io/Logging_0382/tillsynsmail/A 6981-2023 tillsynsbegäran mail.docx", "A 6981-2023")</f>
        <v/>
      </c>
    </row>
    <row r="397" ht="15" customHeight="1">
      <c r="A397" t="inlineStr">
        <is>
          <t>A 6998-2023</t>
        </is>
      </c>
      <c r="B397" s="1" t="n">
        <v>44967</v>
      </c>
      <c r="C397" s="1" t="n">
        <v>45846</v>
      </c>
      <c r="D397" t="inlineStr">
        <is>
          <t>UPPSALA LÄN</t>
        </is>
      </c>
      <c r="E397" t="inlineStr">
        <is>
          <t>UPPSALA</t>
        </is>
      </c>
      <c r="G397" t="n">
        <v>8.4</v>
      </c>
      <c r="H397" t="n">
        <v>2</v>
      </c>
      <c r="I397" t="n">
        <v>0</v>
      </c>
      <c r="J397" t="n">
        <v>0</v>
      </c>
      <c r="K397" t="n">
        <v>0</v>
      </c>
      <c r="L397" t="n">
        <v>0</v>
      </c>
      <c r="M397" t="n">
        <v>0</v>
      </c>
      <c r="N397" t="n">
        <v>0</v>
      </c>
      <c r="O397" t="n">
        <v>0</v>
      </c>
      <c r="P397" t="n">
        <v>0</v>
      </c>
      <c r="Q397" t="n">
        <v>2</v>
      </c>
      <c r="R397" s="2" t="inlineStr">
        <is>
          <t>Nattviol
Blåsippa</t>
        </is>
      </c>
      <c r="S397">
        <f>HYPERLINK("https://klasma.github.io/Logging_0380/artfynd/A 6998-2023 artfynd.xlsx", "A 6998-2023")</f>
        <v/>
      </c>
      <c r="T397">
        <f>HYPERLINK("https://klasma.github.io/Logging_0380/kartor/A 6998-2023 karta.png", "A 6998-2023")</f>
        <v/>
      </c>
      <c r="V397">
        <f>HYPERLINK("https://klasma.github.io/Logging_0380/klagomål/A 6998-2023 FSC-klagomål.docx", "A 6998-2023")</f>
        <v/>
      </c>
      <c r="W397">
        <f>HYPERLINK("https://klasma.github.io/Logging_0380/klagomålsmail/A 6998-2023 FSC-klagomål mail.docx", "A 6998-2023")</f>
        <v/>
      </c>
      <c r="X397">
        <f>HYPERLINK("https://klasma.github.io/Logging_0380/tillsyn/A 6998-2023 tillsynsbegäran.docx", "A 6998-2023")</f>
        <v/>
      </c>
      <c r="Y397">
        <f>HYPERLINK("https://klasma.github.io/Logging_0380/tillsynsmail/A 6998-2023 tillsynsbegäran mail.docx", "A 6998-2023")</f>
        <v/>
      </c>
    </row>
    <row r="398" ht="15" customHeight="1">
      <c r="A398" t="inlineStr">
        <is>
          <t>A 10011-2023</t>
        </is>
      </c>
      <c r="B398" s="1" t="n">
        <v>44985</v>
      </c>
      <c r="C398" s="1" t="n">
        <v>45846</v>
      </c>
      <c r="D398" t="inlineStr">
        <is>
          <t>UPPSALA LÄN</t>
        </is>
      </c>
      <c r="E398" t="inlineStr">
        <is>
          <t>KNIVSTA</t>
        </is>
      </c>
      <c r="F398" t="inlineStr">
        <is>
          <t>Holmen skog AB</t>
        </is>
      </c>
      <c r="G398" t="n">
        <v>3.9</v>
      </c>
      <c r="H398" t="n">
        <v>1</v>
      </c>
      <c r="I398" t="n">
        <v>1</v>
      </c>
      <c r="J398" t="n">
        <v>0</v>
      </c>
      <c r="K398" t="n">
        <v>0</v>
      </c>
      <c r="L398" t="n">
        <v>0</v>
      </c>
      <c r="M398" t="n">
        <v>0</v>
      </c>
      <c r="N398" t="n">
        <v>0</v>
      </c>
      <c r="O398" t="n">
        <v>0</v>
      </c>
      <c r="P398" t="n">
        <v>0</v>
      </c>
      <c r="Q398" t="n">
        <v>2</v>
      </c>
      <c r="R398" s="2" t="inlineStr">
        <is>
          <t>Fällmossa
Blåsippa</t>
        </is>
      </c>
      <c r="S398">
        <f>HYPERLINK("https://klasma.github.io/Logging_0330/artfynd/A 10011-2023 artfynd.xlsx", "A 10011-2023")</f>
        <v/>
      </c>
      <c r="T398">
        <f>HYPERLINK("https://klasma.github.io/Logging_0330/kartor/A 10011-2023 karta.png", "A 10011-2023")</f>
        <v/>
      </c>
      <c r="V398">
        <f>HYPERLINK("https://klasma.github.io/Logging_0330/klagomål/A 10011-2023 FSC-klagomål.docx", "A 10011-2023")</f>
        <v/>
      </c>
      <c r="W398">
        <f>HYPERLINK("https://klasma.github.io/Logging_0330/klagomålsmail/A 10011-2023 FSC-klagomål mail.docx", "A 10011-2023")</f>
        <v/>
      </c>
      <c r="X398">
        <f>HYPERLINK("https://klasma.github.io/Logging_0330/tillsyn/A 10011-2023 tillsynsbegäran.docx", "A 10011-2023")</f>
        <v/>
      </c>
      <c r="Y398">
        <f>HYPERLINK("https://klasma.github.io/Logging_0330/tillsynsmail/A 10011-2023 tillsynsbegäran mail.docx", "A 10011-2023")</f>
        <v/>
      </c>
    </row>
    <row r="399" ht="15" customHeight="1">
      <c r="A399" t="inlineStr">
        <is>
          <t>A 13206-2023</t>
        </is>
      </c>
      <c r="B399" s="1" t="n">
        <v>45002</v>
      </c>
      <c r="C399" s="1" t="n">
        <v>45846</v>
      </c>
      <c r="D399" t="inlineStr">
        <is>
          <t>UPPSALA LÄN</t>
        </is>
      </c>
      <c r="E399" t="inlineStr">
        <is>
          <t>UPPSALA</t>
        </is>
      </c>
      <c r="F399" t="inlineStr">
        <is>
          <t>Holmen skog AB</t>
        </is>
      </c>
      <c r="G399" t="n">
        <v>5.1</v>
      </c>
      <c r="H399" t="n">
        <v>2</v>
      </c>
      <c r="I399" t="n">
        <v>0</v>
      </c>
      <c r="J399" t="n">
        <v>0</v>
      </c>
      <c r="K399" t="n">
        <v>0</v>
      </c>
      <c r="L399" t="n">
        <v>0</v>
      </c>
      <c r="M399" t="n">
        <v>0</v>
      </c>
      <c r="N399" t="n">
        <v>0</v>
      </c>
      <c r="O399" t="n">
        <v>0</v>
      </c>
      <c r="P399" t="n">
        <v>0</v>
      </c>
      <c r="Q399" t="n">
        <v>2</v>
      </c>
      <c r="R399" s="2" t="inlineStr">
        <is>
          <t>Blåsippa
Revlummer</t>
        </is>
      </c>
      <c r="S399">
        <f>HYPERLINK("https://klasma.github.io/Logging_0380/artfynd/A 13206-2023 artfynd.xlsx", "A 13206-2023")</f>
        <v/>
      </c>
      <c r="T399">
        <f>HYPERLINK("https://klasma.github.io/Logging_0380/kartor/A 13206-2023 karta.png", "A 13206-2023")</f>
        <v/>
      </c>
      <c r="V399">
        <f>HYPERLINK("https://klasma.github.io/Logging_0380/klagomål/A 13206-2023 FSC-klagomål.docx", "A 13206-2023")</f>
        <v/>
      </c>
      <c r="W399">
        <f>HYPERLINK("https://klasma.github.io/Logging_0380/klagomålsmail/A 13206-2023 FSC-klagomål mail.docx", "A 13206-2023")</f>
        <v/>
      </c>
      <c r="X399">
        <f>HYPERLINK("https://klasma.github.io/Logging_0380/tillsyn/A 13206-2023 tillsynsbegäran.docx", "A 13206-2023")</f>
        <v/>
      </c>
      <c r="Y399">
        <f>HYPERLINK("https://klasma.github.io/Logging_0380/tillsynsmail/A 13206-2023 tillsynsbegäran mail.docx", "A 13206-2023")</f>
        <v/>
      </c>
    </row>
    <row r="400" ht="15" customHeight="1">
      <c r="A400" t="inlineStr">
        <is>
          <t>A 14191-2023</t>
        </is>
      </c>
      <c r="B400" s="1" t="n">
        <v>45009</v>
      </c>
      <c r="C400" s="1" t="n">
        <v>45846</v>
      </c>
      <c r="D400" t="inlineStr">
        <is>
          <t>UPPSALA LÄN</t>
        </is>
      </c>
      <c r="E400" t="inlineStr">
        <is>
          <t>TIERP</t>
        </is>
      </c>
      <c r="F400" t="inlineStr">
        <is>
          <t>Bergvik skog väst AB</t>
        </is>
      </c>
      <c r="G400" t="n">
        <v>7.3</v>
      </c>
      <c r="H400" t="n">
        <v>2</v>
      </c>
      <c r="I400" t="n">
        <v>0</v>
      </c>
      <c r="J400" t="n">
        <v>2</v>
      </c>
      <c r="K400" t="n">
        <v>0</v>
      </c>
      <c r="L400" t="n">
        <v>0</v>
      </c>
      <c r="M400" t="n">
        <v>0</v>
      </c>
      <c r="N400" t="n">
        <v>0</v>
      </c>
      <c r="O400" t="n">
        <v>2</v>
      </c>
      <c r="P400" t="n">
        <v>0</v>
      </c>
      <c r="Q400" t="n">
        <v>2</v>
      </c>
      <c r="R400" s="2" t="inlineStr">
        <is>
          <t>Spillkråka
Talltita</t>
        </is>
      </c>
      <c r="S400">
        <f>HYPERLINK("https://klasma.github.io/Logging_0360/artfynd/A 14191-2023 artfynd.xlsx", "A 14191-2023")</f>
        <v/>
      </c>
      <c r="T400">
        <f>HYPERLINK("https://klasma.github.io/Logging_0360/kartor/A 14191-2023 karta.png", "A 14191-2023")</f>
        <v/>
      </c>
      <c r="V400">
        <f>HYPERLINK("https://klasma.github.io/Logging_0360/klagomål/A 14191-2023 FSC-klagomål.docx", "A 14191-2023")</f>
        <v/>
      </c>
      <c r="W400">
        <f>HYPERLINK("https://klasma.github.io/Logging_0360/klagomålsmail/A 14191-2023 FSC-klagomål mail.docx", "A 14191-2023")</f>
        <v/>
      </c>
      <c r="X400">
        <f>HYPERLINK("https://klasma.github.io/Logging_0360/tillsyn/A 14191-2023 tillsynsbegäran.docx", "A 14191-2023")</f>
        <v/>
      </c>
      <c r="Y400">
        <f>HYPERLINK("https://klasma.github.io/Logging_0360/tillsynsmail/A 14191-2023 tillsynsbegäran mail.docx", "A 14191-2023")</f>
        <v/>
      </c>
      <c r="Z400">
        <f>HYPERLINK("https://klasma.github.io/Logging_0360/fåglar/A 14191-2023 prioriterade fågelarter.docx", "A 14191-2023")</f>
        <v/>
      </c>
    </row>
    <row r="401" ht="15" customHeight="1">
      <c r="A401" t="inlineStr">
        <is>
          <t>A 14774-2023</t>
        </is>
      </c>
      <c r="B401" s="1" t="n">
        <v>45014</v>
      </c>
      <c r="C401" s="1" t="n">
        <v>45846</v>
      </c>
      <c r="D401" t="inlineStr">
        <is>
          <t>UPPSALA LÄN</t>
        </is>
      </c>
      <c r="E401" t="inlineStr">
        <is>
          <t>HEBY</t>
        </is>
      </c>
      <c r="G401" t="n">
        <v>5.1</v>
      </c>
      <c r="H401" t="n">
        <v>1</v>
      </c>
      <c r="I401" t="n">
        <v>2</v>
      </c>
      <c r="J401" t="n">
        <v>0</v>
      </c>
      <c r="K401" t="n">
        <v>0</v>
      </c>
      <c r="L401" t="n">
        <v>0</v>
      </c>
      <c r="M401" t="n">
        <v>0</v>
      </c>
      <c r="N401" t="n">
        <v>0</v>
      </c>
      <c r="O401" t="n">
        <v>0</v>
      </c>
      <c r="P401" t="n">
        <v>0</v>
      </c>
      <c r="Q401" t="n">
        <v>2</v>
      </c>
      <c r="R401" s="2" t="inlineStr">
        <is>
          <t>Grön sköldmossa
Stubbspretmossa</t>
        </is>
      </c>
      <c r="S401">
        <f>HYPERLINK("https://klasma.github.io/Logging_0331/artfynd/A 14774-2023 artfynd.xlsx", "A 14774-2023")</f>
        <v/>
      </c>
      <c r="T401">
        <f>HYPERLINK("https://klasma.github.io/Logging_0331/kartor/A 14774-2023 karta.png", "A 14774-2023")</f>
        <v/>
      </c>
      <c r="V401">
        <f>HYPERLINK("https://klasma.github.io/Logging_0331/klagomål/A 14774-2023 FSC-klagomål.docx", "A 14774-2023")</f>
        <v/>
      </c>
      <c r="W401">
        <f>HYPERLINK("https://klasma.github.io/Logging_0331/klagomålsmail/A 14774-2023 FSC-klagomål mail.docx", "A 14774-2023")</f>
        <v/>
      </c>
      <c r="X401">
        <f>HYPERLINK("https://klasma.github.io/Logging_0331/tillsyn/A 14774-2023 tillsynsbegäran.docx", "A 14774-2023")</f>
        <v/>
      </c>
      <c r="Y401">
        <f>HYPERLINK("https://klasma.github.io/Logging_0331/tillsynsmail/A 14774-2023 tillsynsbegäran mail.docx", "A 14774-2023")</f>
        <v/>
      </c>
    </row>
    <row r="402" ht="15" customHeight="1">
      <c r="A402" t="inlineStr">
        <is>
          <t>A 15627-2023</t>
        </is>
      </c>
      <c r="B402" s="1" t="n">
        <v>45021</v>
      </c>
      <c r="C402" s="1" t="n">
        <v>45846</v>
      </c>
      <c r="D402" t="inlineStr">
        <is>
          <t>UPPSALA LÄN</t>
        </is>
      </c>
      <c r="E402" t="inlineStr">
        <is>
          <t>ÖSTHAMMAR</t>
        </is>
      </c>
      <c r="F402" t="inlineStr">
        <is>
          <t>Övriga Aktiebolag</t>
        </is>
      </c>
      <c r="G402" t="n">
        <v>22.8</v>
      </c>
      <c r="H402" t="n">
        <v>1</v>
      </c>
      <c r="I402" t="n">
        <v>1</v>
      </c>
      <c r="J402" t="n">
        <v>1</v>
      </c>
      <c r="K402" t="n">
        <v>0</v>
      </c>
      <c r="L402" t="n">
        <v>0</v>
      </c>
      <c r="M402" t="n">
        <v>0</v>
      </c>
      <c r="N402" t="n">
        <v>0</v>
      </c>
      <c r="O402" t="n">
        <v>1</v>
      </c>
      <c r="P402" t="n">
        <v>0</v>
      </c>
      <c r="Q402" t="n">
        <v>2</v>
      </c>
      <c r="R402" s="2" t="inlineStr">
        <is>
          <t>Slåtterfibbla
Guckusko</t>
        </is>
      </c>
      <c r="S402">
        <f>HYPERLINK("https://klasma.github.io/Logging_0382/artfynd/A 15627-2023 artfynd.xlsx", "A 15627-2023")</f>
        <v/>
      </c>
      <c r="T402">
        <f>HYPERLINK("https://klasma.github.io/Logging_0382/kartor/A 15627-2023 karta.png", "A 15627-2023")</f>
        <v/>
      </c>
      <c r="V402">
        <f>HYPERLINK("https://klasma.github.io/Logging_0382/klagomål/A 15627-2023 FSC-klagomål.docx", "A 15627-2023")</f>
        <v/>
      </c>
      <c r="W402">
        <f>HYPERLINK("https://klasma.github.io/Logging_0382/klagomålsmail/A 15627-2023 FSC-klagomål mail.docx", "A 15627-2023")</f>
        <v/>
      </c>
      <c r="X402">
        <f>HYPERLINK("https://klasma.github.io/Logging_0382/tillsyn/A 15627-2023 tillsynsbegäran.docx", "A 15627-2023")</f>
        <v/>
      </c>
      <c r="Y402">
        <f>HYPERLINK("https://klasma.github.io/Logging_0382/tillsynsmail/A 15627-2023 tillsynsbegäran mail.docx", "A 15627-2023")</f>
        <v/>
      </c>
    </row>
    <row r="403" ht="15" customHeight="1">
      <c r="A403" t="inlineStr">
        <is>
          <t>A 17101-2023</t>
        </is>
      </c>
      <c r="B403" s="1" t="n">
        <v>45034</v>
      </c>
      <c r="C403" s="1" t="n">
        <v>45846</v>
      </c>
      <c r="D403" t="inlineStr">
        <is>
          <t>UPPSALA LÄN</t>
        </is>
      </c>
      <c r="E403" t="inlineStr">
        <is>
          <t>KNIVSTA</t>
        </is>
      </c>
      <c r="G403" t="n">
        <v>4.2</v>
      </c>
      <c r="H403" t="n">
        <v>2</v>
      </c>
      <c r="I403" t="n">
        <v>0</v>
      </c>
      <c r="J403" t="n">
        <v>2</v>
      </c>
      <c r="K403" t="n">
        <v>0</v>
      </c>
      <c r="L403" t="n">
        <v>0</v>
      </c>
      <c r="M403" t="n">
        <v>0</v>
      </c>
      <c r="N403" t="n">
        <v>0</v>
      </c>
      <c r="O403" t="n">
        <v>2</v>
      </c>
      <c r="P403" t="n">
        <v>0</v>
      </c>
      <c r="Q403" t="n">
        <v>2</v>
      </c>
      <c r="R403" s="2" t="inlineStr">
        <is>
          <t>Entita
Mindre hackspett</t>
        </is>
      </c>
      <c r="S403">
        <f>HYPERLINK("https://klasma.github.io/Logging_0330/artfynd/A 17101-2023 artfynd.xlsx", "A 17101-2023")</f>
        <v/>
      </c>
      <c r="T403">
        <f>HYPERLINK("https://klasma.github.io/Logging_0330/kartor/A 17101-2023 karta.png", "A 17101-2023")</f>
        <v/>
      </c>
      <c r="V403">
        <f>HYPERLINK("https://klasma.github.io/Logging_0330/klagomål/A 17101-2023 FSC-klagomål.docx", "A 17101-2023")</f>
        <v/>
      </c>
      <c r="W403">
        <f>HYPERLINK("https://klasma.github.io/Logging_0330/klagomålsmail/A 17101-2023 FSC-klagomål mail.docx", "A 17101-2023")</f>
        <v/>
      </c>
      <c r="X403">
        <f>HYPERLINK("https://klasma.github.io/Logging_0330/tillsyn/A 17101-2023 tillsynsbegäran.docx", "A 17101-2023")</f>
        <v/>
      </c>
      <c r="Y403">
        <f>HYPERLINK("https://klasma.github.io/Logging_0330/tillsynsmail/A 17101-2023 tillsynsbegäran mail.docx", "A 17101-2023")</f>
        <v/>
      </c>
      <c r="Z403">
        <f>HYPERLINK("https://klasma.github.io/Logging_0330/fåglar/A 17101-2023 prioriterade fågelarter.docx", "A 17101-2023")</f>
        <v/>
      </c>
    </row>
    <row r="404" ht="15" customHeight="1">
      <c r="A404" t="inlineStr">
        <is>
          <t>A 17277-2023</t>
        </is>
      </c>
      <c r="B404" s="1" t="n">
        <v>45035</v>
      </c>
      <c r="C404" s="1" t="n">
        <v>45846</v>
      </c>
      <c r="D404" t="inlineStr">
        <is>
          <t>UPPSALA LÄN</t>
        </is>
      </c>
      <c r="E404" t="inlineStr">
        <is>
          <t>UPPSALA</t>
        </is>
      </c>
      <c r="F404" t="inlineStr">
        <is>
          <t>Övriga Aktiebolag</t>
        </is>
      </c>
      <c r="G404" t="n">
        <v>6.1</v>
      </c>
      <c r="H404" t="n">
        <v>2</v>
      </c>
      <c r="I404" t="n">
        <v>0</v>
      </c>
      <c r="J404" t="n">
        <v>1</v>
      </c>
      <c r="K404" t="n">
        <v>0</v>
      </c>
      <c r="L404" t="n">
        <v>0</v>
      </c>
      <c r="M404" t="n">
        <v>0</v>
      </c>
      <c r="N404" t="n">
        <v>0</v>
      </c>
      <c r="O404" t="n">
        <v>1</v>
      </c>
      <c r="P404" t="n">
        <v>0</v>
      </c>
      <c r="Q404" t="n">
        <v>2</v>
      </c>
      <c r="R404" s="2" t="inlineStr">
        <is>
          <t>Slaguggla
Trana</t>
        </is>
      </c>
      <c r="S404">
        <f>HYPERLINK("https://klasma.github.io/Logging_0380/artfynd/A 17277-2023 artfynd.xlsx", "A 17277-2023")</f>
        <v/>
      </c>
      <c r="T404">
        <f>HYPERLINK("https://klasma.github.io/Logging_0380/kartor/A 17277-2023 karta.png", "A 17277-2023")</f>
        <v/>
      </c>
      <c r="V404">
        <f>HYPERLINK("https://klasma.github.io/Logging_0380/klagomål/A 17277-2023 FSC-klagomål.docx", "A 17277-2023")</f>
        <v/>
      </c>
      <c r="W404">
        <f>HYPERLINK("https://klasma.github.io/Logging_0380/klagomålsmail/A 17277-2023 FSC-klagomål mail.docx", "A 17277-2023")</f>
        <v/>
      </c>
      <c r="X404">
        <f>HYPERLINK("https://klasma.github.io/Logging_0380/tillsyn/A 17277-2023 tillsynsbegäran.docx", "A 17277-2023")</f>
        <v/>
      </c>
      <c r="Y404">
        <f>HYPERLINK("https://klasma.github.io/Logging_0380/tillsynsmail/A 17277-2023 tillsynsbegäran mail.docx", "A 17277-2023")</f>
        <v/>
      </c>
      <c r="Z404">
        <f>HYPERLINK("https://klasma.github.io/Logging_0380/fåglar/A 17277-2023 prioriterade fågelarter.docx", "A 17277-2023")</f>
        <v/>
      </c>
    </row>
    <row r="405" ht="15" customHeight="1">
      <c r="A405" t="inlineStr">
        <is>
          <t>A 21453-2023</t>
        </is>
      </c>
      <c r="B405" s="1" t="n">
        <v>45063</v>
      </c>
      <c r="C405" s="1" t="n">
        <v>45846</v>
      </c>
      <c r="D405" t="inlineStr">
        <is>
          <t>UPPSALA LÄN</t>
        </is>
      </c>
      <c r="E405" t="inlineStr">
        <is>
          <t>ÖSTHAMMAR</t>
        </is>
      </c>
      <c r="F405" t="inlineStr">
        <is>
          <t>Bergvik skog väst AB</t>
        </is>
      </c>
      <c r="G405" t="n">
        <v>6.1</v>
      </c>
      <c r="H405" t="n">
        <v>1</v>
      </c>
      <c r="I405" t="n">
        <v>1</v>
      </c>
      <c r="J405" t="n">
        <v>0</v>
      </c>
      <c r="K405" t="n">
        <v>0</v>
      </c>
      <c r="L405" t="n">
        <v>0</v>
      </c>
      <c r="M405" t="n">
        <v>0</v>
      </c>
      <c r="N405" t="n">
        <v>0</v>
      </c>
      <c r="O405" t="n">
        <v>0</v>
      </c>
      <c r="P405" t="n">
        <v>0</v>
      </c>
      <c r="Q405" t="n">
        <v>2</v>
      </c>
      <c r="R405" s="2" t="inlineStr">
        <is>
          <t>Fransig jordstjärna
Blåsippa</t>
        </is>
      </c>
      <c r="S405">
        <f>HYPERLINK("https://klasma.github.io/Logging_0382/artfynd/A 21453-2023 artfynd.xlsx", "A 21453-2023")</f>
        <v/>
      </c>
      <c r="T405">
        <f>HYPERLINK("https://klasma.github.io/Logging_0382/kartor/A 21453-2023 karta.png", "A 21453-2023")</f>
        <v/>
      </c>
      <c r="V405">
        <f>HYPERLINK("https://klasma.github.io/Logging_0382/klagomål/A 21453-2023 FSC-klagomål.docx", "A 21453-2023")</f>
        <v/>
      </c>
      <c r="W405">
        <f>HYPERLINK("https://klasma.github.io/Logging_0382/klagomålsmail/A 21453-2023 FSC-klagomål mail.docx", "A 21453-2023")</f>
        <v/>
      </c>
      <c r="X405">
        <f>HYPERLINK("https://klasma.github.io/Logging_0382/tillsyn/A 21453-2023 tillsynsbegäran.docx", "A 21453-2023")</f>
        <v/>
      </c>
      <c r="Y405">
        <f>HYPERLINK("https://klasma.github.io/Logging_0382/tillsynsmail/A 21453-2023 tillsynsbegäran mail.docx", "A 21453-2023")</f>
        <v/>
      </c>
    </row>
    <row r="406" ht="15" customHeight="1">
      <c r="A406" t="inlineStr">
        <is>
          <t>A 21422-2023</t>
        </is>
      </c>
      <c r="B406" s="1" t="n">
        <v>45063</v>
      </c>
      <c r="C406" s="1" t="n">
        <v>45846</v>
      </c>
      <c r="D406" t="inlineStr">
        <is>
          <t>UPPSALA LÄN</t>
        </is>
      </c>
      <c r="E406" t="inlineStr">
        <is>
          <t>ÖSTHAMMAR</t>
        </is>
      </c>
      <c r="F406" t="inlineStr">
        <is>
          <t>Sveaskog</t>
        </is>
      </c>
      <c r="G406" t="n">
        <v>2.8</v>
      </c>
      <c r="H406" t="n">
        <v>2</v>
      </c>
      <c r="I406" t="n">
        <v>0</v>
      </c>
      <c r="J406" t="n">
        <v>1</v>
      </c>
      <c r="K406" t="n">
        <v>0</v>
      </c>
      <c r="L406" t="n">
        <v>0</v>
      </c>
      <c r="M406" t="n">
        <v>0</v>
      </c>
      <c r="N406" t="n">
        <v>0</v>
      </c>
      <c r="O406" t="n">
        <v>1</v>
      </c>
      <c r="P406" t="n">
        <v>0</v>
      </c>
      <c r="Q406" t="n">
        <v>2</v>
      </c>
      <c r="R406" s="2" t="inlineStr">
        <is>
          <t>Nordfladdermus
Dvärgpipistrell</t>
        </is>
      </c>
      <c r="S406">
        <f>HYPERLINK("https://klasma.github.io/Logging_0382/artfynd/A 21422-2023 artfynd.xlsx", "A 21422-2023")</f>
        <v/>
      </c>
      <c r="T406">
        <f>HYPERLINK("https://klasma.github.io/Logging_0382/kartor/A 21422-2023 karta.png", "A 21422-2023")</f>
        <v/>
      </c>
      <c r="V406">
        <f>HYPERLINK("https://klasma.github.io/Logging_0382/klagomål/A 21422-2023 FSC-klagomål.docx", "A 21422-2023")</f>
        <v/>
      </c>
      <c r="W406">
        <f>HYPERLINK("https://klasma.github.io/Logging_0382/klagomålsmail/A 21422-2023 FSC-klagomål mail.docx", "A 21422-2023")</f>
        <v/>
      </c>
      <c r="X406">
        <f>HYPERLINK("https://klasma.github.io/Logging_0382/tillsyn/A 21422-2023 tillsynsbegäran.docx", "A 21422-2023")</f>
        <v/>
      </c>
      <c r="Y406">
        <f>HYPERLINK("https://klasma.github.io/Logging_0382/tillsynsmail/A 21422-2023 tillsynsbegäran mail.docx", "A 21422-2023")</f>
        <v/>
      </c>
    </row>
    <row r="407" ht="15" customHeight="1">
      <c r="A407" t="inlineStr">
        <is>
          <t>A 26602-2023</t>
        </is>
      </c>
      <c r="B407" s="1" t="n">
        <v>45092</v>
      </c>
      <c r="C407" s="1" t="n">
        <v>45846</v>
      </c>
      <c r="D407" t="inlineStr">
        <is>
          <t>UPPSALA LÄN</t>
        </is>
      </c>
      <c r="E407" t="inlineStr">
        <is>
          <t>ÖSTHAMMAR</t>
        </is>
      </c>
      <c r="F407" t="inlineStr">
        <is>
          <t>Sveaskog</t>
        </is>
      </c>
      <c r="G407" t="n">
        <v>1.6</v>
      </c>
      <c r="H407" t="n">
        <v>2</v>
      </c>
      <c r="I407" t="n">
        <v>0</v>
      </c>
      <c r="J407" t="n">
        <v>2</v>
      </c>
      <c r="K407" t="n">
        <v>0</v>
      </c>
      <c r="L407" t="n">
        <v>0</v>
      </c>
      <c r="M407" t="n">
        <v>0</v>
      </c>
      <c r="N407" t="n">
        <v>0</v>
      </c>
      <c r="O407" t="n">
        <v>2</v>
      </c>
      <c r="P407" t="n">
        <v>0</v>
      </c>
      <c r="Q407" t="n">
        <v>2</v>
      </c>
      <c r="R407" s="2" t="inlineStr">
        <is>
          <t>Gulsparv
Skrattmås</t>
        </is>
      </c>
      <c r="S407">
        <f>HYPERLINK("https://klasma.github.io/Logging_0382/artfynd/A 26602-2023 artfynd.xlsx", "A 26602-2023")</f>
        <v/>
      </c>
      <c r="T407">
        <f>HYPERLINK("https://klasma.github.io/Logging_0382/kartor/A 26602-2023 karta.png", "A 26602-2023")</f>
        <v/>
      </c>
      <c r="V407">
        <f>HYPERLINK("https://klasma.github.io/Logging_0382/klagomål/A 26602-2023 FSC-klagomål.docx", "A 26602-2023")</f>
        <v/>
      </c>
      <c r="W407">
        <f>HYPERLINK("https://klasma.github.io/Logging_0382/klagomålsmail/A 26602-2023 FSC-klagomål mail.docx", "A 26602-2023")</f>
        <v/>
      </c>
      <c r="X407">
        <f>HYPERLINK("https://klasma.github.io/Logging_0382/tillsyn/A 26602-2023 tillsynsbegäran.docx", "A 26602-2023")</f>
        <v/>
      </c>
      <c r="Y407">
        <f>HYPERLINK("https://klasma.github.io/Logging_0382/tillsynsmail/A 26602-2023 tillsynsbegäran mail.docx", "A 26602-2023")</f>
        <v/>
      </c>
      <c r="Z407">
        <f>HYPERLINK("https://klasma.github.io/Logging_0382/fåglar/A 26602-2023 prioriterade fågelarter.docx", "A 26602-2023")</f>
        <v/>
      </c>
    </row>
    <row r="408" ht="15" customHeight="1">
      <c r="A408" t="inlineStr">
        <is>
          <t>A 26569-2023</t>
        </is>
      </c>
      <c r="B408" s="1" t="n">
        <v>45092</v>
      </c>
      <c r="C408" s="1" t="n">
        <v>45846</v>
      </c>
      <c r="D408" t="inlineStr">
        <is>
          <t>UPPSALA LÄN</t>
        </is>
      </c>
      <c r="E408" t="inlineStr">
        <is>
          <t>HEBY</t>
        </is>
      </c>
      <c r="G408" t="n">
        <v>10.7</v>
      </c>
      <c r="H408" t="n">
        <v>2</v>
      </c>
      <c r="I408" t="n">
        <v>1</v>
      </c>
      <c r="J408" t="n">
        <v>0</v>
      </c>
      <c r="K408" t="n">
        <v>0</v>
      </c>
      <c r="L408" t="n">
        <v>0</v>
      </c>
      <c r="M408" t="n">
        <v>0</v>
      </c>
      <c r="N408" t="n">
        <v>0</v>
      </c>
      <c r="O408" t="n">
        <v>0</v>
      </c>
      <c r="P408" t="n">
        <v>0</v>
      </c>
      <c r="Q408" t="n">
        <v>2</v>
      </c>
      <c r="R408" s="2" t="inlineStr">
        <is>
          <t>Plattlummer
Revlummer</t>
        </is>
      </c>
      <c r="S408">
        <f>HYPERLINK("https://klasma.github.io/Logging_0331/artfynd/A 26569-2023 artfynd.xlsx", "A 26569-2023")</f>
        <v/>
      </c>
      <c r="T408">
        <f>HYPERLINK("https://klasma.github.io/Logging_0331/kartor/A 26569-2023 karta.png", "A 26569-2023")</f>
        <v/>
      </c>
      <c r="V408">
        <f>HYPERLINK("https://klasma.github.io/Logging_0331/klagomål/A 26569-2023 FSC-klagomål.docx", "A 26569-2023")</f>
        <v/>
      </c>
      <c r="W408">
        <f>HYPERLINK("https://klasma.github.io/Logging_0331/klagomålsmail/A 26569-2023 FSC-klagomål mail.docx", "A 26569-2023")</f>
        <v/>
      </c>
      <c r="X408">
        <f>HYPERLINK("https://klasma.github.io/Logging_0331/tillsyn/A 26569-2023 tillsynsbegäran.docx", "A 26569-2023")</f>
        <v/>
      </c>
      <c r="Y408">
        <f>HYPERLINK("https://klasma.github.io/Logging_0331/tillsynsmail/A 26569-2023 tillsynsbegäran mail.docx", "A 26569-2023")</f>
        <v/>
      </c>
    </row>
    <row r="409" ht="15" customHeight="1">
      <c r="A409" t="inlineStr">
        <is>
          <t>A 29226-2023</t>
        </is>
      </c>
      <c r="B409" s="1" t="n">
        <v>45105</v>
      </c>
      <c r="C409" s="1" t="n">
        <v>45846</v>
      </c>
      <c r="D409" t="inlineStr">
        <is>
          <t>UPPSALA LÄN</t>
        </is>
      </c>
      <c r="E409" t="inlineStr">
        <is>
          <t>TIERP</t>
        </is>
      </c>
      <c r="F409" t="inlineStr">
        <is>
          <t>Bergvik skog öst AB</t>
        </is>
      </c>
      <c r="G409" t="n">
        <v>4.1</v>
      </c>
      <c r="H409" t="n">
        <v>1</v>
      </c>
      <c r="I409" t="n">
        <v>1</v>
      </c>
      <c r="J409" t="n">
        <v>0</v>
      </c>
      <c r="K409" t="n">
        <v>0</v>
      </c>
      <c r="L409" t="n">
        <v>0</v>
      </c>
      <c r="M409" t="n">
        <v>0</v>
      </c>
      <c r="N409" t="n">
        <v>0</v>
      </c>
      <c r="O409" t="n">
        <v>0</v>
      </c>
      <c r="P409" t="n">
        <v>0</v>
      </c>
      <c r="Q409" t="n">
        <v>2</v>
      </c>
      <c r="R409" s="2" t="inlineStr">
        <is>
          <t>Bronshjon
Blåsippa</t>
        </is>
      </c>
      <c r="S409">
        <f>HYPERLINK("https://klasma.github.io/Logging_0360/artfynd/A 29226-2023 artfynd.xlsx", "A 29226-2023")</f>
        <v/>
      </c>
      <c r="T409">
        <f>HYPERLINK("https://klasma.github.io/Logging_0360/kartor/A 29226-2023 karta.png", "A 29226-2023")</f>
        <v/>
      </c>
      <c r="V409">
        <f>HYPERLINK("https://klasma.github.io/Logging_0360/klagomål/A 29226-2023 FSC-klagomål.docx", "A 29226-2023")</f>
        <v/>
      </c>
      <c r="W409">
        <f>HYPERLINK("https://klasma.github.io/Logging_0360/klagomålsmail/A 29226-2023 FSC-klagomål mail.docx", "A 29226-2023")</f>
        <v/>
      </c>
      <c r="X409">
        <f>HYPERLINK("https://klasma.github.io/Logging_0360/tillsyn/A 29226-2023 tillsynsbegäran.docx", "A 29226-2023")</f>
        <v/>
      </c>
      <c r="Y409">
        <f>HYPERLINK("https://klasma.github.io/Logging_0360/tillsynsmail/A 29226-2023 tillsynsbegäran mail.docx", "A 29226-2023")</f>
        <v/>
      </c>
    </row>
    <row r="410" ht="15" customHeight="1">
      <c r="A410" t="inlineStr">
        <is>
          <t>A 32675-2023</t>
        </is>
      </c>
      <c r="B410" s="1" t="n">
        <v>45121</v>
      </c>
      <c r="C410" s="1" t="n">
        <v>45846</v>
      </c>
      <c r="D410" t="inlineStr">
        <is>
          <t>UPPSALA LÄN</t>
        </is>
      </c>
      <c r="E410" t="inlineStr">
        <is>
          <t>UPPSALA</t>
        </is>
      </c>
      <c r="F410" t="inlineStr">
        <is>
          <t>Holmen skog AB</t>
        </is>
      </c>
      <c r="G410" t="n">
        <v>5.8</v>
      </c>
      <c r="H410" t="n">
        <v>1</v>
      </c>
      <c r="I410" t="n">
        <v>1</v>
      </c>
      <c r="J410" t="n">
        <v>0</v>
      </c>
      <c r="K410" t="n">
        <v>0</v>
      </c>
      <c r="L410" t="n">
        <v>0</v>
      </c>
      <c r="M410" t="n">
        <v>0</v>
      </c>
      <c r="N410" t="n">
        <v>0</v>
      </c>
      <c r="O410" t="n">
        <v>0</v>
      </c>
      <c r="P410" t="n">
        <v>0</v>
      </c>
      <c r="Q410" t="n">
        <v>2</v>
      </c>
      <c r="R410" s="2" t="inlineStr">
        <is>
          <t>Brandticka
Blåsippa</t>
        </is>
      </c>
      <c r="S410">
        <f>HYPERLINK("https://klasma.github.io/Logging_0380/artfynd/A 32675-2023 artfynd.xlsx", "A 32675-2023")</f>
        <v/>
      </c>
      <c r="T410">
        <f>HYPERLINK("https://klasma.github.io/Logging_0380/kartor/A 32675-2023 karta.png", "A 32675-2023")</f>
        <v/>
      </c>
      <c r="V410">
        <f>HYPERLINK("https://klasma.github.io/Logging_0380/klagomål/A 32675-2023 FSC-klagomål.docx", "A 32675-2023")</f>
        <v/>
      </c>
      <c r="W410">
        <f>HYPERLINK("https://klasma.github.io/Logging_0380/klagomålsmail/A 32675-2023 FSC-klagomål mail.docx", "A 32675-2023")</f>
        <v/>
      </c>
      <c r="X410">
        <f>HYPERLINK("https://klasma.github.io/Logging_0380/tillsyn/A 32675-2023 tillsynsbegäran.docx", "A 32675-2023")</f>
        <v/>
      </c>
      <c r="Y410">
        <f>HYPERLINK("https://klasma.github.io/Logging_0380/tillsynsmail/A 32675-2023 tillsynsbegäran mail.docx", "A 32675-2023")</f>
        <v/>
      </c>
    </row>
    <row r="411" ht="15" customHeight="1">
      <c r="A411" t="inlineStr">
        <is>
          <t>A 34027-2023</t>
        </is>
      </c>
      <c r="B411" s="1" t="n">
        <v>45135</v>
      </c>
      <c r="C411" s="1" t="n">
        <v>45846</v>
      </c>
      <c r="D411" t="inlineStr">
        <is>
          <t>UPPSALA LÄN</t>
        </is>
      </c>
      <c r="E411" t="inlineStr">
        <is>
          <t>TIERP</t>
        </is>
      </c>
      <c r="F411" t="inlineStr">
        <is>
          <t>Bergvik skog öst AB</t>
        </is>
      </c>
      <c r="G411" t="n">
        <v>18.1</v>
      </c>
      <c r="H411" t="n">
        <v>2</v>
      </c>
      <c r="I411" t="n">
        <v>0</v>
      </c>
      <c r="J411" t="n">
        <v>1</v>
      </c>
      <c r="K411" t="n">
        <v>0</v>
      </c>
      <c r="L411" t="n">
        <v>0</v>
      </c>
      <c r="M411" t="n">
        <v>0</v>
      </c>
      <c r="N411" t="n">
        <v>0</v>
      </c>
      <c r="O411" t="n">
        <v>1</v>
      </c>
      <c r="P411" t="n">
        <v>0</v>
      </c>
      <c r="Q411" t="n">
        <v>2</v>
      </c>
      <c r="R411" s="2" t="inlineStr">
        <is>
          <t>Järpe
Tjäder</t>
        </is>
      </c>
      <c r="S411">
        <f>HYPERLINK("https://klasma.github.io/Logging_0360/artfynd/A 34027-2023 artfynd.xlsx", "A 34027-2023")</f>
        <v/>
      </c>
      <c r="T411">
        <f>HYPERLINK("https://klasma.github.io/Logging_0360/kartor/A 34027-2023 karta.png", "A 34027-2023")</f>
        <v/>
      </c>
      <c r="V411">
        <f>HYPERLINK("https://klasma.github.io/Logging_0360/klagomål/A 34027-2023 FSC-klagomål.docx", "A 34027-2023")</f>
        <v/>
      </c>
      <c r="W411">
        <f>HYPERLINK("https://klasma.github.io/Logging_0360/klagomålsmail/A 34027-2023 FSC-klagomål mail.docx", "A 34027-2023")</f>
        <v/>
      </c>
      <c r="X411">
        <f>HYPERLINK("https://klasma.github.io/Logging_0360/tillsyn/A 34027-2023 tillsynsbegäran.docx", "A 34027-2023")</f>
        <v/>
      </c>
      <c r="Y411">
        <f>HYPERLINK("https://klasma.github.io/Logging_0360/tillsynsmail/A 34027-2023 tillsynsbegäran mail.docx", "A 34027-2023")</f>
        <v/>
      </c>
      <c r="Z411">
        <f>HYPERLINK("https://klasma.github.io/Logging_0360/fåglar/A 34027-2023 prioriterade fågelarter.docx", "A 34027-2023")</f>
        <v/>
      </c>
    </row>
    <row r="412" ht="15" customHeight="1">
      <c r="A412" t="inlineStr">
        <is>
          <t>A 34979-2023</t>
        </is>
      </c>
      <c r="B412" s="1" t="n">
        <v>45142</v>
      </c>
      <c r="C412" s="1" t="n">
        <v>45846</v>
      </c>
      <c r="D412" t="inlineStr">
        <is>
          <t>UPPSALA LÄN</t>
        </is>
      </c>
      <c r="E412" t="inlineStr">
        <is>
          <t>TIERP</t>
        </is>
      </c>
      <c r="F412" t="inlineStr">
        <is>
          <t>Bergvik skog öst AB</t>
        </is>
      </c>
      <c r="G412" t="n">
        <v>1.2</v>
      </c>
      <c r="H412" t="n">
        <v>0</v>
      </c>
      <c r="I412" t="n">
        <v>2</v>
      </c>
      <c r="J412" t="n">
        <v>0</v>
      </c>
      <c r="K412" t="n">
        <v>0</v>
      </c>
      <c r="L412" t="n">
        <v>0</v>
      </c>
      <c r="M412" t="n">
        <v>0</v>
      </c>
      <c r="N412" t="n">
        <v>0</v>
      </c>
      <c r="O412" t="n">
        <v>0</v>
      </c>
      <c r="P412" t="n">
        <v>0</v>
      </c>
      <c r="Q412" t="n">
        <v>2</v>
      </c>
      <c r="R412" s="2" t="inlineStr">
        <is>
          <t>Fjällig taggsvamp s.str.
Vedticka</t>
        </is>
      </c>
      <c r="S412">
        <f>HYPERLINK("https://klasma.github.io/Logging_0360/artfynd/A 34979-2023 artfynd.xlsx", "A 34979-2023")</f>
        <v/>
      </c>
      <c r="T412">
        <f>HYPERLINK("https://klasma.github.io/Logging_0360/kartor/A 34979-2023 karta.png", "A 34979-2023")</f>
        <v/>
      </c>
      <c r="V412">
        <f>HYPERLINK("https://klasma.github.io/Logging_0360/klagomål/A 34979-2023 FSC-klagomål.docx", "A 34979-2023")</f>
        <v/>
      </c>
      <c r="W412">
        <f>HYPERLINK("https://klasma.github.io/Logging_0360/klagomålsmail/A 34979-2023 FSC-klagomål mail.docx", "A 34979-2023")</f>
        <v/>
      </c>
      <c r="X412">
        <f>HYPERLINK("https://klasma.github.io/Logging_0360/tillsyn/A 34979-2023 tillsynsbegäran.docx", "A 34979-2023")</f>
        <v/>
      </c>
      <c r="Y412">
        <f>HYPERLINK("https://klasma.github.io/Logging_0360/tillsynsmail/A 34979-2023 tillsynsbegäran mail.docx", "A 34979-2023")</f>
        <v/>
      </c>
    </row>
    <row r="413" ht="15" customHeight="1">
      <c r="A413" t="inlineStr">
        <is>
          <t>A 36876-2023</t>
        </is>
      </c>
      <c r="B413" s="1" t="n">
        <v>45154</v>
      </c>
      <c r="C413" s="1" t="n">
        <v>45846</v>
      </c>
      <c r="D413" t="inlineStr">
        <is>
          <t>UPPSALA LÄN</t>
        </is>
      </c>
      <c r="E413" t="inlineStr">
        <is>
          <t>ÖSTHAMMAR</t>
        </is>
      </c>
      <c r="F413" t="inlineStr">
        <is>
          <t>Övriga Aktiebolag</t>
        </is>
      </c>
      <c r="G413" t="n">
        <v>12.6</v>
      </c>
      <c r="H413" t="n">
        <v>1</v>
      </c>
      <c r="I413" t="n">
        <v>0</v>
      </c>
      <c r="J413" t="n">
        <v>2</v>
      </c>
      <c r="K413" t="n">
        <v>0</v>
      </c>
      <c r="L413" t="n">
        <v>0</v>
      </c>
      <c r="M413" t="n">
        <v>0</v>
      </c>
      <c r="N413" t="n">
        <v>0</v>
      </c>
      <c r="O413" t="n">
        <v>2</v>
      </c>
      <c r="P413" t="n">
        <v>0</v>
      </c>
      <c r="Q413" t="n">
        <v>2</v>
      </c>
      <c r="R413" s="2" t="inlineStr">
        <is>
          <t>Slaguggla
Slåtterfibbla</t>
        </is>
      </c>
      <c r="S413">
        <f>HYPERLINK("https://klasma.github.io/Logging_0382/artfynd/A 36876-2023 artfynd.xlsx", "A 36876-2023")</f>
        <v/>
      </c>
      <c r="T413">
        <f>HYPERLINK("https://klasma.github.io/Logging_0382/kartor/A 36876-2023 karta.png", "A 36876-2023")</f>
        <v/>
      </c>
      <c r="V413">
        <f>HYPERLINK("https://klasma.github.io/Logging_0382/klagomål/A 36876-2023 FSC-klagomål.docx", "A 36876-2023")</f>
        <v/>
      </c>
      <c r="W413">
        <f>HYPERLINK("https://klasma.github.io/Logging_0382/klagomålsmail/A 36876-2023 FSC-klagomål mail.docx", "A 36876-2023")</f>
        <v/>
      </c>
      <c r="X413">
        <f>HYPERLINK("https://klasma.github.io/Logging_0382/tillsyn/A 36876-2023 tillsynsbegäran.docx", "A 36876-2023")</f>
        <v/>
      </c>
      <c r="Y413">
        <f>HYPERLINK("https://klasma.github.io/Logging_0382/tillsynsmail/A 36876-2023 tillsynsbegäran mail.docx", "A 36876-2023")</f>
        <v/>
      </c>
      <c r="Z413">
        <f>HYPERLINK("https://klasma.github.io/Logging_0382/fåglar/A 36876-2023 prioriterade fågelarter.docx", "A 36876-2023")</f>
        <v/>
      </c>
    </row>
    <row r="414" ht="15" customHeight="1">
      <c r="A414" t="inlineStr">
        <is>
          <t>A 39933-2023</t>
        </is>
      </c>
      <c r="B414" s="1" t="n">
        <v>45168</v>
      </c>
      <c r="C414" s="1" t="n">
        <v>45846</v>
      </c>
      <c r="D414" t="inlineStr">
        <is>
          <t>UPPSALA LÄN</t>
        </is>
      </c>
      <c r="E414" t="inlineStr">
        <is>
          <t>UPPSALA</t>
        </is>
      </c>
      <c r="F414" t="inlineStr">
        <is>
          <t>Holmen skog AB</t>
        </is>
      </c>
      <c r="G414" t="n">
        <v>6.3</v>
      </c>
      <c r="H414" t="n">
        <v>2</v>
      </c>
      <c r="I414" t="n">
        <v>0</v>
      </c>
      <c r="J414" t="n">
        <v>2</v>
      </c>
      <c r="K414" t="n">
        <v>0</v>
      </c>
      <c r="L414" t="n">
        <v>0</v>
      </c>
      <c r="M414" t="n">
        <v>0</v>
      </c>
      <c r="N414" t="n">
        <v>0</v>
      </c>
      <c r="O414" t="n">
        <v>2</v>
      </c>
      <c r="P414" t="n">
        <v>0</v>
      </c>
      <c r="Q414" t="n">
        <v>2</v>
      </c>
      <c r="R414" s="2" t="inlineStr">
        <is>
          <t>Entita
Spillkråka</t>
        </is>
      </c>
      <c r="S414">
        <f>HYPERLINK("https://klasma.github.io/Logging_0380/artfynd/A 39933-2023 artfynd.xlsx", "A 39933-2023")</f>
        <v/>
      </c>
      <c r="T414">
        <f>HYPERLINK("https://klasma.github.io/Logging_0380/kartor/A 39933-2023 karta.png", "A 39933-2023")</f>
        <v/>
      </c>
      <c r="V414">
        <f>HYPERLINK("https://klasma.github.io/Logging_0380/klagomål/A 39933-2023 FSC-klagomål.docx", "A 39933-2023")</f>
        <v/>
      </c>
      <c r="W414">
        <f>HYPERLINK("https://klasma.github.io/Logging_0380/klagomålsmail/A 39933-2023 FSC-klagomål mail.docx", "A 39933-2023")</f>
        <v/>
      </c>
      <c r="X414">
        <f>HYPERLINK("https://klasma.github.io/Logging_0380/tillsyn/A 39933-2023 tillsynsbegäran.docx", "A 39933-2023")</f>
        <v/>
      </c>
      <c r="Y414">
        <f>HYPERLINK("https://klasma.github.io/Logging_0380/tillsynsmail/A 39933-2023 tillsynsbegäran mail.docx", "A 39933-2023")</f>
        <v/>
      </c>
      <c r="Z414">
        <f>HYPERLINK("https://klasma.github.io/Logging_0380/fåglar/A 39933-2023 prioriterade fågelarter.docx", "A 39933-2023")</f>
        <v/>
      </c>
    </row>
    <row r="415" ht="15" customHeight="1">
      <c r="A415" t="inlineStr">
        <is>
          <t>A 40662-2023</t>
        </is>
      </c>
      <c r="B415" s="1" t="n">
        <v>45170</v>
      </c>
      <c r="C415" s="1" t="n">
        <v>45846</v>
      </c>
      <c r="D415" t="inlineStr">
        <is>
          <t>UPPSALA LÄN</t>
        </is>
      </c>
      <c r="E415" t="inlineStr">
        <is>
          <t>HEBY</t>
        </is>
      </c>
      <c r="F415" t="inlineStr">
        <is>
          <t>Övriga Aktiebolag</t>
        </is>
      </c>
      <c r="G415" t="n">
        <v>5.7</v>
      </c>
      <c r="H415" t="n">
        <v>2</v>
      </c>
      <c r="I415" t="n">
        <v>0</v>
      </c>
      <c r="J415" t="n">
        <v>0</v>
      </c>
      <c r="K415" t="n">
        <v>1</v>
      </c>
      <c r="L415" t="n">
        <v>0</v>
      </c>
      <c r="M415" t="n">
        <v>0</v>
      </c>
      <c r="N415" t="n">
        <v>0</v>
      </c>
      <c r="O415" t="n">
        <v>1</v>
      </c>
      <c r="P415" t="n">
        <v>1</v>
      </c>
      <c r="Q415" t="n">
        <v>2</v>
      </c>
      <c r="R415" s="2" t="inlineStr">
        <is>
          <t>Knärot
Fläcknycklar</t>
        </is>
      </c>
      <c r="S415">
        <f>HYPERLINK("https://klasma.github.io/Logging_0331/artfynd/A 40662-2023 artfynd.xlsx", "A 40662-2023")</f>
        <v/>
      </c>
      <c r="T415">
        <f>HYPERLINK("https://klasma.github.io/Logging_0331/kartor/A 40662-2023 karta.png", "A 40662-2023")</f>
        <v/>
      </c>
      <c r="U415">
        <f>HYPERLINK("https://klasma.github.io/Logging_0331/knärot/A 40662-2023 karta knärot.png", "A 40662-2023")</f>
        <v/>
      </c>
      <c r="V415">
        <f>HYPERLINK("https://klasma.github.io/Logging_0331/klagomål/A 40662-2023 FSC-klagomål.docx", "A 40662-2023")</f>
        <v/>
      </c>
      <c r="W415">
        <f>HYPERLINK("https://klasma.github.io/Logging_0331/klagomålsmail/A 40662-2023 FSC-klagomål mail.docx", "A 40662-2023")</f>
        <v/>
      </c>
      <c r="X415">
        <f>HYPERLINK("https://klasma.github.io/Logging_0331/tillsyn/A 40662-2023 tillsynsbegäran.docx", "A 40662-2023")</f>
        <v/>
      </c>
      <c r="Y415">
        <f>HYPERLINK("https://klasma.github.io/Logging_0331/tillsynsmail/A 40662-2023 tillsynsbegäran mail.docx", "A 40662-2023")</f>
        <v/>
      </c>
    </row>
    <row r="416" ht="15" customHeight="1">
      <c r="A416" t="inlineStr">
        <is>
          <t>A 42085-2023</t>
        </is>
      </c>
      <c r="B416" s="1" t="n">
        <v>45177</v>
      </c>
      <c r="C416" s="1" t="n">
        <v>45846</v>
      </c>
      <c r="D416" t="inlineStr">
        <is>
          <t>UPPSALA LÄN</t>
        </is>
      </c>
      <c r="E416" t="inlineStr">
        <is>
          <t>HEBY</t>
        </is>
      </c>
      <c r="G416" t="n">
        <v>3.6</v>
      </c>
      <c r="H416" t="n">
        <v>1</v>
      </c>
      <c r="I416" t="n">
        <v>0</v>
      </c>
      <c r="J416" t="n">
        <v>2</v>
      </c>
      <c r="K416" t="n">
        <v>0</v>
      </c>
      <c r="L416" t="n">
        <v>0</v>
      </c>
      <c r="M416" t="n">
        <v>0</v>
      </c>
      <c r="N416" t="n">
        <v>0</v>
      </c>
      <c r="O416" t="n">
        <v>2</v>
      </c>
      <c r="P416" t="n">
        <v>0</v>
      </c>
      <c r="Q416" t="n">
        <v>2</v>
      </c>
      <c r="R416" s="2" t="inlineStr">
        <is>
          <t>Garnlav
Spillkråka</t>
        </is>
      </c>
      <c r="S416">
        <f>HYPERLINK("https://klasma.github.io/Logging_0331/artfynd/A 42085-2023 artfynd.xlsx", "A 42085-2023")</f>
        <v/>
      </c>
      <c r="T416">
        <f>HYPERLINK("https://klasma.github.io/Logging_0331/kartor/A 42085-2023 karta.png", "A 42085-2023")</f>
        <v/>
      </c>
      <c r="U416">
        <f>HYPERLINK("https://klasma.github.io/Logging_0331/knärot/A 42085-2023 karta knärot.png", "A 42085-2023")</f>
        <v/>
      </c>
      <c r="V416">
        <f>HYPERLINK("https://klasma.github.io/Logging_0331/klagomål/A 42085-2023 FSC-klagomål.docx", "A 42085-2023")</f>
        <v/>
      </c>
      <c r="W416">
        <f>HYPERLINK("https://klasma.github.io/Logging_0331/klagomålsmail/A 42085-2023 FSC-klagomål mail.docx", "A 42085-2023")</f>
        <v/>
      </c>
      <c r="X416">
        <f>HYPERLINK("https://klasma.github.io/Logging_0331/tillsyn/A 42085-2023 tillsynsbegäran.docx", "A 42085-2023")</f>
        <v/>
      </c>
      <c r="Y416">
        <f>HYPERLINK("https://klasma.github.io/Logging_0331/tillsynsmail/A 42085-2023 tillsynsbegäran mail.docx", "A 42085-2023")</f>
        <v/>
      </c>
      <c r="Z416">
        <f>HYPERLINK("https://klasma.github.io/Logging_0331/fåglar/A 42085-2023 prioriterade fågelarter.docx", "A 42085-2023")</f>
        <v/>
      </c>
    </row>
    <row r="417" ht="15" customHeight="1">
      <c r="A417" t="inlineStr">
        <is>
          <t>A 44675-2023</t>
        </is>
      </c>
      <c r="B417" s="1" t="n">
        <v>45189</v>
      </c>
      <c r="C417" s="1" t="n">
        <v>45846</v>
      </c>
      <c r="D417" t="inlineStr">
        <is>
          <t>UPPSALA LÄN</t>
        </is>
      </c>
      <c r="E417" t="inlineStr">
        <is>
          <t>UPPSALA</t>
        </is>
      </c>
      <c r="G417" t="n">
        <v>7.1</v>
      </c>
      <c r="H417" t="n">
        <v>2</v>
      </c>
      <c r="I417" t="n">
        <v>0</v>
      </c>
      <c r="J417" t="n">
        <v>1</v>
      </c>
      <c r="K417" t="n">
        <v>1</v>
      </c>
      <c r="L417" t="n">
        <v>0</v>
      </c>
      <c r="M417" t="n">
        <v>0</v>
      </c>
      <c r="N417" t="n">
        <v>0</v>
      </c>
      <c r="O417" t="n">
        <v>2</v>
      </c>
      <c r="P417" t="n">
        <v>1</v>
      </c>
      <c r="Q417" t="n">
        <v>2</v>
      </c>
      <c r="R417" s="2" t="inlineStr">
        <is>
          <t>Knärot
Talltita</t>
        </is>
      </c>
      <c r="S417">
        <f>HYPERLINK("https://klasma.github.io/Logging_0380/artfynd/A 44675-2023 artfynd.xlsx", "A 44675-2023")</f>
        <v/>
      </c>
      <c r="T417">
        <f>HYPERLINK("https://klasma.github.io/Logging_0380/kartor/A 44675-2023 karta.png", "A 44675-2023")</f>
        <v/>
      </c>
      <c r="U417">
        <f>HYPERLINK("https://klasma.github.io/Logging_0380/knärot/A 44675-2023 karta knärot.png", "A 44675-2023")</f>
        <v/>
      </c>
      <c r="V417">
        <f>HYPERLINK("https://klasma.github.io/Logging_0380/klagomål/A 44675-2023 FSC-klagomål.docx", "A 44675-2023")</f>
        <v/>
      </c>
      <c r="W417">
        <f>HYPERLINK("https://klasma.github.io/Logging_0380/klagomålsmail/A 44675-2023 FSC-klagomål mail.docx", "A 44675-2023")</f>
        <v/>
      </c>
      <c r="X417">
        <f>HYPERLINK("https://klasma.github.io/Logging_0380/tillsyn/A 44675-2023 tillsynsbegäran.docx", "A 44675-2023")</f>
        <v/>
      </c>
      <c r="Y417">
        <f>HYPERLINK("https://klasma.github.io/Logging_0380/tillsynsmail/A 44675-2023 tillsynsbegäran mail.docx", "A 44675-2023")</f>
        <v/>
      </c>
      <c r="Z417">
        <f>HYPERLINK("https://klasma.github.io/Logging_0380/fåglar/A 44675-2023 prioriterade fågelarter.docx", "A 44675-2023")</f>
        <v/>
      </c>
    </row>
    <row r="418" ht="15" customHeight="1">
      <c r="A418" t="inlineStr">
        <is>
          <t>A 46363-2023</t>
        </is>
      </c>
      <c r="B418" s="1" t="n">
        <v>45197</v>
      </c>
      <c r="C418" s="1" t="n">
        <v>45846</v>
      </c>
      <c r="D418" t="inlineStr">
        <is>
          <t>UPPSALA LÄN</t>
        </is>
      </c>
      <c r="E418" t="inlineStr">
        <is>
          <t>ÄLVKARLEBY</t>
        </is>
      </c>
      <c r="F418" t="inlineStr">
        <is>
          <t>Bergvik skog öst AB</t>
        </is>
      </c>
      <c r="G418" t="n">
        <v>11.8</v>
      </c>
      <c r="H418" t="n">
        <v>2</v>
      </c>
      <c r="I418" t="n">
        <v>0</v>
      </c>
      <c r="J418" t="n">
        <v>0</v>
      </c>
      <c r="K418" t="n">
        <v>0</v>
      </c>
      <c r="L418" t="n">
        <v>0</v>
      </c>
      <c r="M418" t="n">
        <v>0</v>
      </c>
      <c r="N418" t="n">
        <v>0</v>
      </c>
      <c r="O418" t="n">
        <v>0</v>
      </c>
      <c r="P418" t="n">
        <v>0</v>
      </c>
      <c r="Q418" t="n">
        <v>2</v>
      </c>
      <c r="R418" s="2" t="inlineStr">
        <is>
          <t>Brudsporre
Fläcknycklar</t>
        </is>
      </c>
      <c r="S418">
        <f>HYPERLINK("https://klasma.github.io/Logging_0319/artfynd/A 46363-2023 artfynd.xlsx", "A 46363-2023")</f>
        <v/>
      </c>
      <c r="T418">
        <f>HYPERLINK("https://klasma.github.io/Logging_0319/kartor/A 46363-2023 karta.png", "A 46363-2023")</f>
        <v/>
      </c>
      <c r="V418">
        <f>HYPERLINK("https://klasma.github.io/Logging_0319/klagomål/A 46363-2023 FSC-klagomål.docx", "A 46363-2023")</f>
        <v/>
      </c>
      <c r="W418">
        <f>HYPERLINK("https://klasma.github.io/Logging_0319/klagomålsmail/A 46363-2023 FSC-klagomål mail.docx", "A 46363-2023")</f>
        <v/>
      </c>
      <c r="X418">
        <f>HYPERLINK("https://klasma.github.io/Logging_0319/tillsyn/A 46363-2023 tillsynsbegäran.docx", "A 46363-2023")</f>
        <v/>
      </c>
      <c r="Y418">
        <f>HYPERLINK("https://klasma.github.io/Logging_0319/tillsynsmail/A 46363-2023 tillsynsbegäran mail.docx", "A 46363-2023")</f>
        <v/>
      </c>
    </row>
    <row r="419" ht="15" customHeight="1">
      <c r="A419" t="inlineStr">
        <is>
          <t>A 47948-2023</t>
        </is>
      </c>
      <c r="B419" s="1" t="n">
        <v>45204</v>
      </c>
      <c r="C419" s="1" t="n">
        <v>45846</v>
      </c>
      <c r="D419" t="inlineStr">
        <is>
          <t>UPPSALA LÄN</t>
        </is>
      </c>
      <c r="E419" t="inlineStr">
        <is>
          <t>TIERP</t>
        </is>
      </c>
      <c r="G419" t="n">
        <v>0.7</v>
      </c>
      <c r="H419" t="n">
        <v>0</v>
      </c>
      <c r="I419" t="n">
        <v>0</v>
      </c>
      <c r="J419" t="n">
        <v>0</v>
      </c>
      <c r="K419" t="n">
        <v>2</v>
      </c>
      <c r="L419" t="n">
        <v>0</v>
      </c>
      <c r="M419" t="n">
        <v>0</v>
      </c>
      <c r="N419" t="n">
        <v>0</v>
      </c>
      <c r="O419" t="n">
        <v>2</v>
      </c>
      <c r="P419" t="n">
        <v>2</v>
      </c>
      <c r="Q419" t="n">
        <v>2</v>
      </c>
      <c r="R419" s="2" t="inlineStr">
        <is>
          <t>Gulvit blekspik
Liten blekspik</t>
        </is>
      </c>
      <c r="S419">
        <f>HYPERLINK("https://klasma.github.io/Logging_0360/artfynd/A 47948-2023 artfynd.xlsx", "A 47948-2023")</f>
        <v/>
      </c>
      <c r="T419">
        <f>HYPERLINK("https://klasma.github.io/Logging_0360/kartor/A 47948-2023 karta.png", "A 47948-2023")</f>
        <v/>
      </c>
      <c r="V419">
        <f>HYPERLINK("https://klasma.github.io/Logging_0360/klagomål/A 47948-2023 FSC-klagomål.docx", "A 47948-2023")</f>
        <v/>
      </c>
      <c r="W419">
        <f>HYPERLINK("https://klasma.github.io/Logging_0360/klagomålsmail/A 47948-2023 FSC-klagomål mail.docx", "A 47948-2023")</f>
        <v/>
      </c>
      <c r="X419">
        <f>HYPERLINK("https://klasma.github.io/Logging_0360/tillsyn/A 47948-2023 tillsynsbegäran.docx", "A 47948-2023")</f>
        <v/>
      </c>
      <c r="Y419">
        <f>HYPERLINK("https://klasma.github.io/Logging_0360/tillsynsmail/A 47948-2023 tillsynsbegäran mail.docx", "A 47948-2023")</f>
        <v/>
      </c>
    </row>
    <row r="420" ht="15" customHeight="1">
      <c r="A420" t="inlineStr">
        <is>
          <t>A 48209-2023</t>
        </is>
      </c>
      <c r="B420" s="1" t="n">
        <v>45205</v>
      </c>
      <c r="C420" s="1" t="n">
        <v>45846</v>
      </c>
      <c r="D420" t="inlineStr">
        <is>
          <t>UPPSALA LÄN</t>
        </is>
      </c>
      <c r="E420" t="inlineStr">
        <is>
          <t>ÖSTHAMMAR</t>
        </is>
      </c>
      <c r="G420" t="n">
        <v>3.7</v>
      </c>
      <c r="H420" t="n">
        <v>1</v>
      </c>
      <c r="I420" t="n">
        <v>2</v>
      </c>
      <c r="J420" t="n">
        <v>0</v>
      </c>
      <c r="K420" t="n">
        <v>0</v>
      </c>
      <c r="L420" t="n">
        <v>0</v>
      </c>
      <c r="M420" t="n">
        <v>0</v>
      </c>
      <c r="N420" t="n">
        <v>0</v>
      </c>
      <c r="O420" t="n">
        <v>0</v>
      </c>
      <c r="P420" t="n">
        <v>0</v>
      </c>
      <c r="Q420" t="n">
        <v>2</v>
      </c>
      <c r="R420" s="2" t="inlineStr">
        <is>
          <t>Skogsknipprot
Tibast</t>
        </is>
      </c>
      <c r="S420">
        <f>HYPERLINK("https://klasma.github.io/Logging_0382/artfynd/A 48209-2023 artfynd.xlsx", "A 48209-2023")</f>
        <v/>
      </c>
      <c r="T420">
        <f>HYPERLINK("https://klasma.github.io/Logging_0382/kartor/A 48209-2023 karta.png", "A 48209-2023")</f>
        <v/>
      </c>
      <c r="V420">
        <f>HYPERLINK("https://klasma.github.io/Logging_0382/klagomål/A 48209-2023 FSC-klagomål.docx", "A 48209-2023")</f>
        <v/>
      </c>
      <c r="W420">
        <f>HYPERLINK("https://klasma.github.io/Logging_0382/klagomålsmail/A 48209-2023 FSC-klagomål mail.docx", "A 48209-2023")</f>
        <v/>
      </c>
      <c r="X420">
        <f>HYPERLINK("https://klasma.github.io/Logging_0382/tillsyn/A 48209-2023 tillsynsbegäran.docx", "A 48209-2023")</f>
        <v/>
      </c>
      <c r="Y420">
        <f>HYPERLINK("https://klasma.github.io/Logging_0382/tillsynsmail/A 48209-2023 tillsynsbegäran mail.docx", "A 48209-2023")</f>
        <v/>
      </c>
    </row>
    <row r="421" ht="15" customHeight="1">
      <c r="A421" t="inlineStr">
        <is>
          <t>A 48723-2023</t>
        </is>
      </c>
      <c r="B421" s="1" t="n">
        <v>45208</v>
      </c>
      <c r="C421" s="1" t="n">
        <v>45846</v>
      </c>
      <c r="D421" t="inlineStr">
        <is>
          <t>UPPSALA LÄN</t>
        </is>
      </c>
      <c r="E421" t="inlineStr">
        <is>
          <t>ÖSTHAMMAR</t>
        </is>
      </c>
      <c r="G421" t="n">
        <v>1</v>
      </c>
      <c r="H421" t="n">
        <v>0</v>
      </c>
      <c r="I421" t="n">
        <v>2</v>
      </c>
      <c r="J421" t="n">
        <v>0</v>
      </c>
      <c r="K421" t="n">
        <v>0</v>
      </c>
      <c r="L421" t="n">
        <v>0</v>
      </c>
      <c r="M421" t="n">
        <v>0</v>
      </c>
      <c r="N421" t="n">
        <v>0</v>
      </c>
      <c r="O421" t="n">
        <v>0</v>
      </c>
      <c r="P421" t="n">
        <v>0</v>
      </c>
      <c r="Q421" t="n">
        <v>2</v>
      </c>
      <c r="R421" s="2" t="inlineStr">
        <is>
          <t>Anisspindling
Fjällig taggsvamp s.str.</t>
        </is>
      </c>
      <c r="S421">
        <f>HYPERLINK("https://klasma.github.io/Logging_0382/artfynd/A 48723-2023 artfynd.xlsx", "A 48723-2023")</f>
        <v/>
      </c>
      <c r="T421">
        <f>HYPERLINK("https://klasma.github.io/Logging_0382/kartor/A 48723-2023 karta.png", "A 48723-2023")</f>
        <v/>
      </c>
      <c r="V421">
        <f>HYPERLINK("https://klasma.github.io/Logging_0382/klagomål/A 48723-2023 FSC-klagomål.docx", "A 48723-2023")</f>
        <v/>
      </c>
      <c r="W421">
        <f>HYPERLINK("https://klasma.github.io/Logging_0382/klagomålsmail/A 48723-2023 FSC-klagomål mail.docx", "A 48723-2023")</f>
        <v/>
      </c>
      <c r="X421">
        <f>HYPERLINK("https://klasma.github.io/Logging_0382/tillsyn/A 48723-2023 tillsynsbegäran.docx", "A 48723-2023")</f>
        <v/>
      </c>
      <c r="Y421">
        <f>HYPERLINK("https://klasma.github.io/Logging_0382/tillsynsmail/A 48723-2023 tillsynsbegäran mail.docx", "A 48723-2023")</f>
        <v/>
      </c>
    </row>
    <row r="422" ht="15" customHeight="1">
      <c r="A422" t="inlineStr">
        <is>
          <t>A 48687-2023</t>
        </is>
      </c>
      <c r="B422" s="1" t="n">
        <v>45208</v>
      </c>
      <c r="C422" s="1" t="n">
        <v>45846</v>
      </c>
      <c r="D422" t="inlineStr">
        <is>
          <t>UPPSALA LÄN</t>
        </is>
      </c>
      <c r="E422" t="inlineStr">
        <is>
          <t>TIERP</t>
        </is>
      </c>
      <c r="F422" t="inlineStr">
        <is>
          <t>Bergvik skog öst AB</t>
        </is>
      </c>
      <c r="G422" t="n">
        <v>2.6</v>
      </c>
      <c r="H422" t="n">
        <v>1</v>
      </c>
      <c r="I422" t="n">
        <v>0</v>
      </c>
      <c r="J422" t="n">
        <v>2</v>
      </c>
      <c r="K422" t="n">
        <v>0</v>
      </c>
      <c r="L422" t="n">
        <v>0</v>
      </c>
      <c r="M422" t="n">
        <v>0</v>
      </c>
      <c r="N422" t="n">
        <v>0</v>
      </c>
      <c r="O422" t="n">
        <v>2</v>
      </c>
      <c r="P422" t="n">
        <v>0</v>
      </c>
      <c r="Q422" t="n">
        <v>2</v>
      </c>
      <c r="R422" s="2" t="inlineStr">
        <is>
          <t>Gulsparv
Klasefibbla</t>
        </is>
      </c>
      <c r="S422">
        <f>HYPERLINK("https://klasma.github.io/Logging_0360/artfynd/A 48687-2023 artfynd.xlsx", "A 48687-2023")</f>
        <v/>
      </c>
      <c r="T422">
        <f>HYPERLINK("https://klasma.github.io/Logging_0360/kartor/A 48687-2023 karta.png", "A 48687-2023")</f>
        <v/>
      </c>
      <c r="V422">
        <f>HYPERLINK("https://klasma.github.io/Logging_0360/klagomål/A 48687-2023 FSC-klagomål.docx", "A 48687-2023")</f>
        <v/>
      </c>
      <c r="W422">
        <f>HYPERLINK("https://klasma.github.io/Logging_0360/klagomålsmail/A 48687-2023 FSC-klagomål mail.docx", "A 48687-2023")</f>
        <v/>
      </c>
      <c r="X422">
        <f>HYPERLINK("https://klasma.github.io/Logging_0360/tillsyn/A 48687-2023 tillsynsbegäran.docx", "A 48687-2023")</f>
        <v/>
      </c>
      <c r="Y422">
        <f>HYPERLINK("https://klasma.github.io/Logging_0360/tillsynsmail/A 48687-2023 tillsynsbegäran mail.docx", "A 48687-2023")</f>
        <v/>
      </c>
      <c r="Z422">
        <f>HYPERLINK("https://klasma.github.io/Logging_0360/fåglar/A 48687-2023 prioriterade fågelarter.docx", "A 48687-2023")</f>
        <v/>
      </c>
    </row>
    <row r="423" ht="15" customHeight="1">
      <c r="A423" t="inlineStr">
        <is>
          <t>A 48917-2023</t>
        </is>
      </c>
      <c r="B423" s="1" t="n">
        <v>45209</v>
      </c>
      <c r="C423" s="1" t="n">
        <v>45846</v>
      </c>
      <c r="D423" t="inlineStr">
        <is>
          <t>UPPSALA LÄN</t>
        </is>
      </c>
      <c r="E423" t="inlineStr">
        <is>
          <t>TIERP</t>
        </is>
      </c>
      <c r="F423" t="inlineStr">
        <is>
          <t>Bergvik skog öst AB</t>
        </is>
      </c>
      <c r="G423" t="n">
        <v>3.4</v>
      </c>
      <c r="H423" t="n">
        <v>2</v>
      </c>
      <c r="I423" t="n">
        <v>0</v>
      </c>
      <c r="J423" t="n">
        <v>2</v>
      </c>
      <c r="K423" t="n">
        <v>0</v>
      </c>
      <c r="L423" t="n">
        <v>0</v>
      </c>
      <c r="M423" t="n">
        <v>0</v>
      </c>
      <c r="N423" t="n">
        <v>0</v>
      </c>
      <c r="O423" t="n">
        <v>2</v>
      </c>
      <c r="P423" t="n">
        <v>0</v>
      </c>
      <c r="Q423" t="n">
        <v>2</v>
      </c>
      <c r="R423" s="2" t="inlineStr">
        <is>
          <t>Gulsparv
Talltita</t>
        </is>
      </c>
      <c r="S423">
        <f>HYPERLINK("https://klasma.github.io/Logging_0360/artfynd/A 48917-2023 artfynd.xlsx", "A 48917-2023")</f>
        <v/>
      </c>
      <c r="T423">
        <f>HYPERLINK("https://klasma.github.io/Logging_0360/kartor/A 48917-2023 karta.png", "A 48917-2023")</f>
        <v/>
      </c>
      <c r="V423">
        <f>HYPERLINK("https://klasma.github.io/Logging_0360/klagomål/A 48917-2023 FSC-klagomål.docx", "A 48917-2023")</f>
        <v/>
      </c>
      <c r="W423">
        <f>HYPERLINK("https://klasma.github.io/Logging_0360/klagomålsmail/A 48917-2023 FSC-klagomål mail.docx", "A 48917-2023")</f>
        <v/>
      </c>
      <c r="X423">
        <f>HYPERLINK("https://klasma.github.io/Logging_0360/tillsyn/A 48917-2023 tillsynsbegäran.docx", "A 48917-2023")</f>
        <v/>
      </c>
      <c r="Y423">
        <f>HYPERLINK("https://klasma.github.io/Logging_0360/tillsynsmail/A 48917-2023 tillsynsbegäran mail.docx", "A 48917-2023")</f>
        <v/>
      </c>
      <c r="Z423">
        <f>HYPERLINK("https://klasma.github.io/Logging_0360/fåglar/A 48917-2023 prioriterade fågelarter.docx", "A 48917-2023")</f>
        <v/>
      </c>
    </row>
    <row r="424" ht="15" customHeight="1">
      <c r="A424" t="inlineStr">
        <is>
          <t>A 50105-2023</t>
        </is>
      </c>
      <c r="B424" s="1" t="n">
        <v>45215</v>
      </c>
      <c r="C424" s="1" t="n">
        <v>45846</v>
      </c>
      <c r="D424" t="inlineStr">
        <is>
          <t>UPPSALA LÄN</t>
        </is>
      </c>
      <c r="E424" t="inlineStr">
        <is>
          <t>ENKÖPING</t>
        </is>
      </c>
      <c r="G424" t="n">
        <v>8.5</v>
      </c>
      <c r="H424" t="n">
        <v>0</v>
      </c>
      <c r="I424" t="n">
        <v>0</v>
      </c>
      <c r="J424" t="n">
        <v>1</v>
      </c>
      <c r="K424" t="n">
        <v>1</v>
      </c>
      <c r="L424" t="n">
        <v>0</v>
      </c>
      <c r="M424" t="n">
        <v>0</v>
      </c>
      <c r="N424" t="n">
        <v>0</v>
      </c>
      <c r="O424" t="n">
        <v>2</v>
      </c>
      <c r="P424" t="n">
        <v>1</v>
      </c>
      <c r="Q424" t="n">
        <v>2</v>
      </c>
      <c r="R424" s="2" t="inlineStr">
        <is>
          <t>Smalskaftslav
Ullticka</t>
        </is>
      </c>
      <c r="S424">
        <f>HYPERLINK("https://klasma.github.io/Logging_0381/artfynd/A 50105-2023 artfynd.xlsx", "A 50105-2023")</f>
        <v/>
      </c>
      <c r="T424">
        <f>HYPERLINK("https://klasma.github.io/Logging_0381/kartor/A 50105-2023 karta.png", "A 50105-2023")</f>
        <v/>
      </c>
      <c r="V424">
        <f>HYPERLINK("https://klasma.github.io/Logging_0381/klagomål/A 50105-2023 FSC-klagomål.docx", "A 50105-2023")</f>
        <v/>
      </c>
      <c r="W424">
        <f>HYPERLINK("https://klasma.github.io/Logging_0381/klagomålsmail/A 50105-2023 FSC-klagomål mail.docx", "A 50105-2023")</f>
        <v/>
      </c>
      <c r="X424">
        <f>HYPERLINK("https://klasma.github.io/Logging_0381/tillsyn/A 50105-2023 tillsynsbegäran.docx", "A 50105-2023")</f>
        <v/>
      </c>
      <c r="Y424">
        <f>HYPERLINK("https://klasma.github.io/Logging_0381/tillsynsmail/A 50105-2023 tillsynsbegäran mail.docx", "A 50105-2023")</f>
        <v/>
      </c>
    </row>
    <row r="425" ht="15" customHeight="1">
      <c r="A425" t="inlineStr">
        <is>
          <t>A 51749-2023</t>
        </is>
      </c>
      <c r="B425" s="1" t="n">
        <v>45222</v>
      </c>
      <c r="C425" s="1" t="n">
        <v>45846</v>
      </c>
      <c r="D425" t="inlineStr">
        <is>
          <t>UPPSALA LÄN</t>
        </is>
      </c>
      <c r="E425" t="inlineStr">
        <is>
          <t>UPPSALA</t>
        </is>
      </c>
      <c r="G425" t="n">
        <v>3.6</v>
      </c>
      <c r="H425" t="n">
        <v>1</v>
      </c>
      <c r="I425" t="n">
        <v>0</v>
      </c>
      <c r="J425" t="n">
        <v>1</v>
      </c>
      <c r="K425" t="n">
        <v>0</v>
      </c>
      <c r="L425" t="n">
        <v>0</v>
      </c>
      <c r="M425" t="n">
        <v>0</v>
      </c>
      <c r="N425" t="n">
        <v>0</v>
      </c>
      <c r="O425" t="n">
        <v>1</v>
      </c>
      <c r="P425" t="n">
        <v>0</v>
      </c>
      <c r="Q425" t="n">
        <v>2</v>
      </c>
      <c r="R425" s="2" t="inlineStr">
        <is>
          <t>Säfferot
Gullviva</t>
        </is>
      </c>
      <c r="S425">
        <f>HYPERLINK("https://klasma.github.io/Logging_0380/artfynd/A 51749-2023 artfynd.xlsx", "A 51749-2023")</f>
        <v/>
      </c>
      <c r="T425">
        <f>HYPERLINK("https://klasma.github.io/Logging_0380/kartor/A 51749-2023 karta.png", "A 51749-2023")</f>
        <v/>
      </c>
      <c r="V425">
        <f>HYPERLINK("https://klasma.github.io/Logging_0380/klagomål/A 51749-2023 FSC-klagomål.docx", "A 51749-2023")</f>
        <v/>
      </c>
      <c r="W425">
        <f>HYPERLINK("https://klasma.github.io/Logging_0380/klagomålsmail/A 51749-2023 FSC-klagomål mail.docx", "A 51749-2023")</f>
        <v/>
      </c>
      <c r="X425">
        <f>HYPERLINK("https://klasma.github.io/Logging_0380/tillsyn/A 51749-2023 tillsynsbegäran.docx", "A 51749-2023")</f>
        <v/>
      </c>
      <c r="Y425">
        <f>HYPERLINK("https://klasma.github.io/Logging_0380/tillsynsmail/A 51749-2023 tillsynsbegäran mail.docx", "A 51749-2023")</f>
        <v/>
      </c>
    </row>
    <row r="426" ht="15" customHeight="1">
      <c r="A426" t="inlineStr">
        <is>
          <t>A 54436-2023</t>
        </is>
      </c>
      <c r="B426" s="1" t="n">
        <v>45233</v>
      </c>
      <c r="C426" s="1" t="n">
        <v>45846</v>
      </c>
      <c r="D426" t="inlineStr">
        <is>
          <t>UPPSALA LÄN</t>
        </is>
      </c>
      <c r="E426" t="inlineStr">
        <is>
          <t>TIERP</t>
        </is>
      </c>
      <c r="F426" t="inlineStr">
        <is>
          <t>Bergvik skog öst AB</t>
        </is>
      </c>
      <c r="G426" t="n">
        <v>30.2</v>
      </c>
      <c r="H426" t="n">
        <v>1</v>
      </c>
      <c r="I426" t="n">
        <v>1</v>
      </c>
      <c r="J426" t="n">
        <v>1</v>
      </c>
      <c r="K426" t="n">
        <v>0</v>
      </c>
      <c r="L426" t="n">
        <v>0</v>
      </c>
      <c r="M426" t="n">
        <v>0</v>
      </c>
      <c r="N426" t="n">
        <v>0</v>
      </c>
      <c r="O426" t="n">
        <v>1</v>
      </c>
      <c r="P426" t="n">
        <v>0</v>
      </c>
      <c r="Q426" t="n">
        <v>2</v>
      </c>
      <c r="R426" s="2" t="inlineStr">
        <is>
          <t>Slåtterfibbla
Tvåblad</t>
        </is>
      </c>
      <c r="S426">
        <f>HYPERLINK("https://klasma.github.io/Logging_0360/artfynd/A 54436-2023 artfynd.xlsx", "A 54436-2023")</f>
        <v/>
      </c>
      <c r="T426">
        <f>HYPERLINK("https://klasma.github.io/Logging_0360/kartor/A 54436-2023 karta.png", "A 54436-2023")</f>
        <v/>
      </c>
      <c r="V426">
        <f>HYPERLINK("https://klasma.github.io/Logging_0360/klagomål/A 54436-2023 FSC-klagomål.docx", "A 54436-2023")</f>
        <v/>
      </c>
      <c r="W426">
        <f>HYPERLINK("https://klasma.github.io/Logging_0360/klagomålsmail/A 54436-2023 FSC-klagomål mail.docx", "A 54436-2023")</f>
        <v/>
      </c>
      <c r="X426">
        <f>HYPERLINK("https://klasma.github.io/Logging_0360/tillsyn/A 54436-2023 tillsynsbegäran.docx", "A 54436-2023")</f>
        <v/>
      </c>
      <c r="Y426">
        <f>HYPERLINK("https://klasma.github.io/Logging_0360/tillsynsmail/A 54436-2023 tillsynsbegäran mail.docx", "A 54436-2023")</f>
        <v/>
      </c>
    </row>
    <row r="427" ht="15" customHeight="1">
      <c r="A427" t="inlineStr">
        <is>
          <t>A 55508-2023</t>
        </is>
      </c>
      <c r="B427" s="1" t="n">
        <v>45238</v>
      </c>
      <c r="C427" s="1" t="n">
        <v>45846</v>
      </c>
      <c r="D427" t="inlineStr">
        <is>
          <t>UPPSALA LÄN</t>
        </is>
      </c>
      <c r="E427" t="inlineStr">
        <is>
          <t>ÖSTHAMMAR</t>
        </is>
      </c>
      <c r="G427" t="n">
        <v>3.4</v>
      </c>
      <c r="H427" t="n">
        <v>1</v>
      </c>
      <c r="I427" t="n">
        <v>1</v>
      </c>
      <c r="J427" t="n">
        <v>1</v>
      </c>
      <c r="K427" t="n">
        <v>0</v>
      </c>
      <c r="L427" t="n">
        <v>0</v>
      </c>
      <c r="M427" t="n">
        <v>0</v>
      </c>
      <c r="N427" t="n">
        <v>0</v>
      </c>
      <c r="O427" t="n">
        <v>1</v>
      </c>
      <c r="P427" t="n">
        <v>0</v>
      </c>
      <c r="Q427" t="n">
        <v>2</v>
      </c>
      <c r="R427" s="2" t="inlineStr">
        <is>
          <t>Svart taggsvamp
Guckusko</t>
        </is>
      </c>
      <c r="S427">
        <f>HYPERLINK("https://klasma.github.io/Logging_0382/artfynd/A 55508-2023 artfynd.xlsx", "A 55508-2023")</f>
        <v/>
      </c>
      <c r="T427">
        <f>HYPERLINK("https://klasma.github.io/Logging_0382/kartor/A 55508-2023 karta.png", "A 55508-2023")</f>
        <v/>
      </c>
      <c r="V427">
        <f>HYPERLINK("https://klasma.github.io/Logging_0382/klagomål/A 55508-2023 FSC-klagomål.docx", "A 55508-2023")</f>
        <v/>
      </c>
      <c r="W427">
        <f>HYPERLINK("https://klasma.github.io/Logging_0382/klagomålsmail/A 55508-2023 FSC-klagomål mail.docx", "A 55508-2023")</f>
        <v/>
      </c>
      <c r="X427">
        <f>HYPERLINK("https://klasma.github.io/Logging_0382/tillsyn/A 55508-2023 tillsynsbegäran.docx", "A 55508-2023")</f>
        <v/>
      </c>
      <c r="Y427">
        <f>HYPERLINK("https://klasma.github.io/Logging_0382/tillsynsmail/A 55508-2023 tillsynsbegäran mail.docx", "A 55508-2023")</f>
        <v/>
      </c>
    </row>
    <row r="428" ht="15" customHeight="1">
      <c r="A428" t="inlineStr">
        <is>
          <t>A 55385-2023</t>
        </is>
      </c>
      <c r="B428" s="1" t="n">
        <v>45238</v>
      </c>
      <c r="C428" s="1" t="n">
        <v>45846</v>
      </c>
      <c r="D428" t="inlineStr">
        <is>
          <t>UPPSALA LÄN</t>
        </is>
      </c>
      <c r="E428" t="inlineStr">
        <is>
          <t>ÖSTHAMMAR</t>
        </is>
      </c>
      <c r="G428" t="n">
        <v>3</v>
      </c>
      <c r="H428" t="n">
        <v>1</v>
      </c>
      <c r="I428" t="n">
        <v>2</v>
      </c>
      <c r="J428" t="n">
        <v>0</v>
      </c>
      <c r="K428" t="n">
        <v>0</v>
      </c>
      <c r="L428" t="n">
        <v>0</v>
      </c>
      <c r="M428" t="n">
        <v>0</v>
      </c>
      <c r="N428" t="n">
        <v>0</v>
      </c>
      <c r="O428" t="n">
        <v>0</v>
      </c>
      <c r="P428" t="n">
        <v>0</v>
      </c>
      <c r="Q428" t="n">
        <v>2</v>
      </c>
      <c r="R428" s="2" t="inlineStr">
        <is>
          <t>Guckusko
Korallblylav</t>
        </is>
      </c>
      <c r="S428">
        <f>HYPERLINK("https://klasma.github.io/Logging_0382/artfynd/A 55385-2023 artfynd.xlsx", "A 55385-2023")</f>
        <v/>
      </c>
      <c r="T428">
        <f>HYPERLINK("https://klasma.github.io/Logging_0382/kartor/A 55385-2023 karta.png", "A 55385-2023")</f>
        <v/>
      </c>
      <c r="V428">
        <f>HYPERLINK("https://klasma.github.io/Logging_0382/klagomål/A 55385-2023 FSC-klagomål.docx", "A 55385-2023")</f>
        <v/>
      </c>
      <c r="W428">
        <f>HYPERLINK("https://klasma.github.io/Logging_0382/klagomålsmail/A 55385-2023 FSC-klagomål mail.docx", "A 55385-2023")</f>
        <v/>
      </c>
      <c r="X428">
        <f>HYPERLINK("https://klasma.github.io/Logging_0382/tillsyn/A 55385-2023 tillsynsbegäran.docx", "A 55385-2023")</f>
        <v/>
      </c>
      <c r="Y428">
        <f>HYPERLINK("https://klasma.github.io/Logging_0382/tillsynsmail/A 55385-2023 tillsynsbegäran mail.docx", "A 55385-2023")</f>
        <v/>
      </c>
    </row>
    <row r="429" ht="15" customHeight="1">
      <c r="A429" t="inlineStr">
        <is>
          <t>A 59283-2023</t>
        </is>
      </c>
      <c r="B429" s="1" t="n">
        <v>45253</v>
      </c>
      <c r="C429" s="1" t="n">
        <v>45846</v>
      </c>
      <c r="D429" t="inlineStr">
        <is>
          <t>UPPSALA LÄN</t>
        </is>
      </c>
      <c r="E429" t="inlineStr">
        <is>
          <t>ÖSTHAMMAR</t>
        </is>
      </c>
      <c r="G429" t="n">
        <v>2</v>
      </c>
      <c r="H429" t="n">
        <v>0</v>
      </c>
      <c r="I429" t="n">
        <v>0</v>
      </c>
      <c r="J429" t="n">
        <v>0</v>
      </c>
      <c r="K429" t="n">
        <v>2</v>
      </c>
      <c r="L429" t="n">
        <v>0</v>
      </c>
      <c r="M429" t="n">
        <v>0</v>
      </c>
      <c r="N429" t="n">
        <v>0</v>
      </c>
      <c r="O429" t="n">
        <v>2</v>
      </c>
      <c r="P429" t="n">
        <v>2</v>
      </c>
      <c r="Q429" t="n">
        <v>2</v>
      </c>
      <c r="R429" s="2" t="inlineStr">
        <is>
          <t>Koppartaggsvamp
Spricktaggsvamp</t>
        </is>
      </c>
      <c r="S429">
        <f>HYPERLINK("https://klasma.github.io/Logging_0382/artfynd/A 59283-2023 artfynd.xlsx", "A 59283-2023")</f>
        <v/>
      </c>
      <c r="T429">
        <f>HYPERLINK("https://klasma.github.io/Logging_0382/kartor/A 59283-2023 karta.png", "A 59283-2023")</f>
        <v/>
      </c>
      <c r="V429">
        <f>HYPERLINK("https://klasma.github.io/Logging_0382/klagomål/A 59283-2023 FSC-klagomål.docx", "A 59283-2023")</f>
        <v/>
      </c>
      <c r="W429">
        <f>HYPERLINK("https://klasma.github.io/Logging_0382/klagomålsmail/A 59283-2023 FSC-klagomål mail.docx", "A 59283-2023")</f>
        <v/>
      </c>
      <c r="X429">
        <f>HYPERLINK("https://klasma.github.io/Logging_0382/tillsyn/A 59283-2023 tillsynsbegäran.docx", "A 59283-2023")</f>
        <v/>
      </c>
      <c r="Y429">
        <f>HYPERLINK("https://klasma.github.io/Logging_0382/tillsynsmail/A 59283-2023 tillsynsbegäran mail.docx", "A 59283-2023")</f>
        <v/>
      </c>
    </row>
    <row r="430" ht="15" customHeight="1">
      <c r="A430" t="inlineStr">
        <is>
          <t>A 59949-2023</t>
        </is>
      </c>
      <c r="B430" s="1" t="n">
        <v>45257</v>
      </c>
      <c r="C430" s="1" t="n">
        <v>45846</v>
      </c>
      <c r="D430" t="inlineStr">
        <is>
          <t>UPPSALA LÄN</t>
        </is>
      </c>
      <c r="E430" t="inlineStr">
        <is>
          <t>TIERP</t>
        </is>
      </c>
      <c r="G430" t="n">
        <v>1.3</v>
      </c>
      <c r="H430" t="n">
        <v>0</v>
      </c>
      <c r="I430" t="n">
        <v>2</v>
      </c>
      <c r="J430" t="n">
        <v>0</v>
      </c>
      <c r="K430" t="n">
        <v>0</v>
      </c>
      <c r="L430" t="n">
        <v>0</v>
      </c>
      <c r="M430" t="n">
        <v>0</v>
      </c>
      <c r="N430" t="n">
        <v>0</v>
      </c>
      <c r="O430" t="n">
        <v>0</v>
      </c>
      <c r="P430" t="n">
        <v>0</v>
      </c>
      <c r="Q430" t="n">
        <v>2</v>
      </c>
      <c r="R430" s="2" t="inlineStr">
        <is>
          <t>Fjällig taggsvamp s.str.
Svavelriska</t>
        </is>
      </c>
      <c r="S430">
        <f>HYPERLINK("https://klasma.github.io/Logging_0360/artfynd/A 59949-2023 artfynd.xlsx", "A 59949-2023")</f>
        <v/>
      </c>
      <c r="T430">
        <f>HYPERLINK("https://klasma.github.io/Logging_0360/kartor/A 59949-2023 karta.png", "A 59949-2023")</f>
        <v/>
      </c>
      <c r="V430">
        <f>HYPERLINK("https://klasma.github.io/Logging_0360/klagomål/A 59949-2023 FSC-klagomål.docx", "A 59949-2023")</f>
        <v/>
      </c>
      <c r="W430">
        <f>HYPERLINK("https://klasma.github.io/Logging_0360/klagomålsmail/A 59949-2023 FSC-klagomål mail.docx", "A 59949-2023")</f>
        <v/>
      </c>
      <c r="X430">
        <f>HYPERLINK("https://klasma.github.io/Logging_0360/tillsyn/A 59949-2023 tillsynsbegäran.docx", "A 59949-2023")</f>
        <v/>
      </c>
      <c r="Y430">
        <f>HYPERLINK("https://klasma.github.io/Logging_0360/tillsynsmail/A 59949-2023 tillsynsbegäran mail.docx", "A 59949-2023")</f>
        <v/>
      </c>
    </row>
    <row r="431" ht="15" customHeight="1">
      <c r="A431" t="inlineStr">
        <is>
          <t>A 60458-2023</t>
        </is>
      </c>
      <c r="B431" s="1" t="n">
        <v>45259</v>
      </c>
      <c r="C431" s="1" t="n">
        <v>45846</v>
      </c>
      <c r="D431" t="inlineStr">
        <is>
          <t>UPPSALA LÄN</t>
        </is>
      </c>
      <c r="E431" t="inlineStr">
        <is>
          <t>ÄLVKARLEBY</t>
        </is>
      </c>
      <c r="F431" t="inlineStr">
        <is>
          <t>Bergvik skog öst AB</t>
        </is>
      </c>
      <c r="G431" t="n">
        <v>2.2</v>
      </c>
      <c r="H431" t="n">
        <v>1</v>
      </c>
      <c r="I431" t="n">
        <v>0</v>
      </c>
      <c r="J431" t="n">
        <v>0</v>
      </c>
      <c r="K431" t="n">
        <v>0</v>
      </c>
      <c r="L431" t="n">
        <v>2</v>
      </c>
      <c r="M431" t="n">
        <v>0</v>
      </c>
      <c r="N431" t="n">
        <v>0</v>
      </c>
      <c r="O431" t="n">
        <v>2</v>
      </c>
      <c r="P431" t="n">
        <v>2</v>
      </c>
      <c r="Q431" t="n">
        <v>2</v>
      </c>
      <c r="R431" s="2" t="inlineStr">
        <is>
          <t>Bredgentiana
Fältgentiana</t>
        </is>
      </c>
      <c r="S431">
        <f>HYPERLINK("https://klasma.github.io/Logging_0319/artfynd/A 60458-2023 artfynd.xlsx", "A 60458-2023")</f>
        <v/>
      </c>
      <c r="T431">
        <f>HYPERLINK("https://klasma.github.io/Logging_0319/kartor/A 60458-2023 karta.png", "A 60458-2023")</f>
        <v/>
      </c>
      <c r="V431">
        <f>HYPERLINK("https://klasma.github.io/Logging_0319/klagomål/A 60458-2023 FSC-klagomål.docx", "A 60458-2023")</f>
        <v/>
      </c>
      <c r="W431">
        <f>HYPERLINK("https://klasma.github.io/Logging_0319/klagomålsmail/A 60458-2023 FSC-klagomål mail.docx", "A 60458-2023")</f>
        <v/>
      </c>
      <c r="X431">
        <f>HYPERLINK("https://klasma.github.io/Logging_0319/tillsyn/A 60458-2023 tillsynsbegäran.docx", "A 60458-2023")</f>
        <v/>
      </c>
      <c r="Y431">
        <f>HYPERLINK("https://klasma.github.io/Logging_0319/tillsynsmail/A 60458-2023 tillsynsbegäran mail.docx", "A 60458-2023")</f>
        <v/>
      </c>
    </row>
    <row r="432" ht="15" customHeight="1">
      <c r="A432" t="inlineStr">
        <is>
          <t>A 60703-2023</t>
        </is>
      </c>
      <c r="B432" s="1" t="n">
        <v>45260</v>
      </c>
      <c r="C432" s="1" t="n">
        <v>45846</v>
      </c>
      <c r="D432" t="inlineStr">
        <is>
          <t>UPPSALA LÄN</t>
        </is>
      </c>
      <c r="E432" t="inlineStr">
        <is>
          <t>UPPSALA</t>
        </is>
      </c>
      <c r="G432" t="n">
        <v>1.6</v>
      </c>
      <c r="H432" t="n">
        <v>0</v>
      </c>
      <c r="I432" t="n">
        <v>2</v>
      </c>
      <c r="J432" t="n">
        <v>0</v>
      </c>
      <c r="K432" t="n">
        <v>0</v>
      </c>
      <c r="L432" t="n">
        <v>0</v>
      </c>
      <c r="M432" t="n">
        <v>0</v>
      </c>
      <c r="N432" t="n">
        <v>0</v>
      </c>
      <c r="O432" t="n">
        <v>0</v>
      </c>
      <c r="P432" t="n">
        <v>0</v>
      </c>
      <c r="Q432" t="n">
        <v>2</v>
      </c>
      <c r="R432" s="2" t="inlineStr">
        <is>
          <t>Kantjordstjärna
Svavelriska</t>
        </is>
      </c>
      <c r="S432">
        <f>HYPERLINK("https://klasma.github.io/Logging_0380/artfynd/A 60703-2023 artfynd.xlsx", "A 60703-2023")</f>
        <v/>
      </c>
      <c r="T432">
        <f>HYPERLINK("https://klasma.github.io/Logging_0380/kartor/A 60703-2023 karta.png", "A 60703-2023")</f>
        <v/>
      </c>
      <c r="V432">
        <f>HYPERLINK("https://klasma.github.io/Logging_0380/klagomål/A 60703-2023 FSC-klagomål.docx", "A 60703-2023")</f>
        <v/>
      </c>
      <c r="W432">
        <f>HYPERLINK("https://klasma.github.io/Logging_0380/klagomålsmail/A 60703-2023 FSC-klagomål mail.docx", "A 60703-2023")</f>
        <v/>
      </c>
      <c r="X432">
        <f>HYPERLINK("https://klasma.github.io/Logging_0380/tillsyn/A 60703-2023 tillsynsbegäran.docx", "A 60703-2023")</f>
        <v/>
      </c>
      <c r="Y432">
        <f>HYPERLINK("https://klasma.github.io/Logging_0380/tillsynsmail/A 60703-2023 tillsynsbegäran mail.docx", "A 60703-2023")</f>
        <v/>
      </c>
    </row>
    <row r="433" ht="15" customHeight="1">
      <c r="A433" t="inlineStr">
        <is>
          <t>A 60712-2023</t>
        </is>
      </c>
      <c r="B433" s="1" t="n">
        <v>45260</v>
      </c>
      <c r="C433" s="1" t="n">
        <v>45846</v>
      </c>
      <c r="D433" t="inlineStr">
        <is>
          <t>UPPSALA LÄN</t>
        </is>
      </c>
      <c r="E433" t="inlineStr">
        <is>
          <t>UPPSALA</t>
        </is>
      </c>
      <c r="G433" t="n">
        <v>1</v>
      </c>
      <c r="H433" t="n">
        <v>0</v>
      </c>
      <c r="I433" t="n">
        <v>1</v>
      </c>
      <c r="J433" t="n">
        <v>1</v>
      </c>
      <c r="K433" t="n">
        <v>0</v>
      </c>
      <c r="L433" t="n">
        <v>0</v>
      </c>
      <c r="M433" t="n">
        <v>0</v>
      </c>
      <c r="N433" t="n">
        <v>0</v>
      </c>
      <c r="O433" t="n">
        <v>1</v>
      </c>
      <c r="P433" t="n">
        <v>0</v>
      </c>
      <c r="Q433" t="n">
        <v>2</v>
      </c>
      <c r="R433" s="2" t="inlineStr">
        <is>
          <t>Tallticka
Blodticka</t>
        </is>
      </c>
      <c r="S433">
        <f>HYPERLINK("https://klasma.github.io/Logging_0380/artfynd/A 60712-2023 artfynd.xlsx", "A 60712-2023")</f>
        <v/>
      </c>
      <c r="T433">
        <f>HYPERLINK("https://klasma.github.io/Logging_0380/kartor/A 60712-2023 karta.png", "A 60712-2023")</f>
        <v/>
      </c>
      <c r="V433">
        <f>HYPERLINK("https://klasma.github.io/Logging_0380/klagomål/A 60712-2023 FSC-klagomål.docx", "A 60712-2023")</f>
        <v/>
      </c>
      <c r="W433">
        <f>HYPERLINK("https://klasma.github.io/Logging_0380/klagomålsmail/A 60712-2023 FSC-klagomål mail.docx", "A 60712-2023")</f>
        <v/>
      </c>
      <c r="X433">
        <f>HYPERLINK("https://klasma.github.io/Logging_0380/tillsyn/A 60712-2023 tillsynsbegäran.docx", "A 60712-2023")</f>
        <v/>
      </c>
      <c r="Y433">
        <f>HYPERLINK("https://klasma.github.io/Logging_0380/tillsynsmail/A 60712-2023 tillsynsbegäran mail.docx", "A 60712-2023")</f>
        <v/>
      </c>
    </row>
    <row r="434" ht="15" customHeight="1">
      <c r="A434" t="inlineStr">
        <is>
          <t>A 88-2024</t>
        </is>
      </c>
      <c r="B434" s="1" t="n">
        <v>45293</v>
      </c>
      <c r="C434" s="1" t="n">
        <v>45846</v>
      </c>
      <c r="D434" t="inlineStr">
        <is>
          <t>UPPSALA LÄN</t>
        </is>
      </c>
      <c r="E434" t="inlineStr">
        <is>
          <t>UPPSALA</t>
        </is>
      </c>
      <c r="G434" t="n">
        <v>2.1</v>
      </c>
      <c r="H434" t="n">
        <v>0</v>
      </c>
      <c r="I434" t="n">
        <v>0</v>
      </c>
      <c r="J434" t="n">
        <v>1</v>
      </c>
      <c r="K434" t="n">
        <v>0</v>
      </c>
      <c r="L434" t="n">
        <v>1</v>
      </c>
      <c r="M434" t="n">
        <v>0</v>
      </c>
      <c r="N434" t="n">
        <v>0</v>
      </c>
      <c r="O434" t="n">
        <v>2</v>
      </c>
      <c r="P434" t="n">
        <v>1</v>
      </c>
      <c r="Q434" t="n">
        <v>2</v>
      </c>
      <c r="R434" s="2" t="inlineStr">
        <is>
          <t>Ask
Gullklöver</t>
        </is>
      </c>
      <c r="S434">
        <f>HYPERLINK("https://klasma.github.io/Logging_0380/artfynd/A 88-2024 artfynd.xlsx", "A 88-2024")</f>
        <v/>
      </c>
      <c r="T434">
        <f>HYPERLINK("https://klasma.github.io/Logging_0380/kartor/A 88-2024 karta.png", "A 88-2024")</f>
        <v/>
      </c>
      <c r="V434">
        <f>HYPERLINK("https://klasma.github.io/Logging_0380/klagomål/A 88-2024 FSC-klagomål.docx", "A 88-2024")</f>
        <v/>
      </c>
      <c r="W434">
        <f>HYPERLINK("https://klasma.github.io/Logging_0380/klagomålsmail/A 88-2024 FSC-klagomål mail.docx", "A 88-2024")</f>
        <v/>
      </c>
      <c r="X434">
        <f>HYPERLINK("https://klasma.github.io/Logging_0380/tillsyn/A 88-2024 tillsynsbegäran.docx", "A 88-2024")</f>
        <v/>
      </c>
      <c r="Y434">
        <f>HYPERLINK("https://klasma.github.io/Logging_0380/tillsynsmail/A 88-2024 tillsynsbegäran mail.docx", "A 88-2024")</f>
        <v/>
      </c>
    </row>
    <row r="435" ht="15" customHeight="1">
      <c r="A435" t="inlineStr">
        <is>
          <t>A 140-2024</t>
        </is>
      </c>
      <c r="B435" s="1" t="n">
        <v>45294</v>
      </c>
      <c r="C435" s="1" t="n">
        <v>45846</v>
      </c>
      <c r="D435" t="inlineStr">
        <is>
          <t>UPPSALA LÄN</t>
        </is>
      </c>
      <c r="E435" t="inlineStr">
        <is>
          <t>TIERP</t>
        </is>
      </c>
      <c r="G435" t="n">
        <v>2.9</v>
      </c>
      <c r="H435" t="n">
        <v>2</v>
      </c>
      <c r="I435" t="n">
        <v>0</v>
      </c>
      <c r="J435" t="n">
        <v>2</v>
      </c>
      <c r="K435" t="n">
        <v>0</v>
      </c>
      <c r="L435" t="n">
        <v>0</v>
      </c>
      <c r="M435" t="n">
        <v>0</v>
      </c>
      <c r="N435" t="n">
        <v>0</v>
      </c>
      <c r="O435" t="n">
        <v>2</v>
      </c>
      <c r="P435" t="n">
        <v>0</v>
      </c>
      <c r="Q435" t="n">
        <v>2</v>
      </c>
      <c r="R435" s="2" t="inlineStr">
        <is>
          <t>Gulsparv
Ärtsångare</t>
        </is>
      </c>
      <c r="S435">
        <f>HYPERLINK("https://klasma.github.io/Logging_0360/artfynd/A 140-2024 artfynd.xlsx", "A 140-2024")</f>
        <v/>
      </c>
      <c r="T435">
        <f>HYPERLINK("https://klasma.github.io/Logging_0360/kartor/A 140-2024 karta.png", "A 140-2024")</f>
        <v/>
      </c>
      <c r="V435">
        <f>HYPERLINK("https://klasma.github.io/Logging_0360/klagomål/A 140-2024 FSC-klagomål.docx", "A 140-2024")</f>
        <v/>
      </c>
      <c r="W435">
        <f>HYPERLINK("https://klasma.github.io/Logging_0360/klagomålsmail/A 140-2024 FSC-klagomål mail.docx", "A 140-2024")</f>
        <v/>
      </c>
      <c r="X435">
        <f>HYPERLINK("https://klasma.github.io/Logging_0360/tillsyn/A 140-2024 tillsynsbegäran.docx", "A 140-2024")</f>
        <v/>
      </c>
      <c r="Y435">
        <f>HYPERLINK("https://klasma.github.io/Logging_0360/tillsynsmail/A 140-2024 tillsynsbegäran mail.docx", "A 140-2024")</f>
        <v/>
      </c>
      <c r="Z435">
        <f>HYPERLINK("https://klasma.github.io/Logging_0360/fåglar/A 140-2024 prioriterade fågelarter.docx", "A 140-2024")</f>
        <v/>
      </c>
    </row>
    <row r="436" ht="15" customHeight="1">
      <c r="A436" t="inlineStr">
        <is>
          <t>A 425-2024</t>
        </is>
      </c>
      <c r="B436" s="1" t="n">
        <v>45296</v>
      </c>
      <c r="C436" s="1" t="n">
        <v>45846</v>
      </c>
      <c r="D436" t="inlineStr">
        <is>
          <t>UPPSALA LÄN</t>
        </is>
      </c>
      <c r="E436" t="inlineStr">
        <is>
          <t>ENKÖPING</t>
        </is>
      </c>
      <c r="G436" t="n">
        <v>8.300000000000001</v>
      </c>
      <c r="H436" t="n">
        <v>2</v>
      </c>
      <c r="I436" t="n">
        <v>0</v>
      </c>
      <c r="J436" t="n">
        <v>0</v>
      </c>
      <c r="K436" t="n">
        <v>0</v>
      </c>
      <c r="L436" t="n">
        <v>0</v>
      </c>
      <c r="M436" t="n">
        <v>0</v>
      </c>
      <c r="N436" t="n">
        <v>0</v>
      </c>
      <c r="O436" t="n">
        <v>0</v>
      </c>
      <c r="P436" t="n">
        <v>0</v>
      </c>
      <c r="Q436" t="n">
        <v>2</v>
      </c>
      <c r="R436" s="2" t="inlineStr">
        <is>
          <t>Grönsiska
Orre</t>
        </is>
      </c>
      <c r="S436">
        <f>HYPERLINK("https://klasma.github.io/Logging_0381/artfynd/A 425-2024 artfynd.xlsx", "A 425-2024")</f>
        <v/>
      </c>
      <c r="T436">
        <f>HYPERLINK("https://klasma.github.io/Logging_0381/kartor/A 425-2024 karta.png", "A 425-2024")</f>
        <v/>
      </c>
      <c r="V436">
        <f>HYPERLINK("https://klasma.github.io/Logging_0381/klagomål/A 425-2024 FSC-klagomål.docx", "A 425-2024")</f>
        <v/>
      </c>
      <c r="W436">
        <f>HYPERLINK("https://klasma.github.io/Logging_0381/klagomålsmail/A 425-2024 FSC-klagomål mail.docx", "A 425-2024")</f>
        <v/>
      </c>
      <c r="X436">
        <f>HYPERLINK("https://klasma.github.io/Logging_0381/tillsyn/A 425-2024 tillsynsbegäran.docx", "A 425-2024")</f>
        <v/>
      </c>
      <c r="Y436">
        <f>HYPERLINK("https://klasma.github.io/Logging_0381/tillsynsmail/A 425-2024 tillsynsbegäran mail.docx", "A 425-2024")</f>
        <v/>
      </c>
      <c r="Z436">
        <f>HYPERLINK("https://klasma.github.io/Logging_0381/fåglar/A 425-2024 prioriterade fågelarter.docx", "A 425-2024")</f>
        <v/>
      </c>
    </row>
    <row r="437" ht="15" customHeight="1">
      <c r="A437" t="inlineStr">
        <is>
          <t>A 2554-2024</t>
        </is>
      </c>
      <c r="B437" s="1" t="n">
        <v>45313</v>
      </c>
      <c r="C437" s="1" t="n">
        <v>45846</v>
      </c>
      <c r="D437" t="inlineStr">
        <is>
          <t>UPPSALA LÄN</t>
        </is>
      </c>
      <c r="E437" t="inlineStr">
        <is>
          <t>HEBY</t>
        </is>
      </c>
      <c r="G437" t="n">
        <v>2.4</v>
      </c>
      <c r="H437" t="n">
        <v>1</v>
      </c>
      <c r="I437" t="n">
        <v>0</v>
      </c>
      <c r="J437" t="n">
        <v>1</v>
      </c>
      <c r="K437" t="n">
        <v>1</v>
      </c>
      <c r="L437" t="n">
        <v>0</v>
      </c>
      <c r="M437" t="n">
        <v>0</v>
      </c>
      <c r="N437" t="n">
        <v>0</v>
      </c>
      <c r="O437" t="n">
        <v>2</v>
      </c>
      <c r="P437" t="n">
        <v>1</v>
      </c>
      <c r="Q437" t="n">
        <v>2</v>
      </c>
      <c r="R437" s="2" t="inlineStr">
        <is>
          <t>Knärot
Motaggsvamp</t>
        </is>
      </c>
      <c r="S437">
        <f>HYPERLINK("https://klasma.github.io/Logging_0331/artfynd/A 2554-2024 artfynd.xlsx", "A 2554-2024")</f>
        <v/>
      </c>
      <c r="T437">
        <f>HYPERLINK("https://klasma.github.io/Logging_0331/kartor/A 2554-2024 karta.png", "A 2554-2024")</f>
        <v/>
      </c>
      <c r="U437">
        <f>HYPERLINK("https://klasma.github.io/Logging_0331/knärot/A 2554-2024 karta knärot.png", "A 2554-2024")</f>
        <v/>
      </c>
      <c r="V437">
        <f>HYPERLINK("https://klasma.github.io/Logging_0331/klagomål/A 2554-2024 FSC-klagomål.docx", "A 2554-2024")</f>
        <v/>
      </c>
      <c r="W437">
        <f>HYPERLINK("https://klasma.github.io/Logging_0331/klagomålsmail/A 2554-2024 FSC-klagomål mail.docx", "A 2554-2024")</f>
        <v/>
      </c>
      <c r="X437">
        <f>HYPERLINK("https://klasma.github.io/Logging_0331/tillsyn/A 2554-2024 tillsynsbegäran.docx", "A 2554-2024")</f>
        <v/>
      </c>
      <c r="Y437">
        <f>HYPERLINK("https://klasma.github.io/Logging_0331/tillsynsmail/A 2554-2024 tillsynsbegäran mail.docx", "A 2554-2024")</f>
        <v/>
      </c>
    </row>
    <row r="438" ht="15" customHeight="1">
      <c r="A438" t="inlineStr">
        <is>
          <t>A 5185-2024</t>
        </is>
      </c>
      <c r="B438" s="1" t="n">
        <v>45330</v>
      </c>
      <c r="C438" s="1" t="n">
        <v>45846</v>
      </c>
      <c r="D438" t="inlineStr">
        <is>
          <t>UPPSALA LÄN</t>
        </is>
      </c>
      <c r="E438" t="inlineStr">
        <is>
          <t>UPPSALA</t>
        </is>
      </c>
      <c r="F438" t="inlineStr">
        <is>
          <t>Övriga Aktiebolag</t>
        </is>
      </c>
      <c r="G438" t="n">
        <v>13.1</v>
      </c>
      <c r="H438" t="n">
        <v>0</v>
      </c>
      <c r="I438" t="n">
        <v>1</v>
      </c>
      <c r="J438" t="n">
        <v>1</v>
      </c>
      <c r="K438" t="n">
        <v>0</v>
      </c>
      <c r="L438" t="n">
        <v>0</v>
      </c>
      <c r="M438" t="n">
        <v>0</v>
      </c>
      <c r="N438" t="n">
        <v>0</v>
      </c>
      <c r="O438" t="n">
        <v>1</v>
      </c>
      <c r="P438" t="n">
        <v>0</v>
      </c>
      <c r="Q438" t="n">
        <v>2</v>
      </c>
      <c r="R438" s="2" t="inlineStr">
        <is>
          <t>Skogsklocka
Sotlav</t>
        </is>
      </c>
      <c r="S438">
        <f>HYPERLINK("https://klasma.github.io/Logging_0380/artfynd/A 5185-2024 artfynd.xlsx", "A 5185-2024")</f>
        <v/>
      </c>
      <c r="T438">
        <f>HYPERLINK("https://klasma.github.io/Logging_0380/kartor/A 5185-2024 karta.png", "A 5185-2024")</f>
        <v/>
      </c>
      <c r="V438">
        <f>HYPERLINK("https://klasma.github.io/Logging_0380/klagomål/A 5185-2024 FSC-klagomål.docx", "A 5185-2024")</f>
        <v/>
      </c>
      <c r="W438">
        <f>HYPERLINK("https://klasma.github.io/Logging_0380/klagomålsmail/A 5185-2024 FSC-klagomål mail.docx", "A 5185-2024")</f>
        <v/>
      </c>
      <c r="X438">
        <f>HYPERLINK("https://klasma.github.io/Logging_0380/tillsyn/A 5185-2024 tillsynsbegäran.docx", "A 5185-2024")</f>
        <v/>
      </c>
      <c r="Y438">
        <f>HYPERLINK("https://klasma.github.io/Logging_0380/tillsynsmail/A 5185-2024 tillsynsbegäran mail.docx", "A 5185-2024")</f>
        <v/>
      </c>
    </row>
    <row r="439" ht="15" customHeight="1">
      <c r="A439" t="inlineStr">
        <is>
          <t>A 9646-2024</t>
        </is>
      </c>
      <c r="B439" s="1" t="n">
        <v>45362</v>
      </c>
      <c r="C439" s="1" t="n">
        <v>45846</v>
      </c>
      <c r="D439" t="inlineStr">
        <is>
          <t>UPPSALA LÄN</t>
        </is>
      </c>
      <c r="E439" t="inlineStr">
        <is>
          <t>ÖSTHAMMAR</t>
        </is>
      </c>
      <c r="G439" t="n">
        <v>1.6</v>
      </c>
      <c r="H439" t="n">
        <v>0</v>
      </c>
      <c r="I439" t="n">
        <v>0</v>
      </c>
      <c r="J439" t="n">
        <v>1</v>
      </c>
      <c r="K439" t="n">
        <v>1</v>
      </c>
      <c r="L439" t="n">
        <v>0</v>
      </c>
      <c r="M439" t="n">
        <v>0</v>
      </c>
      <c r="N439" t="n">
        <v>0</v>
      </c>
      <c r="O439" t="n">
        <v>2</v>
      </c>
      <c r="P439" t="n">
        <v>1</v>
      </c>
      <c r="Q439" t="n">
        <v>2</v>
      </c>
      <c r="R439" s="2" t="inlineStr">
        <is>
          <t>Violgubbe
Gultoppig fingersvamp</t>
        </is>
      </c>
      <c r="S439">
        <f>HYPERLINK("https://klasma.github.io/Logging_0382/artfynd/A 9646-2024 artfynd.xlsx", "A 9646-2024")</f>
        <v/>
      </c>
      <c r="T439">
        <f>HYPERLINK("https://klasma.github.io/Logging_0382/kartor/A 9646-2024 karta.png", "A 9646-2024")</f>
        <v/>
      </c>
      <c r="V439">
        <f>HYPERLINK("https://klasma.github.io/Logging_0382/klagomål/A 9646-2024 FSC-klagomål.docx", "A 9646-2024")</f>
        <v/>
      </c>
      <c r="W439">
        <f>HYPERLINK("https://klasma.github.io/Logging_0382/klagomålsmail/A 9646-2024 FSC-klagomål mail.docx", "A 9646-2024")</f>
        <v/>
      </c>
      <c r="X439">
        <f>HYPERLINK("https://klasma.github.io/Logging_0382/tillsyn/A 9646-2024 tillsynsbegäran.docx", "A 9646-2024")</f>
        <v/>
      </c>
      <c r="Y439">
        <f>HYPERLINK("https://klasma.github.io/Logging_0382/tillsynsmail/A 9646-2024 tillsynsbegäran mail.docx", "A 9646-2024")</f>
        <v/>
      </c>
    </row>
    <row r="440" ht="15" customHeight="1">
      <c r="A440" t="inlineStr">
        <is>
          <t>A 11230-2024</t>
        </is>
      </c>
      <c r="B440" s="1" t="n">
        <v>45371</v>
      </c>
      <c r="C440" s="1" t="n">
        <v>45846</v>
      </c>
      <c r="D440" t="inlineStr">
        <is>
          <t>UPPSALA LÄN</t>
        </is>
      </c>
      <c r="E440" t="inlineStr">
        <is>
          <t>UPPSALA</t>
        </is>
      </c>
      <c r="F440" t="inlineStr">
        <is>
          <t>Kommuner</t>
        </is>
      </c>
      <c r="G440" t="n">
        <v>2.1</v>
      </c>
      <c r="H440" t="n">
        <v>0</v>
      </c>
      <c r="I440" t="n">
        <v>1</v>
      </c>
      <c r="J440" t="n">
        <v>1</v>
      </c>
      <c r="K440" t="n">
        <v>0</v>
      </c>
      <c r="L440" t="n">
        <v>0</v>
      </c>
      <c r="M440" t="n">
        <v>0</v>
      </c>
      <c r="N440" t="n">
        <v>0</v>
      </c>
      <c r="O440" t="n">
        <v>1</v>
      </c>
      <c r="P440" t="n">
        <v>0</v>
      </c>
      <c r="Q440" t="n">
        <v>2</v>
      </c>
      <c r="R440" s="2" t="inlineStr">
        <is>
          <t>Tallticka
Fällmossa</t>
        </is>
      </c>
      <c r="S440">
        <f>HYPERLINK("https://klasma.github.io/Logging_0380/artfynd/A 11230-2024 artfynd.xlsx", "A 11230-2024")</f>
        <v/>
      </c>
      <c r="T440">
        <f>HYPERLINK("https://klasma.github.io/Logging_0380/kartor/A 11230-2024 karta.png", "A 11230-2024")</f>
        <v/>
      </c>
      <c r="V440">
        <f>HYPERLINK("https://klasma.github.io/Logging_0380/klagomål/A 11230-2024 FSC-klagomål.docx", "A 11230-2024")</f>
        <v/>
      </c>
      <c r="W440">
        <f>HYPERLINK("https://klasma.github.io/Logging_0380/klagomålsmail/A 11230-2024 FSC-klagomål mail.docx", "A 11230-2024")</f>
        <v/>
      </c>
      <c r="X440">
        <f>HYPERLINK("https://klasma.github.io/Logging_0380/tillsyn/A 11230-2024 tillsynsbegäran.docx", "A 11230-2024")</f>
        <v/>
      </c>
      <c r="Y440">
        <f>HYPERLINK("https://klasma.github.io/Logging_0380/tillsynsmail/A 11230-2024 tillsynsbegäran mail.docx", "A 11230-2024")</f>
        <v/>
      </c>
    </row>
    <row r="441" ht="15" customHeight="1">
      <c r="A441" t="inlineStr">
        <is>
          <t>A 11224-2024</t>
        </is>
      </c>
      <c r="B441" s="1" t="n">
        <v>45371</v>
      </c>
      <c r="C441" s="1" t="n">
        <v>45846</v>
      </c>
      <c r="D441" t="inlineStr">
        <is>
          <t>UPPSALA LÄN</t>
        </is>
      </c>
      <c r="E441" t="inlineStr">
        <is>
          <t>UPPSALA</t>
        </is>
      </c>
      <c r="F441" t="inlineStr">
        <is>
          <t>Kommuner</t>
        </is>
      </c>
      <c r="G441" t="n">
        <v>1.6</v>
      </c>
      <c r="H441" t="n">
        <v>2</v>
      </c>
      <c r="I441" t="n">
        <v>0</v>
      </c>
      <c r="J441" t="n">
        <v>0</v>
      </c>
      <c r="K441" t="n">
        <v>0</v>
      </c>
      <c r="L441" t="n">
        <v>0</v>
      </c>
      <c r="M441" t="n">
        <v>0</v>
      </c>
      <c r="N441" t="n">
        <v>0</v>
      </c>
      <c r="O441" t="n">
        <v>0</v>
      </c>
      <c r="P441" t="n">
        <v>0</v>
      </c>
      <c r="Q441" t="n">
        <v>2</v>
      </c>
      <c r="R441" s="2" t="inlineStr">
        <is>
          <t>Vanlig padda
Blåsippa</t>
        </is>
      </c>
      <c r="S441">
        <f>HYPERLINK("https://klasma.github.io/Logging_0380/artfynd/A 11224-2024 artfynd.xlsx", "A 11224-2024")</f>
        <v/>
      </c>
      <c r="T441">
        <f>HYPERLINK("https://klasma.github.io/Logging_0380/kartor/A 11224-2024 karta.png", "A 11224-2024")</f>
        <v/>
      </c>
      <c r="V441">
        <f>HYPERLINK("https://klasma.github.io/Logging_0380/klagomål/A 11224-2024 FSC-klagomål.docx", "A 11224-2024")</f>
        <v/>
      </c>
      <c r="W441">
        <f>HYPERLINK("https://klasma.github.io/Logging_0380/klagomålsmail/A 11224-2024 FSC-klagomål mail.docx", "A 11224-2024")</f>
        <v/>
      </c>
      <c r="X441">
        <f>HYPERLINK("https://klasma.github.io/Logging_0380/tillsyn/A 11224-2024 tillsynsbegäran.docx", "A 11224-2024")</f>
        <v/>
      </c>
      <c r="Y441">
        <f>HYPERLINK("https://klasma.github.io/Logging_0380/tillsynsmail/A 11224-2024 tillsynsbegäran mail.docx", "A 11224-2024")</f>
        <v/>
      </c>
    </row>
    <row r="442" ht="15" customHeight="1">
      <c r="A442" t="inlineStr">
        <is>
          <t>A 11449-2024</t>
        </is>
      </c>
      <c r="B442" s="1" t="n">
        <v>45372</v>
      </c>
      <c r="C442" s="1" t="n">
        <v>45846</v>
      </c>
      <c r="D442" t="inlineStr">
        <is>
          <t>UPPSALA LÄN</t>
        </is>
      </c>
      <c r="E442" t="inlineStr">
        <is>
          <t>TIERP</t>
        </is>
      </c>
      <c r="G442" t="n">
        <v>1.9</v>
      </c>
      <c r="H442" t="n">
        <v>0</v>
      </c>
      <c r="I442" t="n">
        <v>1</v>
      </c>
      <c r="J442" t="n">
        <v>1</v>
      </c>
      <c r="K442" t="n">
        <v>0</v>
      </c>
      <c r="L442" t="n">
        <v>0</v>
      </c>
      <c r="M442" t="n">
        <v>0</v>
      </c>
      <c r="N442" t="n">
        <v>0</v>
      </c>
      <c r="O442" t="n">
        <v>1</v>
      </c>
      <c r="P442" t="n">
        <v>0</v>
      </c>
      <c r="Q442" t="n">
        <v>2</v>
      </c>
      <c r="R442" s="2" t="inlineStr">
        <is>
          <t>Blek fingersvamp
Rödgul trumpetsvamp</t>
        </is>
      </c>
      <c r="S442">
        <f>HYPERLINK("https://klasma.github.io/Logging_0360/artfynd/A 11449-2024 artfynd.xlsx", "A 11449-2024")</f>
        <v/>
      </c>
      <c r="T442">
        <f>HYPERLINK("https://klasma.github.io/Logging_0360/kartor/A 11449-2024 karta.png", "A 11449-2024")</f>
        <v/>
      </c>
      <c r="V442">
        <f>HYPERLINK("https://klasma.github.io/Logging_0360/klagomål/A 11449-2024 FSC-klagomål.docx", "A 11449-2024")</f>
        <v/>
      </c>
      <c r="W442">
        <f>HYPERLINK("https://klasma.github.io/Logging_0360/klagomålsmail/A 11449-2024 FSC-klagomål mail.docx", "A 11449-2024")</f>
        <v/>
      </c>
      <c r="X442">
        <f>HYPERLINK("https://klasma.github.io/Logging_0360/tillsyn/A 11449-2024 tillsynsbegäran.docx", "A 11449-2024")</f>
        <v/>
      </c>
      <c r="Y442">
        <f>HYPERLINK("https://klasma.github.io/Logging_0360/tillsynsmail/A 11449-2024 tillsynsbegäran mail.docx", "A 11449-2024")</f>
        <v/>
      </c>
    </row>
    <row r="443" ht="15" customHeight="1">
      <c r="A443" t="inlineStr">
        <is>
          <t>A 11695-2024</t>
        </is>
      </c>
      <c r="B443" s="1" t="n">
        <v>45373</v>
      </c>
      <c r="C443" s="1" t="n">
        <v>45846</v>
      </c>
      <c r="D443" t="inlineStr">
        <is>
          <t>UPPSALA LÄN</t>
        </is>
      </c>
      <c r="E443" t="inlineStr">
        <is>
          <t>ÖSTHAMMAR</t>
        </is>
      </c>
      <c r="G443" t="n">
        <v>2</v>
      </c>
      <c r="H443" t="n">
        <v>0</v>
      </c>
      <c r="I443" t="n">
        <v>2</v>
      </c>
      <c r="J443" t="n">
        <v>0</v>
      </c>
      <c r="K443" t="n">
        <v>0</v>
      </c>
      <c r="L443" t="n">
        <v>0</v>
      </c>
      <c r="M443" t="n">
        <v>0</v>
      </c>
      <c r="N443" t="n">
        <v>0</v>
      </c>
      <c r="O443" t="n">
        <v>0</v>
      </c>
      <c r="P443" t="n">
        <v>0</v>
      </c>
      <c r="Q443" t="n">
        <v>2</v>
      </c>
      <c r="R443" s="2" t="inlineStr">
        <is>
          <t>Blåmossa
Fjällig taggsvamp s.str.</t>
        </is>
      </c>
      <c r="S443">
        <f>HYPERLINK("https://klasma.github.io/Logging_0382/artfynd/A 11695-2024 artfynd.xlsx", "A 11695-2024")</f>
        <v/>
      </c>
      <c r="T443">
        <f>HYPERLINK("https://klasma.github.io/Logging_0382/kartor/A 11695-2024 karta.png", "A 11695-2024")</f>
        <v/>
      </c>
      <c r="V443">
        <f>HYPERLINK("https://klasma.github.io/Logging_0382/klagomål/A 11695-2024 FSC-klagomål.docx", "A 11695-2024")</f>
        <v/>
      </c>
      <c r="W443">
        <f>HYPERLINK("https://klasma.github.io/Logging_0382/klagomålsmail/A 11695-2024 FSC-klagomål mail.docx", "A 11695-2024")</f>
        <v/>
      </c>
      <c r="X443">
        <f>HYPERLINK("https://klasma.github.io/Logging_0382/tillsyn/A 11695-2024 tillsynsbegäran.docx", "A 11695-2024")</f>
        <v/>
      </c>
      <c r="Y443">
        <f>HYPERLINK("https://klasma.github.io/Logging_0382/tillsynsmail/A 11695-2024 tillsynsbegäran mail.docx", "A 11695-2024")</f>
        <v/>
      </c>
    </row>
    <row r="444" ht="15" customHeight="1">
      <c r="A444" t="inlineStr">
        <is>
          <t>A 12039-2024</t>
        </is>
      </c>
      <c r="B444" s="1" t="n">
        <v>45377</v>
      </c>
      <c r="C444" s="1" t="n">
        <v>45846</v>
      </c>
      <c r="D444" t="inlineStr">
        <is>
          <t>UPPSALA LÄN</t>
        </is>
      </c>
      <c r="E444" t="inlineStr">
        <is>
          <t>UPPSALA</t>
        </is>
      </c>
      <c r="F444" t="inlineStr">
        <is>
          <t>Allmännings- och besparingsskogar</t>
        </is>
      </c>
      <c r="G444" t="n">
        <v>3.9</v>
      </c>
      <c r="H444" t="n">
        <v>1</v>
      </c>
      <c r="I444" t="n">
        <v>1</v>
      </c>
      <c r="J444" t="n">
        <v>1</v>
      </c>
      <c r="K444" t="n">
        <v>0</v>
      </c>
      <c r="L444" t="n">
        <v>0</v>
      </c>
      <c r="M444" t="n">
        <v>0</v>
      </c>
      <c r="N444" t="n">
        <v>0</v>
      </c>
      <c r="O444" t="n">
        <v>1</v>
      </c>
      <c r="P444" t="n">
        <v>0</v>
      </c>
      <c r="Q444" t="n">
        <v>2</v>
      </c>
      <c r="R444" s="2" t="inlineStr">
        <is>
          <t>Platt spretmossa
Grön sköldmossa</t>
        </is>
      </c>
      <c r="S444">
        <f>HYPERLINK("https://klasma.github.io/Logging_0380/artfynd/A 12039-2024 artfynd.xlsx", "A 12039-2024")</f>
        <v/>
      </c>
      <c r="T444">
        <f>HYPERLINK("https://klasma.github.io/Logging_0380/kartor/A 12039-2024 karta.png", "A 12039-2024")</f>
        <v/>
      </c>
      <c r="V444">
        <f>HYPERLINK("https://klasma.github.io/Logging_0380/klagomål/A 12039-2024 FSC-klagomål.docx", "A 12039-2024")</f>
        <v/>
      </c>
      <c r="W444">
        <f>HYPERLINK("https://klasma.github.io/Logging_0380/klagomålsmail/A 12039-2024 FSC-klagomål mail.docx", "A 12039-2024")</f>
        <v/>
      </c>
      <c r="X444">
        <f>HYPERLINK("https://klasma.github.io/Logging_0380/tillsyn/A 12039-2024 tillsynsbegäran.docx", "A 12039-2024")</f>
        <v/>
      </c>
      <c r="Y444">
        <f>HYPERLINK("https://klasma.github.io/Logging_0380/tillsynsmail/A 12039-2024 tillsynsbegäran mail.docx", "A 12039-2024")</f>
        <v/>
      </c>
    </row>
    <row r="445" ht="15" customHeight="1">
      <c r="A445" t="inlineStr">
        <is>
          <t>A 12971-2024</t>
        </is>
      </c>
      <c r="B445" s="1" t="n">
        <v>45385</v>
      </c>
      <c r="C445" s="1" t="n">
        <v>45846</v>
      </c>
      <c r="D445" t="inlineStr">
        <is>
          <t>UPPSALA LÄN</t>
        </is>
      </c>
      <c r="E445" t="inlineStr">
        <is>
          <t>TIERP</t>
        </is>
      </c>
      <c r="G445" t="n">
        <v>21.4</v>
      </c>
      <c r="H445" t="n">
        <v>2</v>
      </c>
      <c r="I445" t="n">
        <v>0</v>
      </c>
      <c r="J445" t="n">
        <v>2</v>
      </c>
      <c r="K445" t="n">
        <v>0</v>
      </c>
      <c r="L445" t="n">
        <v>0</v>
      </c>
      <c r="M445" t="n">
        <v>0</v>
      </c>
      <c r="N445" t="n">
        <v>0</v>
      </c>
      <c r="O445" t="n">
        <v>2</v>
      </c>
      <c r="P445" t="n">
        <v>0</v>
      </c>
      <c r="Q445" t="n">
        <v>2</v>
      </c>
      <c r="R445" s="2" t="inlineStr">
        <is>
          <t>Entita
Rödvingetrast</t>
        </is>
      </c>
      <c r="S445">
        <f>HYPERLINK("https://klasma.github.io/Logging_0360/artfynd/A 12971-2024 artfynd.xlsx", "A 12971-2024")</f>
        <v/>
      </c>
      <c r="T445">
        <f>HYPERLINK("https://klasma.github.io/Logging_0360/kartor/A 12971-2024 karta.png", "A 12971-2024")</f>
        <v/>
      </c>
      <c r="V445">
        <f>HYPERLINK("https://klasma.github.io/Logging_0360/klagomål/A 12971-2024 FSC-klagomål.docx", "A 12971-2024")</f>
        <v/>
      </c>
      <c r="W445">
        <f>HYPERLINK("https://klasma.github.io/Logging_0360/klagomålsmail/A 12971-2024 FSC-klagomål mail.docx", "A 12971-2024")</f>
        <v/>
      </c>
      <c r="X445">
        <f>HYPERLINK("https://klasma.github.io/Logging_0360/tillsyn/A 12971-2024 tillsynsbegäran.docx", "A 12971-2024")</f>
        <v/>
      </c>
      <c r="Y445">
        <f>HYPERLINK("https://klasma.github.io/Logging_0360/tillsynsmail/A 12971-2024 tillsynsbegäran mail.docx", "A 12971-2024")</f>
        <v/>
      </c>
      <c r="Z445">
        <f>HYPERLINK("https://klasma.github.io/Logging_0360/fåglar/A 12971-2024 prioriterade fågelarter.docx", "A 12971-2024")</f>
        <v/>
      </c>
    </row>
    <row r="446" ht="15" customHeight="1">
      <c r="A446" t="inlineStr">
        <is>
          <t>A 15040-2024</t>
        </is>
      </c>
      <c r="B446" s="1" t="n">
        <v>45399</v>
      </c>
      <c r="C446" s="1" t="n">
        <v>45846</v>
      </c>
      <c r="D446" t="inlineStr">
        <is>
          <t>UPPSALA LÄN</t>
        </is>
      </c>
      <c r="E446" t="inlineStr">
        <is>
          <t>TIERP</t>
        </is>
      </c>
      <c r="G446" t="n">
        <v>7.2</v>
      </c>
      <c r="H446" t="n">
        <v>1</v>
      </c>
      <c r="I446" t="n">
        <v>2</v>
      </c>
      <c r="J446" t="n">
        <v>0</v>
      </c>
      <c r="K446" t="n">
        <v>0</v>
      </c>
      <c r="L446" t="n">
        <v>0</v>
      </c>
      <c r="M446" t="n">
        <v>0</v>
      </c>
      <c r="N446" t="n">
        <v>0</v>
      </c>
      <c r="O446" t="n">
        <v>0</v>
      </c>
      <c r="P446" t="n">
        <v>0</v>
      </c>
      <c r="Q446" t="n">
        <v>2</v>
      </c>
      <c r="R446" s="2" t="inlineStr">
        <is>
          <t>Granbräken
Grönkulla</t>
        </is>
      </c>
      <c r="S446">
        <f>HYPERLINK("https://klasma.github.io/Logging_0360/artfynd/A 15040-2024 artfynd.xlsx", "A 15040-2024")</f>
        <v/>
      </c>
      <c r="T446">
        <f>HYPERLINK("https://klasma.github.io/Logging_0360/kartor/A 15040-2024 karta.png", "A 15040-2024")</f>
        <v/>
      </c>
      <c r="V446">
        <f>HYPERLINK("https://klasma.github.io/Logging_0360/klagomål/A 15040-2024 FSC-klagomål.docx", "A 15040-2024")</f>
        <v/>
      </c>
      <c r="W446">
        <f>HYPERLINK("https://klasma.github.io/Logging_0360/klagomålsmail/A 15040-2024 FSC-klagomål mail.docx", "A 15040-2024")</f>
        <v/>
      </c>
      <c r="X446">
        <f>HYPERLINK("https://klasma.github.io/Logging_0360/tillsyn/A 15040-2024 tillsynsbegäran.docx", "A 15040-2024")</f>
        <v/>
      </c>
      <c r="Y446">
        <f>HYPERLINK("https://klasma.github.io/Logging_0360/tillsynsmail/A 15040-2024 tillsynsbegäran mail.docx", "A 15040-2024")</f>
        <v/>
      </c>
    </row>
    <row r="447" ht="15" customHeight="1">
      <c r="A447" t="inlineStr">
        <is>
          <t>A 18347-2024</t>
        </is>
      </c>
      <c r="B447" s="1" t="n">
        <v>45422</v>
      </c>
      <c r="C447" s="1" t="n">
        <v>45846</v>
      </c>
      <c r="D447" t="inlineStr">
        <is>
          <t>UPPSALA LÄN</t>
        </is>
      </c>
      <c r="E447" t="inlineStr">
        <is>
          <t>UPPSALA</t>
        </is>
      </c>
      <c r="F447" t="inlineStr">
        <is>
          <t>Holmen skog AB</t>
        </is>
      </c>
      <c r="G447" t="n">
        <v>3.5</v>
      </c>
      <c r="H447" t="n">
        <v>1</v>
      </c>
      <c r="I447" t="n">
        <v>1</v>
      </c>
      <c r="J447" t="n">
        <v>0</v>
      </c>
      <c r="K447" t="n">
        <v>0</v>
      </c>
      <c r="L447" t="n">
        <v>0</v>
      </c>
      <c r="M447" t="n">
        <v>0</v>
      </c>
      <c r="N447" t="n">
        <v>0</v>
      </c>
      <c r="O447" t="n">
        <v>0</v>
      </c>
      <c r="P447" t="n">
        <v>0</v>
      </c>
      <c r="Q447" t="n">
        <v>2</v>
      </c>
      <c r="R447" s="2" t="inlineStr">
        <is>
          <t>Fällmossa
Blåsippa</t>
        </is>
      </c>
      <c r="S447">
        <f>HYPERLINK("https://klasma.github.io/Logging_0380/artfynd/A 18347-2024 artfynd.xlsx", "A 18347-2024")</f>
        <v/>
      </c>
      <c r="T447">
        <f>HYPERLINK("https://klasma.github.io/Logging_0380/kartor/A 18347-2024 karta.png", "A 18347-2024")</f>
        <v/>
      </c>
      <c r="V447">
        <f>HYPERLINK("https://klasma.github.io/Logging_0380/klagomål/A 18347-2024 FSC-klagomål.docx", "A 18347-2024")</f>
        <v/>
      </c>
      <c r="W447">
        <f>HYPERLINK("https://klasma.github.io/Logging_0380/klagomålsmail/A 18347-2024 FSC-klagomål mail.docx", "A 18347-2024")</f>
        <v/>
      </c>
      <c r="X447">
        <f>HYPERLINK("https://klasma.github.io/Logging_0380/tillsyn/A 18347-2024 tillsynsbegäran.docx", "A 18347-2024")</f>
        <v/>
      </c>
      <c r="Y447">
        <f>HYPERLINK("https://klasma.github.io/Logging_0380/tillsynsmail/A 18347-2024 tillsynsbegäran mail.docx", "A 18347-2024")</f>
        <v/>
      </c>
    </row>
    <row r="448" ht="15" customHeight="1">
      <c r="A448" t="inlineStr">
        <is>
          <t>A 18539-2024</t>
        </is>
      </c>
      <c r="B448" s="1" t="n">
        <v>45425</v>
      </c>
      <c r="C448" s="1" t="n">
        <v>45846</v>
      </c>
      <c r="D448" t="inlineStr">
        <is>
          <t>UPPSALA LÄN</t>
        </is>
      </c>
      <c r="E448" t="inlineStr">
        <is>
          <t>ÖSTHAMMAR</t>
        </is>
      </c>
      <c r="G448" t="n">
        <v>4.7</v>
      </c>
      <c r="H448" t="n">
        <v>0</v>
      </c>
      <c r="I448" t="n">
        <v>2</v>
      </c>
      <c r="J448" t="n">
        <v>0</v>
      </c>
      <c r="K448" t="n">
        <v>0</v>
      </c>
      <c r="L448" t="n">
        <v>0</v>
      </c>
      <c r="M448" t="n">
        <v>0</v>
      </c>
      <c r="N448" t="n">
        <v>0</v>
      </c>
      <c r="O448" t="n">
        <v>0</v>
      </c>
      <c r="P448" t="n">
        <v>0</v>
      </c>
      <c r="Q448" t="n">
        <v>2</v>
      </c>
      <c r="R448" s="2" t="inlineStr">
        <is>
          <t>Bronshjon
Vågbandad barkbock</t>
        </is>
      </c>
      <c r="S448">
        <f>HYPERLINK("https://klasma.github.io/Logging_0382/artfynd/A 18539-2024 artfynd.xlsx", "A 18539-2024")</f>
        <v/>
      </c>
      <c r="T448">
        <f>HYPERLINK("https://klasma.github.io/Logging_0382/kartor/A 18539-2024 karta.png", "A 18539-2024")</f>
        <v/>
      </c>
      <c r="V448">
        <f>HYPERLINK("https://klasma.github.io/Logging_0382/klagomål/A 18539-2024 FSC-klagomål.docx", "A 18539-2024")</f>
        <v/>
      </c>
      <c r="W448">
        <f>HYPERLINK("https://klasma.github.io/Logging_0382/klagomålsmail/A 18539-2024 FSC-klagomål mail.docx", "A 18539-2024")</f>
        <v/>
      </c>
      <c r="X448">
        <f>HYPERLINK("https://klasma.github.io/Logging_0382/tillsyn/A 18539-2024 tillsynsbegäran.docx", "A 18539-2024")</f>
        <v/>
      </c>
      <c r="Y448">
        <f>HYPERLINK("https://klasma.github.io/Logging_0382/tillsynsmail/A 18539-2024 tillsynsbegäran mail.docx", "A 18539-2024")</f>
        <v/>
      </c>
    </row>
    <row r="449" ht="15" customHeight="1">
      <c r="A449" t="inlineStr">
        <is>
          <t>A 20710-2024</t>
        </is>
      </c>
      <c r="B449" s="1" t="n">
        <v>45436</v>
      </c>
      <c r="C449" s="1" t="n">
        <v>45846</v>
      </c>
      <c r="D449" t="inlineStr">
        <is>
          <t>UPPSALA LÄN</t>
        </is>
      </c>
      <c r="E449" t="inlineStr">
        <is>
          <t>TIERP</t>
        </is>
      </c>
      <c r="F449" t="inlineStr">
        <is>
          <t>Bergvik skog öst AB</t>
        </is>
      </c>
      <c r="G449" t="n">
        <v>21.4</v>
      </c>
      <c r="H449" t="n">
        <v>1</v>
      </c>
      <c r="I449" t="n">
        <v>1</v>
      </c>
      <c r="J449" t="n">
        <v>0</v>
      </c>
      <c r="K449" t="n">
        <v>0</v>
      </c>
      <c r="L449" t="n">
        <v>0</v>
      </c>
      <c r="M449" t="n">
        <v>0</v>
      </c>
      <c r="N449" t="n">
        <v>0</v>
      </c>
      <c r="O449" t="n">
        <v>0</v>
      </c>
      <c r="P449" t="n">
        <v>0</v>
      </c>
      <c r="Q449" t="n">
        <v>2</v>
      </c>
      <c r="R449" s="2" t="inlineStr">
        <is>
          <t>Underviol
Gullviva</t>
        </is>
      </c>
      <c r="S449">
        <f>HYPERLINK("https://klasma.github.io/Logging_0360/artfynd/A 20710-2024 artfynd.xlsx", "A 20710-2024")</f>
        <v/>
      </c>
      <c r="T449">
        <f>HYPERLINK("https://klasma.github.io/Logging_0360/kartor/A 20710-2024 karta.png", "A 20710-2024")</f>
        <v/>
      </c>
      <c r="V449">
        <f>HYPERLINK("https://klasma.github.io/Logging_0360/klagomål/A 20710-2024 FSC-klagomål.docx", "A 20710-2024")</f>
        <v/>
      </c>
      <c r="W449">
        <f>HYPERLINK("https://klasma.github.io/Logging_0360/klagomålsmail/A 20710-2024 FSC-klagomål mail.docx", "A 20710-2024")</f>
        <v/>
      </c>
      <c r="X449">
        <f>HYPERLINK("https://klasma.github.io/Logging_0360/tillsyn/A 20710-2024 tillsynsbegäran.docx", "A 20710-2024")</f>
        <v/>
      </c>
      <c r="Y449">
        <f>HYPERLINK("https://klasma.github.io/Logging_0360/tillsynsmail/A 20710-2024 tillsynsbegäran mail.docx", "A 20710-2024")</f>
        <v/>
      </c>
    </row>
    <row r="450" ht="15" customHeight="1">
      <c r="A450" t="inlineStr">
        <is>
          <t>A 22529-2024</t>
        </is>
      </c>
      <c r="B450" s="1" t="n">
        <v>45447</v>
      </c>
      <c r="C450" s="1" t="n">
        <v>45846</v>
      </c>
      <c r="D450" t="inlineStr">
        <is>
          <t>UPPSALA LÄN</t>
        </is>
      </c>
      <c r="E450" t="inlineStr">
        <is>
          <t>KNIVSTA</t>
        </is>
      </c>
      <c r="G450" t="n">
        <v>13.7</v>
      </c>
      <c r="H450" t="n">
        <v>2</v>
      </c>
      <c r="I450" t="n">
        <v>0</v>
      </c>
      <c r="J450" t="n">
        <v>0</v>
      </c>
      <c r="K450" t="n">
        <v>0</v>
      </c>
      <c r="L450" t="n">
        <v>0</v>
      </c>
      <c r="M450" t="n">
        <v>0</v>
      </c>
      <c r="N450" t="n">
        <v>0</v>
      </c>
      <c r="O450" t="n">
        <v>0</v>
      </c>
      <c r="P450" t="n">
        <v>0</v>
      </c>
      <c r="Q450" t="n">
        <v>2</v>
      </c>
      <c r="R450" s="2" t="inlineStr">
        <is>
          <t>Fläcknycklar
Revlummer</t>
        </is>
      </c>
      <c r="S450">
        <f>HYPERLINK("https://klasma.github.io/Logging_0330/artfynd/A 22529-2024 artfynd.xlsx", "A 22529-2024")</f>
        <v/>
      </c>
      <c r="T450">
        <f>HYPERLINK("https://klasma.github.io/Logging_0330/kartor/A 22529-2024 karta.png", "A 22529-2024")</f>
        <v/>
      </c>
      <c r="V450">
        <f>HYPERLINK("https://klasma.github.io/Logging_0330/klagomål/A 22529-2024 FSC-klagomål.docx", "A 22529-2024")</f>
        <v/>
      </c>
      <c r="W450">
        <f>HYPERLINK("https://klasma.github.io/Logging_0330/klagomålsmail/A 22529-2024 FSC-klagomål mail.docx", "A 22529-2024")</f>
        <v/>
      </c>
      <c r="X450">
        <f>HYPERLINK("https://klasma.github.io/Logging_0330/tillsyn/A 22529-2024 tillsynsbegäran.docx", "A 22529-2024")</f>
        <v/>
      </c>
      <c r="Y450">
        <f>HYPERLINK("https://klasma.github.io/Logging_0330/tillsynsmail/A 22529-2024 tillsynsbegäran mail.docx", "A 22529-2024")</f>
        <v/>
      </c>
    </row>
    <row r="451" ht="15" customHeight="1">
      <c r="A451" t="inlineStr">
        <is>
          <t>A 24323-2024</t>
        </is>
      </c>
      <c r="B451" s="1" t="n">
        <v>45457</v>
      </c>
      <c r="C451" s="1" t="n">
        <v>45846</v>
      </c>
      <c r="D451" t="inlineStr">
        <is>
          <t>UPPSALA LÄN</t>
        </is>
      </c>
      <c r="E451" t="inlineStr">
        <is>
          <t>ENKÖPING</t>
        </is>
      </c>
      <c r="G451" t="n">
        <v>6.3</v>
      </c>
      <c r="H451" t="n">
        <v>2</v>
      </c>
      <c r="I451" t="n">
        <v>0</v>
      </c>
      <c r="J451" t="n">
        <v>1</v>
      </c>
      <c r="K451" t="n">
        <v>0</v>
      </c>
      <c r="L451" t="n">
        <v>0</v>
      </c>
      <c r="M451" t="n">
        <v>0</v>
      </c>
      <c r="N451" t="n">
        <v>0</v>
      </c>
      <c r="O451" t="n">
        <v>1</v>
      </c>
      <c r="P451" t="n">
        <v>0</v>
      </c>
      <c r="Q451" t="n">
        <v>2</v>
      </c>
      <c r="R451" s="2" t="inlineStr">
        <is>
          <t>Spillkråka
Mattlummer</t>
        </is>
      </c>
      <c r="S451">
        <f>HYPERLINK("https://klasma.github.io/Logging_0381/artfynd/A 24323-2024 artfynd.xlsx", "A 24323-2024")</f>
        <v/>
      </c>
      <c r="T451">
        <f>HYPERLINK("https://klasma.github.io/Logging_0381/kartor/A 24323-2024 karta.png", "A 24323-2024")</f>
        <v/>
      </c>
      <c r="V451">
        <f>HYPERLINK("https://klasma.github.io/Logging_0381/klagomål/A 24323-2024 FSC-klagomål.docx", "A 24323-2024")</f>
        <v/>
      </c>
      <c r="W451">
        <f>HYPERLINK("https://klasma.github.io/Logging_0381/klagomålsmail/A 24323-2024 FSC-klagomål mail.docx", "A 24323-2024")</f>
        <v/>
      </c>
      <c r="X451">
        <f>HYPERLINK("https://klasma.github.io/Logging_0381/tillsyn/A 24323-2024 tillsynsbegäran.docx", "A 24323-2024")</f>
        <v/>
      </c>
      <c r="Y451">
        <f>HYPERLINK("https://klasma.github.io/Logging_0381/tillsynsmail/A 24323-2024 tillsynsbegäran mail.docx", "A 24323-2024")</f>
        <v/>
      </c>
      <c r="Z451">
        <f>HYPERLINK("https://klasma.github.io/Logging_0381/fåglar/A 24323-2024 prioriterade fågelarter.docx", "A 24323-2024")</f>
        <v/>
      </c>
    </row>
    <row r="452" ht="15" customHeight="1">
      <c r="A452" t="inlineStr">
        <is>
          <t>A 26277-2024</t>
        </is>
      </c>
      <c r="B452" s="1" t="n">
        <v>45468</v>
      </c>
      <c r="C452" s="1" t="n">
        <v>45846</v>
      </c>
      <c r="D452" t="inlineStr">
        <is>
          <t>UPPSALA LÄN</t>
        </is>
      </c>
      <c r="E452" t="inlineStr">
        <is>
          <t>ÖSTHAMMAR</t>
        </is>
      </c>
      <c r="G452" t="n">
        <v>3.5</v>
      </c>
      <c r="H452" t="n">
        <v>1</v>
      </c>
      <c r="I452" t="n">
        <v>2</v>
      </c>
      <c r="J452" t="n">
        <v>0</v>
      </c>
      <c r="K452" t="n">
        <v>0</v>
      </c>
      <c r="L452" t="n">
        <v>0</v>
      </c>
      <c r="M452" t="n">
        <v>0</v>
      </c>
      <c r="N452" t="n">
        <v>0</v>
      </c>
      <c r="O452" t="n">
        <v>0</v>
      </c>
      <c r="P452" t="n">
        <v>0</v>
      </c>
      <c r="Q452" t="n">
        <v>2</v>
      </c>
      <c r="R452" s="2" t="inlineStr">
        <is>
          <t>Nästrot
Sårläka</t>
        </is>
      </c>
      <c r="S452">
        <f>HYPERLINK("https://klasma.github.io/Logging_0382/artfynd/A 26277-2024 artfynd.xlsx", "A 26277-2024")</f>
        <v/>
      </c>
      <c r="T452">
        <f>HYPERLINK("https://klasma.github.io/Logging_0382/kartor/A 26277-2024 karta.png", "A 26277-2024")</f>
        <v/>
      </c>
      <c r="V452">
        <f>HYPERLINK("https://klasma.github.io/Logging_0382/klagomål/A 26277-2024 FSC-klagomål.docx", "A 26277-2024")</f>
        <v/>
      </c>
      <c r="W452">
        <f>HYPERLINK("https://klasma.github.io/Logging_0382/klagomålsmail/A 26277-2024 FSC-klagomål mail.docx", "A 26277-2024")</f>
        <v/>
      </c>
      <c r="X452">
        <f>HYPERLINK("https://klasma.github.io/Logging_0382/tillsyn/A 26277-2024 tillsynsbegäran.docx", "A 26277-2024")</f>
        <v/>
      </c>
      <c r="Y452">
        <f>HYPERLINK("https://klasma.github.io/Logging_0382/tillsynsmail/A 26277-2024 tillsynsbegäran mail.docx", "A 26277-2024")</f>
        <v/>
      </c>
    </row>
    <row r="453" ht="15" customHeight="1">
      <c r="A453" t="inlineStr">
        <is>
          <t>A 27502-2024</t>
        </is>
      </c>
      <c r="B453" s="1" t="n">
        <v>45474</v>
      </c>
      <c r="C453" s="1" t="n">
        <v>45846</v>
      </c>
      <c r="D453" t="inlineStr">
        <is>
          <t>UPPSALA LÄN</t>
        </is>
      </c>
      <c r="E453" t="inlineStr">
        <is>
          <t>UPPSALA</t>
        </is>
      </c>
      <c r="G453" t="n">
        <v>13.6</v>
      </c>
      <c r="H453" t="n">
        <v>2</v>
      </c>
      <c r="I453" t="n">
        <v>0</v>
      </c>
      <c r="J453" t="n">
        <v>1</v>
      </c>
      <c r="K453" t="n">
        <v>1</v>
      </c>
      <c r="L453" t="n">
        <v>0</v>
      </c>
      <c r="M453" t="n">
        <v>0</v>
      </c>
      <c r="N453" t="n">
        <v>0</v>
      </c>
      <c r="O453" t="n">
        <v>2</v>
      </c>
      <c r="P453" t="n">
        <v>1</v>
      </c>
      <c r="Q453" t="n">
        <v>2</v>
      </c>
      <c r="R453" s="2" t="inlineStr">
        <is>
          <t>Knärot
Talltita</t>
        </is>
      </c>
      <c r="S453">
        <f>HYPERLINK("https://klasma.github.io/Logging_0380/artfynd/A 27502-2024 artfynd.xlsx", "A 27502-2024")</f>
        <v/>
      </c>
      <c r="T453">
        <f>HYPERLINK("https://klasma.github.io/Logging_0380/kartor/A 27502-2024 karta.png", "A 27502-2024")</f>
        <v/>
      </c>
      <c r="U453">
        <f>HYPERLINK("https://klasma.github.io/Logging_0380/knärot/A 27502-2024 karta knärot.png", "A 27502-2024")</f>
        <v/>
      </c>
      <c r="V453">
        <f>HYPERLINK("https://klasma.github.io/Logging_0380/klagomål/A 27502-2024 FSC-klagomål.docx", "A 27502-2024")</f>
        <v/>
      </c>
      <c r="W453">
        <f>HYPERLINK("https://klasma.github.io/Logging_0380/klagomålsmail/A 27502-2024 FSC-klagomål mail.docx", "A 27502-2024")</f>
        <v/>
      </c>
      <c r="X453">
        <f>HYPERLINK("https://klasma.github.io/Logging_0380/tillsyn/A 27502-2024 tillsynsbegäran.docx", "A 27502-2024")</f>
        <v/>
      </c>
      <c r="Y453">
        <f>HYPERLINK("https://klasma.github.io/Logging_0380/tillsynsmail/A 27502-2024 tillsynsbegäran mail.docx", "A 27502-2024")</f>
        <v/>
      </c>
      <c r="Z453">
        <f>HYPERLINK("https://klasma.github.io/Logging_0380/fåglar/A 27502-2024 prioriterade fågelarter.docx", "A 27502-2024")</f>
        <v/>
      </c>
    </row>
    <row r="454" ht="15" customHeight="1">
      <c r="A454" t="inlineStr">
        <is>
          <t>A 30943-2024</t>
        </is>
      </c>
      <c r="B454" s="1" t="n">
        <v>45499</v>
      </c>
      <c r="C454" s="1" t="n">
        <v>45846</v>
      </c>
      <c r="D454" t="inlineStr">
        <is>
          <t>UPPSALA LÄN</t>
        </is>
      </c>
      <c r="E454" t="inlineStr">
        <is>
          <t>ÖSTHAMMAR</t>
        </is>
      </c>
      <c r="G454" t="n">
        <v>4.5</v>
      </c>
      <c r="H454" t="n">
        <v>0</v>
      </c>
      <c r="I454" t="n">
        <v>2</v>
      </c>
      <c r="J454" t="n">
        <v>0</v>
      </c>
      <c r="K454" t="n">
        <v>0</v>
      </c>
      <c r="L454" t="n">
        <v>0</v>
      </c>
      <c r="M454" t="n">
        <v>0</v>
      </c>
      <c r="N454" t="n">
        <v>0</v>
      </c>
      <c r="O454" t="n">
        <v>0</v>
      </c>
      <c r="P454" t="n">
        <v>0</v>
      </c>
      <c r="Q454" t="n">
        <v>2</v>
      </c>
      <c r="R454" s="2" t="inlineStr">
        <is>
          <t>Tibast
Underviol</t>
        </is>
      </c>
      <c r="S454">
        <f>HYPERLINK("https://klasma.github.io/Logging_0382/artfynd/A 30943-2024 artfynd.xlsx", "A 30943-2024")</f>
        <v/>
      </c>
      <c r="T454">
        <f>HYPERLINK("https://klasma.github.io/Logging_0382/kartor/A 30943-2024 karta.png", "A 30943-2024")</f>
        <v/>
      </c>
      <c r="V454">
        <f>HYPERLINK("https://klasma.github.io/Logging_0382/klagomål/A 30943-2024 FSC-klagomål.docx", "A 30943-2024")</f>
        <v/>
      </c>
      <c r="W454">
        <f>HYPERLINK("https://klasma.github.io/Logging_0382/klagomålsmail/A 30943-2024 FSC-klagomål mail.docx", "A 30943-2024")</f>
        <v/>
      </c>
      <c r="X454">
        <f>HYPERLINK("https://klasma.github.io/Logging_0382/tillsyn/A 30943-2024 tillsynsbegäran.docx", "A 30943-2024")</f>
        <v/>
      </c>
      <c r="Y454">
        <f>HYPERLINK("https://klasma.github.io/Logging_0382/tillsynsmail/A 30943-2024 tillsynsbegäran mail.docx", "A 30943-2024")</f>
        <v/>
      </c>
    </row>
    <row r="455" ht="15" customHeight="1">
      <c r="A455" t="inlineStr">
        <is>
          <t>A 31770-2024</t>
        </is>
      </c>
      <c r="B455" s="1" t="n">
        <v>45509</v>
      </c>
      <c r="C455" s="1" t="n">
        <v>45846</v>
      </c>
      <c r="D455" t="inlineStr">
        <is>
          <t>UPPSALA LÄN</t>
        </is>
      </c>
      <c r="E455" t="inlineStr">
        <is>
          <t>HEBY</t>
        </is>
      </c>
      <c r="G455" t="n">
        <v>5</v>
      </c>
      <c r="H455" t="n">
        <v>0</v>
      </c>
      <c r="I455" t="n">
        <v>0</v>
      </c>
      <c r="J455" t="n">
        <v>1</v>
      </c>
      <c r="K455" t="n">
        <v>1</v>
      </c>
      <c r="L455" t="n">
        <v>0</v>
      </c>
      <c r="M455" t="n">
        <v>0</v>
      </c>
      <c r="N455" t="n">
        <v>0</v>
      </c>
      <c r="O455" t="n">
        <v>2</v>
      </c>
      <c r="P455" t="n">
        <v>1</v>
      </c>
      <c r="Q455" t="n">
        <v>2</v>
      </c>
      <c r="R455" s="2" t="inlineStr">
        <is>
          <t>Lammticka
Motaggsvamp</t>
        </is>
      </c>
      <c r="S455">
        <f>HYPERLINK("https://klasma.github.io/Logging_0331/artfynd/A 31770-2024 artfynd.xlsx", "A 31770-2024")</f>
        <v/>
      </c>
      <c r="T455">
        <f>HYPERLINK("https://klasma.github.io/Logging_0331/kartor/A 31770-2024 karta.png", "A 31770-2024")</f>
        <v/>
      </c>
      <c r="V455">
        <f>HYPERLINK("https://klasma.github.io/Logging_0331/klagomål/A 31770-2024 FSC-klagomål.docx", "A 31770-2024")</f>
        <v/>
      </c>
      <c r="W455">
        <f>HYPERLINK("https://klasma.github.io/Logging_0331/klagomålsmail/A 31770-2024 FSC-klagomål mail.docx", "A 31770-2024")</f>
        <v/>
      </c>
      <c r="X455">
        <f>HYPERLINK("https://klasma.github.io/Logging_0331/tillsyn/A 31770-2024 tillsynsbegäran.docx", "A 31770-2024")</f>
        <v/>
      </c>
      <c r="Y455">
        <f>HYPERLINK("https://klasma.github.io/Logging_0331/tillsynsmail/A 31770-2024 tillsynsbegäran mail.docx", "A 31770-2024")</f>
        <v/>
      </c>
    </row>
    <row r="456" ht="15" customHeight="1">
      <c r="A456" t="inlineStr">
        <is>
          <t>A 35927-2024</t>
        </is>
      </c>
      <c r="B456" s="1" t="n">
        <v>45533</v>
      </c>
      <c r="C456" s="1" t="n">
        <v>45846</v>
      </c>
      <c r="D456" t="inlineStr">
        <is>
          <t>UPPSALA LÄN</t>
        </is>
      </c>
      <c r="E456" t="inlineStr">
        <is>
          <t>ÖSTHAMMAR</t>
        </is>
      </c>
      <c r="F456" t="inlineStr">
        <is>
          <t>Övriga Aktiebolag</t>
        </is>
      </c>
      <c r="G456" t="n">
        <v>13.1</v>
      </c>
      <c r="H456" t="n">
        <v>0</v>
      </c>
      <c r="I456" t="n">
        <v>2</v>
      </c>
      <c r="J456" t="n">
        <v>0</v>
      </c>
      <c r="K456" t="n">
        <v>0</v>
      </c>
      <c r="L456" t="n">
        <v>0</v>
      </c>
      <c r="M456" t="n">
        <v>0</v>
      </c>
      <c r="N456" t="n">
        <v>0</v>
      </c>
      <c r="O456" t="n">
        <v>0</v>
      </c>
      <c r="P456" t="n">
        <v>0</v>
      </c>
      <c r="Q456" t="n">
        <v>2</v>
      </c>
      <c r="R456" s="2" t="inlineStr">
        <is>
          <t>Fjällig taggsvamp s.str.
Vårärt</t>
        </is>
      </c>
      <c r="S456">
        <f>HYPERLINK("https://klasma.github.io/Logging_0382/artfynd/A 35927-2024 artfynd.xlsx", "A 35927-2024")</f>
        <v/>
      </c>
      <c r="T456">
        <f>HYPERLINK("https://klasma.github.io/Logging_0382/kartor/A 35927-2024 karta.png", "A 35927-2024")</f>
        <v/>
      </c>
      <c r="V456">
        <f>HYPERLINK("https://klasma.github.io/Logging_0382/klagomål/A 35927-2024 FSC-klagomål.docx", "A 35927-2024")</f>
        <v/>
      </c>
      <c r="W456">
        <f>HYPERLINK("https://klasma.github.io/Logging_0382/klagomålsmail/A 35927-2024 FSC-klagomål mail.docx", "A 35927-2024")</f>
        <v/>
      </c>
      <c r="X456">
        <f>HYPERLINK("https://klasma.github.io/Logging_0382/tillsyn/A 35927-2024 tillsynsbegäran.docx", "A 35927-2024")</f>
        <v/>
      </c>
      <c r="Y456">
        <f>HYPERLINK("https://klasma.github.io/Logging_0382/tillsynsmail/A 35927-2024 tillsynsbegäran mail.docx", "A 35927-2024")</f>
        <v/>
      </c>
    </row>
    <row r="457" ht="15" customHeight="1">
      <c r="A457" t="inlineStr">
        <is>
          <t>A 39018-2024</t>
        </is>
      </c>
      <c r="B457" s="1" t="n">
        <v>45548</v>
      </c>
      <c r="C457" s="1" t="n">
        <v>45846</v>
      </c>
      <c r="D457" t="inlineStr">
        <is>
          <t>UPPSALA LÄN</t>
        </is>
      </c>
      <c r="E457" t="inlineStr">
        <is>
          <t>TIERP</t>
        </is>
      </c>
      <c r="F457" t="inlineStr">
        <is>
          <t>Bergvik skog öst AB</t>
        </is>
      </c>
      <c r="G457" t="n">
        <v>19.1</v>
      </c>
      <c r="H457" t="n">
        <v>2</v>
      </c>
      <c r="I457" t="n">
        <v>0</v>
      </c>
      <c r="J457" t="n">
        <v>2</v>
      </c>
      <c r="K457" t="n">
        <v>0</v>
      </c>
      <c r="L457" t="n">
        <v>0</v>
      </c>
      <c r="M457" t="n">
        <v>0</v>
      </c>
      <c r="N457" t="n">
        <v>0</v>
      </c>
      <c r="O457" t="n">
        <v>2</v>
      </c>
      <c r="P457" t="n">
        <v>0</v>
      </c>
      <c r="Q457" t="n">
        <v>2</v>
      </c>
      <c r="R457" s="2" t="inlineStr">
        <is>
          <t>Rödvingetrast
Talltita</t>
        </is>
      </c>
      <c r="S457">
        <f>HYPERLINK("https://klasma.github.io/Logging_0360/artfynd/A 39018-2024 artfynd.xlsx", "A 39018-2024")</f>
        <v/>
      </c>
      <c r="T457">
        <f>HYPERLINK("https://klasma.github.io/Logging_0360/kartor/A 39018-2024 karta.png", "A 39018-2024")</f>
        <v/>
      </c>
      <c r="V457">
        <f>HYPERLINK("https://klasma.github.io/Logging_0360/klagomål/A 39018-2024 FSC-klagomål.docx", "A 39018-2024")</f>
        <v/>
      </c>
      <c r="W457">
        <f>HYPERLINK("https://klasma.github.io/Logging_0360/klagomålsmail/A 39018-2024 FSC-klagomål mail.docx", "A 39018-2024")</f>
        <v/>
      </c>
      <c r="X457">
        <f>HYPERLINK("https://klasma.github.io/Logging_0360/tillsyn/A 39018-2024 tillsynsbegäran.docx", "A 39018-2024")</f>
        <v/>
      </c>
      <c r="Y457">
        <f>HYPERLINK("https://klasma.github.io/Logging_0360/tillsynsmail/A 39018-2024 tillsynsbegäran mail.docx", "A 39018-2024")</f>
        <v/>
      </c>
      <c r="Z457">
        <f>HYPERLINK("https://klasma.github.io/Logging_0360/fåglar/A 39018-2024 prioriterade fågelarter.docx", "A 39018-2024")</f>
        <v/>
      </c>
    </row>
    <row r="458" ht="15" customHeight="1">
      <c r="A458" t="inlineStr">
        <is>
          <t>A 40687-2024</t>
        </is>
      </c>
      <c r="B458" s="1" t="n">
        <v>45558</v>
      </c>
      <c r="C458" s="1" t="n">
        <v>45846</v>
      </c>
      <c r="D458" t="inlineStr">
        <is>
          <t>UPPSALA LÄN</t>
        </is>
      </c>
      <c r="E458" t="inlineStr">
        <is>
          <t>ÄLVKARLEBY</t>
        </is>
      </c>
      <c r="F458" t="inlineStr">
        <is>
          <t>Bergvik skog väst AB</t>
        </is>
      </c>
      <c r="G458" t="n">
        <v>14.1</v>
      </c>
      <c r="H458" t="n">
        <v>0</v>
      </c>
      <c r="I458" t="n">
        <v>1</v>
      </c>
      <c r="J458" t="n">
        <v>1</v>
      </c>
      <c r="K458" t="n">
        <v>0</v>
      </c>
      <c r="L458" t="n">
        <v>0</v>
      </c>
      <c r="M458" t="n">
        <v>0</v>
      </c>
      <c r="N458" t="n">
        <v>0</v>
      </c>
      <c r="O458" t="n">
        <v>1</v>
      </c>
      <c r="P458" t="n">
        <v>0</v>
      </c>
      <c r="Q458" t="n">
        <v>2</v>
      </c>
      <c r="R458" s="2" t="inlineStr">
        <is>
          <t>Skogsklocka
Trådfräken</t>
        </is>
      </c>
      <c r="S458">
        <f>HYPERLINK("https://klasma.github.io/Logging_0319/artfynd/A 40687-2024 artfynd.xlsx", "A 40687-2024")</f>
        <v/>
      </c>
      <c r="T458">
        <f>HYPERLINK("https://klasma.github.io/Logging_0319/kartor/A 40687-2024 karta.png", "A 40687-2024")</f>
        <v/>
      </c>
      <c r="V458">
        <f>HYPERLINK("https://klasma.github.io/Logging_0319/klagomål/A 40687-2024 FSC-klagomål.docx", "A 40687-2024")</f>
        <v/>
      </c>
      <c r="W458">
        <f>HYPERLINK("https://klasma.github.io/Logging_0319/klagomålsmail/A 40687-2024 FSC-klagomål mail.docx", "A 40687-2024")</f>
        <v/>
      </c>
      <c r="X458">
        <f>HYPERLINK("https://klasma.github.io/Logging_0319/tillsyn/A 40687-2024 tillsynsbegäran.docx", "A 40687-2024")</f>
        <v/>
      </c>
      <c r="Y458">
        <f>HYPERLINK("https://klasma.github.io/Logging_0319/tillsynsmail/A 40687-2024 tillsynsbegäran mail.docx", "A 40687-2024")</f>
        <v/>
      </c>
    </row>
    <row r="459" ht="15" customHeight="1">
      <c r="A459" t="inlineStr">
        <is>
          <t>A 43643-2024</t>
        </is>
      </c>
      <c r="B459" s="1" t="n">
        <v>45569</v>
      </c>
      <c r="C459" s="1" t="n">
        <v>45846</v>
      </c>
      <c r="D459" t="inlineStr">
        <is>
          <t>UPPSALA LÄN</t>
        </is>
      </c>
      <c r="E459" t="inlineStr">
        <is>
          <t>TIERP</t>
        </is>
      </c>
      <c r="F459" t="inlineStr">
        <is>
          <t>Bergvik skog öst AB</t>
        </is>
      </c>
      <c r="G459" t="n">
        <v>16.3</v>
      </c>
      <c r="H459" t="n">
        <v>2</v>
      </c>
      <c r="I459" t="n">
        <v>0</v>
      </c>
      <c r="J459" t="n">
        <v>2</v>
      </c>
      <c r="K459" t="n">
        <v>0</v>
      </c>
      <c r="L459" t="n">
        <v>0</v>
      </c>
      <c r="M459" t="n">
        <v>0</v>
      </c>
      <c r="N459" t="n">
        <v>0</v>
      </c>
      <c r="O459" t="n">
        <v>2</v>
      </c>
      <c r="P459" t="n">
        <v>0</v>
      </c>
      <c r="Q459" t="n">
        <v>2</v>
      </c>
      <c r="R459" s="2" t="inlineStr">
        <is>
          <t>Gulsparv
Järpe</t>
        </is>
      </c>
      <c r="S459">
        <f>HYPERLINK("https://klasma.github.io/Logging_0360/artfynd/A 43643-2024 artfynd.xlsx", "A 43643-2024")</f>
        <v/>
      </c>
      <c r="T459">
        <f>HYPERLINK("https://klasma.github.io/Logging_0360/kartor/A 43643-2024 karta.png", "A 43643-2024")</f>
        <v/>
      </c>
      <c r="V459">
        <f>HYPERLINK("https://klasma.github.io/Logging_0360/klagomål/A 43643-2024 FSC-klagomål.docx", "A 43643-2024")</f>
        <v/>
      </c>
      <c r="W459">
        <f>HYPERLINK("https://klasma.github.io/Logging_0360/klagomålsmail/A 43643-2024 FSC-klagomål mail.docx", "A 43643-2024")</f>
        <v/>
      </c>
      <c r="X459">
        <f>HYPERLINK("https://klasma.github.io/Logging_0360/tillsyn/A 43643-2024 tillsynsbegäran.docx", "A 43643-2024")</f>
        <v/>
      </c>
      <c r="Y459">
        <f>HYPERLINK("https://klasma.github.io/Logging_0360/tillsynsmail/A 43643-2024 tillsynsbegäran mail.docx", "A 43643-2024")</f>
        <v/>
      </c>
      <c r="Z459">
        <f>HYPERLINK("https://klasma.github.io/Logging_0360/fåglar/A 43643-2024 prioriterade fågelarter.docx", "A 43643-2024")</f>
        <v/>
      </c>
    </row>
    <row r="460" ht="15" customHeight="1">
      <c r="A460" t="inlineStr">
        <is>
          <t>A 43645-2024</t>
        </is>
      </c>
      <c r="B460" s="1" t="n">
        <v>45569</v>
      </c>
      <c r="C460" s="1" t="n">
        <v>45846</v>
      </c>
      <c r="D460" t="inlineStr">
        <is>
          <t>UPPSALA LÄN</t>
        </is>
      </c>
      <c r="E460" t="inlineStr">
        <is>
          <t>TIERP</t>
        </is>
      </c>
      <c r="F460" t="inlineStr">
        <is>
          <t>Bergvik skog öst AB</t>
        </is>
      </c>
      <c r="G460" t="n">
        <v>16.3</v>
      </c>
      <c r="H460" t="n">
        <v>2</v>
      </c>
      <c r="I460" t="n">
        <v>0</v>
      </c>
      <c r="J460" t="n">
        <v>2</v>
      </c>
      <c r="K460" t="n">
        <v>0</v>
      </c>
      <c r="L460" t="n">
        <v>0</v>
      </c>
      <c r="M460" t="n">
        <v>0</v>
      </c>
      <c r="N460" t="n">
        <v>0</v>
      </c>
      <c r="O460" t="n">
        <v>2</v>
      </c>
      <c r="P460" t="n">
        <v>0</v>
      </c>
      <c r="Q460" t="n">
        <v>2</v>
      </c>
      <c r="R460" s="2" t="inlineStr">
        <is>
          <t>Gulsparv
Järpe</t>
        </is>
      </c>
      <c r="S460">
        <f>HYPERLINK("https://klasma.github.io/Logging_0360/artfynd/A 43645-2024 artfynd.xlsx", "A 43645-2024")</f>
        <v/>
      </c>
      <c r="T460">
        <f>HYPERLINK("https://klasma.github.io/Logging_0360/kartor/A 43645-2024 karta.png", "A 43645-2024")</f>
        <v/>
      </c>
      <c r="V460">
        <f>HYPERLINK("https://klasma.github.io/Logging_0360/klagomål/A 43645-2024 FSC-klagomål.docx", "A 43645-2024")</f>
        <v/>
      </c>
      <c r="W460">
        <f>HYPERLINK("https://klasma.github.io/Logging_0360/klagomålsmail/A 43645-2024 FSC-klagomål mail.docx", "A 43645-2024")</f>
        <v/>
      </c>
      <c r="X460">
        <f>HYPERLINK("https://klasma.github.io/Logging_0360/tillsyn/A 43645-2024 tillsynsbegäran.docx", "A 43645-2024")</f>
        <v/>
      </c>
      <c r="Y460">
        <f>HYPERLINK("https://klasma.github.io/Logging_0360/tillsynsmail/A 43645-2024 tillsynsbegäran mail.docx", "A 43645-2024")</f>
        <v/>
      </c>
      <c r="Z460">
        <f>HYPERLINK("https://klasma.github.io/Logging_0360/fåglar/A 43645-2024 prioriterade fågelarter.docx", "A 43645-2024")</f>
        <v/>
      </c>
    </row>
    <row r="461" ht="15" customHeight="1">
      <c r="A461" t="inlineStr">
        <is>
          <t>A 43642-2024</t>
        </is>
      </c>
      <c r="B461" s="1" t="n">
        <v>45569</v>
      </c>
      <c r="C461" s="1" t="n">
        <v>45846</v>
      </c>
      <c r="D461" t="inlineStr">
        <is>
          <t>UPPSALA LÄN</t>
        </is>
      </c>
      <c r="E461" t="inlineStr">
        <is>
          <t>TIERP</t>
        </is>
      </c>
      <c r="F461" t="inlineStr">
        <is>
          <t>Bergvik skog öst AB</t>
        </is>
      </c>
      <c r="G461" t="n">
        <v>16.3</v>
      </c>
      <c r="H461" t="n">
        <v>2</v>
      </c>
      <c r="I461" t="n">
        <v>0</v>
      </c>
      <c r="J461" t="n">
        <v>2</v>
      </c>
      <c r="K461" t="n">
        <v>0</v>
      </c>
      <c r="L461" t="n">
        <v>0</v>
      </c>
      <c r="M461" t="n">
        <v>0</v>
      </c>
      <c r="N461" t="n">
        <v>0</v>
      </c>
      <c r="O461" t="n">
        <v>2</v>
      </c>
      <c r="P461" t="n">
        <v>0</v>
      </c>
      <c r="Q461" t="n">
        <v>2</v>
      </c>
      <c r="R461" s="2" t="inlineStr">
        <is>
          <t>Gulsparv
Järpe</t>
        </is>
      </c>
      <c r="S461">
        <f>HYPERLINK("https://klasma.github.io/Logging_0360/artfynd/A 43642-2024 artfynd.xlsx", "A 43642-2024")</f>
        <v/>
      </c>
      <c r="T461">
        <f>HYPERLINK("https://klasma.github.io/Logging_0360/kartor/A 43642-2024 karta.png", "A 43642-2024")</f>
        <v/>
      </c>
      <c r="V461">
        <f>HYPERLINK("https://klasma.github.io/Logging_0360/klagomål/A 43642-2024 FSC-klagomål.docx", "A 43642-2024")</f>
        <v/>
      </c>
      <c r="W461">
        <f>HYPERLINK("https://klasma.github.io/Logging_0360/klagomålsmail/A 43642-2024 FSC-klagomål mail.docx", "A 43642-2024")</f>
        <v/>
      </c>
      <c r="X461">
        <f>HYPERLINK("https://klasma.github.io/Logging_0360/tillsyn/A 43642-2024 tillsynsbegäran.docx", "A 43642-2024")</f>
        <v/>
      </c>
      <c r="Y461">
        <f>HYPERLINK("https://klasma.github.io/Logging_0360/tillsynsmail/A 43642-2024 tillsynsbegäran mail.docx", "A 43642-2024")</f>
        <v/>
      </c>
      <c r="Z461">
        <f>HYPERLINK("https://klasma.github.io/Logging_0360/fåglar/A 43642-2024 prioriterade fågelarter.docx", "A 43642-2024")</f>
        <v/>
      </c>
    </row>
    <row r="462" ht="15" customHeight="1">
      <c r="A462" t="inlineStr">
        <is>
          <t>A 44284-2024</t>
        </is>
      </c>
      <c r="B462" s="1" t="n">
        <v>45573</v>
      </c>
      <c r="C462" s="1" t="n">
        <v>45846</v>
      </c>
      <c r="D462" t="inlineStr">
        <is>
          <t>UPPSALA LÄN</t>
        </is>
      </c>
      <c r="E462" t="inlineStr">
        <is>
          <t>HEBY</t>
        </is>
      </c>
      <c r="G462" t="n">
        <v>3</v>
      </c>
      <c r="H462" t="n">
        <v>0</v>
      </c>
      <c r="I462" t="n">
        <v>0</v>
      </c>
      <c r="J462" t="n">
        <v>2</v>
      </c>
      <c r="K462" t="n">
        <v>0</v>
      </c>
      <c r="L462" t="n">
        <v>0</v>
      </c>
      <c r="M462" t="n">
        <v>0</v>
      </c>
      <c r="N462" t="n">
        <v>0</v>
      </c>
      <c r="O462" t="n">
        <v>2</v>
      </c>
      <c r="P462" t="n">
        <v>0</v>
      </c>
      <c r="Q462" t="n">
        <v>2</v>
      </c>
      <c r="R462" s="2" t="inlineStr">
        <is>
          <t>Dvärgbägarlav
Vedskivlav</t>
        </is>
      </c>
      <c r="S462">
        <f>HYPERLINK("https://klasma.github.io/Logging_0331/artfynd/A 44284-2024 artfynd.xlsx", "A 44284-2024")</f>
        <v/>
      </c>
      <c r="T462">
        <f>HYPERLINK("https://klasma.github.io/Logging_0331/kartor/A 44284-2024 karta.png", "A 44284-2024")</f>
        <v/>
      </c>
      <c r="V462">
        <f>HYPERLINK("https://klasma.github.io/Logging_0331/klagomål/A 44284-2024 FSC-klagomål.docx", "A 44284-2024")</f>
        <v/>
      </c>
      <c r="W462">
        <f>HYPERLINK("https://klasma.github.io/Logging_0331/klagomålsmail/A 44284-2024 FSC-klagomål mail.docx", "A 44284-2024")</f>
        <v/>
      </c>
      <c r="X462">
        <f>HYPERLINK("https://klasma.github.io/Logging_0331/tillsyn/A 44284-2024 tillsynsbegäran.docx", "A 44284-2024")</f>
        <v/>
      </c>
      <c r="Y462">
        <f>HYPERLINK("https://klasma.github.io/Logging_0331/tillsynsmail/A 44284-2024 tillsynsbegäran mail.docx", "A 44284-2024")</f>
        <v/>
      </c>
    </row>
    <row r="463" ht="15" customHeight="1">
      <c r="A463" t="inlineStr">
        <is>
          <t>A 46577-2024</t>
        </is>
      </c>
      <c r="B463" s="1" t="n">
        <v>45582</v>
      </c>
      <c r="C463" s="1" t="n">
        <v>45846</v>
      </c>
      <c r="D463" t="inlineStr">
        <is>
          <t>UPPSALA LÄN</t>
        </is>
      </c>
      <c r="E463" t="inlineStr">
        <is>
          <t>ÖSTHAMMAR</t>
        </is>
      </c>
      <c r="F463" t="inlineStr">
        <is>
          <t>Bergvik skog väst AB</t>
        </is>
      </c>
      <c r="G463" t="n">
        <v>7.1</v>
      </c>
      <c r="H463" t="n">
        <v>1</v>
      </c>
      <c r="I463" t="n">
        <v>2</v>
      </c>
      <c r="J463" t="n">
        <v>0</v>
      </c>
      <c r="K463" t="n">
        <v>0</v>
      </c>
      <c r="L463" t="n">
        <v>0</v>
      </c>
      <c r="M463" t="n">
        <v>0</v>
      </c>
      <c r="N463" t="n">
        <v>0</v>
      </c>
      <c r="O463" t="n">
        <v>0</v>
      </c>
      <c r="P463" t="n">
        <v>0</v>
      </c>
      <c r="Q463" t="n">
        <v>2</v>
      </c>
      <c r="R463" s="2" t="inlineStr">
        <is>
          <t>Skogsknipprot
Tibast</t>
        </is>
      </c>
      <c r="S463">
        <f>HYPERLINK("https://klasma.github.io/Logging_0382/artfynd/A 46577-2024 artfynd.xlsx", "A 46577-2024")</f>
        <v/>
      </c>
      <c r="T463">
        <f>HYPERLINK("https://klasma.github.io/Logging_0382/kartor/A 46577-2024 karta.png", "A 46577-2024")</f>
        <v/>
      </c>
      <c r="V463">
        <f>HYPERLINK("https://klasma.github.io/Logging_0382/klagomål/A 46577-2024 FSC-klagomål.docx", "A 46577-2024")</f>
        <v/>
      </c>
      <c r="W463">
        <f>HYPERLINK("https://klasma.github.io/Logging_0382/klagomålsmail/A 46577-2024 FSC-klagomål mail.docx", "A 46577-2024")</f>
        <v/>
      </c>
      <c r="X463">
        <f>HYPERLINK("https://klasma.github.io/Logging_0382/tillsyn/A 46577-2024 tillsynsbegäran.docx", "A 46577-2024")</f>
        <v/>
      </c>
      <c r="Y463">
        <f>HYPERLINK("https://klasma.github.io/Logging_0382/tillsynsmail/A 46577-2024 tillsynsbegäran mail.docx", "A 46577-2024")</f>
        <v/>
      </c>
    </row>
    <row r="464" ht="15" customHeight="1">
      <c r="A464" t="inlineStr">
        <is>
          <t>A 47976-2024</t>
        </is>
      </c>
      <c r="B464" s="1" t="n">
        <v>45589</v>
      </c>
      <c r="C464" s="1" t="n">
        <v>45846</v>
      </c>
      <c r="D464" t="inlineStr">
        <is>
          <t>UPPSALA LÄN</t>
        </is>
      </c>
      <c r="E464" t="inlineStr">
        <is>
          <t>ÄLVKARLEBY</t>
        </is>
      </c>
      <c r="F464" t="inlineStr">
        <is>
          <t>Bergvik skog väst AB</t>
        </is>
      </c>
      <c r="G464" t="n">
        <v>14.6</v>
      </c>
      <c r="H464" t="n">
        <v>1</v>
      </c>
      <c r="I464" t="n">
        <v>1</v>
      </c>
      <c r="J464" t="n">
        <v>0</v>
      </c>
      <c r="K464" t="n">
        <v>0</v>
      </c>
      <c r="L464" t="n">
        <v>1</v>
      </c>
      <c r="M464" t="n">
        <v>0</v>
      </c>
      <c r="N464" t="n">
        <v>0</v>
      </c>
      <c r="O464" t="n">
        <v>1</v>
      </c>
      <c r="P464" t="n">
        <v>1</v>
      </c>
      <c r="Q464" t="n">
        <v>2</v>
      </c>
      <c r="R464" s="2" t="inlineStr">
        <is>
          <t>Ask
Skogsknipprot</t>
        </is>
      </c>
      <c r="S464">
        <f>HYPERLINK("https://klasma.github.io/Logging_0319/artfynd/A 47976-2024 artfynd.xlsx", "A 47976-2024")</f>
        <v/>
      </c>
      <c r="T464">
        <f>HYPERLINK("https://klasma.github.io/Logging_0319/kartor/A 47976-2024 karta.png", "A 47976-2024")</f>
        <v/>
      </c>
      <c r="V464">
        <f>HYPERLINK("https://klasma.github.io/Logging_0319/klagomål/A 47976-2024 FSC-klagomål.docx", "A 47976-2024")</f>
        <v/>
      </c>
      <c r="W464">
        <f>HYPERLINK("https://klasma.github.io/Logging_0319/klagomålsmail/A 47976-2024 FSC-klagomål mail.docx", "A 47976-2024")</f>
        <v/>
      </c>
      <c r="X464">
        <f>HYPERLINK("https://klasma.github.io/Logging_0319/tillsyn/A 47976-2024 tillsynsbegäran.docx", "A 47976-2024")</f>
        <v/>
      </c>
      <c r="Y464">
        <f>HYPERLINK("https://klasma.github.io/Logging_0319/tillsynsmail/A 47976-2024 tillsynsbegäran mail.docx", "A 47976-2024")</f>
        <v/>
      </c>
    </row>
    <row r="465" ht="15" customHeight="1">
      <c r="A465" t="inlineStr">
        <is>
          <t>A 50458-2024</t>
        </is>
      </c>
      <c r="B465" s="1" t="n">
        <v>45601</v>
      </c>
      <c r="C465" s="1" t="n">
        <v>45846</v>
      </c>
      <c r="D465" t="inlineStr">
        <is>
          <t>UPPSALA LÄN</t>
        </is>
      </c>
      <c r="E465" t="inlineStr">
        <is>
          <t>HEBY</t>
        </is>
      </c>
      <c r="G465" t="n">
        <v>3.1</v>
      </c>
      <c r="H465" t="n">
        <v>2</v>
      </c>
      <c r="I465" t="n">
        <v>0</v>
      </c>
      <c r="J465" t="n">
        <v>0</v>
      </c>
      <c r="K465" t="n">
        <v>1</v>
      </c>
      <c r="L465" t="n">
        <v>0</v>
      </c>
      <c r="M465" t="n">
        <v>0</v>
      </c>
      <c r="N465" t="n">
        <v>0</v>
      </c>
      <c r="O465" t="n">
        <v>1</v>
      </c>
      <c r="P465" t="n">
        <v>1</v>
      </c>
      <c r="Q465" t="n">
        <v>2</v>
      </c>
      <c r="R465" s="2" t="inlineStr">
        <is>
          <t>Knärot
Blåsippa</t>
        </is>
      </c>
      <c r="S465">
        <f>HYPERLINK("https://klasma.github.io/Logging_0331/artfynd/A 50458-2024 artfynd.xlsx", "A 50458-2024")</f>
        <v/>
      </c>
      <c r="T465">
        <f>HYPERLINK("https://klasma.github.io/Logging_0331/kartor/A 50458-2024 karta.png", "A 50458-2024")</f>
        <v/>
      </c>
      <c r="U465">
        <f>HYPERLINK("https://klasma.github.io/Logging_0331/knärot/A 50458-2024 karta knärot.png", "A 50458-2024")</f>
        <v/>
      </c>
      <c r="V465">
        <f>HYPERLINK("https://klasma.github.io/Logging_0331/klagomål/A 50458-2024 FSC-klagomål.docx", "A 50458-2024")</f>
        <v/>
      </c>
      <c r="W465">
        <f>HYPERLINK("https://klasma.github.io/Logging_0331/klagomålsmail/A 50458-2024 FSC-klagomål mail.docx", "A 50458-2024")</f>
        <v/>
      </c>
      <c r="X465">
        <f>HYPERLINK("https://klasma.github.io/Logging_0331/tillsyn/A 50458-2024 tillsynsbegäran.docx", "A 50458-2024")</f>
        <v/>
      </c>
      <c r="Y465">
        <f>HYPERLINK("https://klasma.github.io/Logging_0331/tillsynsmail/A 50458-2024 tillsynsbegäran mail.docx", "A 50458-2024")</f>
        <v/>
      </c>
    </row>
    <row r="466" ht="15" customHeight="1">
      <c r="A466" t="inlineStr">
        <is>
          <t>A 54032-2024</t>
        </is>
      </c>
      <c r="B466" s="1" t="n">
        <v>45616</v>
      </c>
      <c r="C466" s="1" t="n">
        <v>45846</v>
      </c>
      <c r="D466" t="inlineStr">
        <is>
          <t>UPPSALA LÄN</t>
        </is>
      </c>
      <c r="E466" t="inlineStr">
        <is>
          <t>ÖSTHAMMAR</t>
        </is>
      </c>
      <c r="G466" t="n">
        <v>2</v>
      </c>
      <c r="H466" t="n">
        <v>1</v>
      </c>
      <c r="I466" t="n">
        <v>1</v>
      </c>
      <c r="J466" t="n">
        <v>0</v>
      </c>
      <c r="K466" t="n">
        <v>0</v>
      </c>
      <c r="L466" t="n">
        <v>0</v>
      </c>
      <c r="M466" t="n">
        <v>0</v>
      </c>
      <c r="N466" t="n">
        <v>0</v>
      </c>
      <c r="O466" t="n">
        <v>0</v>
      </c>
      <c r="P466" t="n">
        <v>0</v>
      </c>
      <c r="Q466" t="n">
        <v>2</v>
      </c>
      <c r="R466" s="2" t="inlineStr">
        <is>
          <t>Vedticka
Blåsippa</t>
        </is>
      </c>
      <c r="S466">
        <f>HYPERLINK("https://klasma.github.io/Logging_0382/artfynd/A 54032-2024 artfynd.xlsx", "A 54032-2024")</f>
        <v/>
      </c>
      <c r="T466">
        <f>HYPERLINK("https://klasma.github.io/Logging_0382/kartor/A 54032-2024 karta.png", "A 54032-2024")</f>
        <v/>
      </c>
      <c r="V466">
        <f>HYPERLINK("https://klasma.github.io/Logging_0382/klagomål/A 54032-2024 FSC-klagomål.docx", "A 54032-2024")</f>
        <v/>
      </c>
      <c r="W466">
        <f>HYPERLINK("https://klasma.github.io/Logging_0382/klagomålsmail/A 54032-2024 FSC-klagomål mail.docx", "A 54032-2024")</f>
        <v/>
      </c>
      <c r="X466">
        <f>HYPERLINK("https://klasma.github.io/Logging_0382/tillsyn/A 54032-2024 tillsynsbegäran.docx", "A 54032-2024")</f>
        <v/>
      </c>
      <c r="Y466">
        <f>HYPERLINK("https://klasma.github.io/Logging_0382/tillsynsmail/A 54032-2024 tillsynsbegäran mail.docx", "A 54032-2024")</f>
        <v/>
      </c>
    </row>
    <row r="467" ht="15" customHeight="1">
      <c r="A467" t="inlineStr">
        <is>
          <t>A 54814-2024</t>
        </is>
      </c>
      <c r="B467" s="1" t="n">
        <v>45618</v>
      </c>
      <c r="C467" s="1" t="n">
        <v>45846</v>
      </c>
      <c r="D467" t="inlineStr">
        <is>
          <t>UPPSALA LÄN</t>
        </is>
      </c>
      <c r="E467" t="inlineStr">
        <is>
          <t>HEBY</t>
        </is>
      </c>
      <c r="G467" t="n">
        <v>2.5</v>
      </c>
      <c r="H467" t="n">
        <v>2</v>
      </c>
      <c r="I467" t="n">
        <v>0</v>
      </c>
      <c r="J467" t="n">
        <v>1</v>
      </c>
      <c r="K467" t="n">
        <v>1</v>
      </c>
      <c r="L467" t="n">
        <v>0</v>
      </c>
      <c r="M467" t="n">
        <v>0</v>
      </c>
      <c r="N467" t="n">
        <v>0</v>
      </c>
      <c r="O467" t="n">
        <v>2</v>
      </c>
      <c r="P467" t="n">
        <v>1</v>
      </c>
      <c r="Q467" t="n">
        <v>2</v>
      </c>
      <c r="R467" s="2" t="inlineStr">
        <is>
          <t>Knärot
Talltita</t>
        </is>
      </c>
      <c r="S467">
        <f>HYPERLINK("https://klasma.github.io/Logging_0331/artfynd/A 54814-2024 artfynd.xlsx", "A 54814-2024")</f>
        <v/>
      </c>
      <c r="T467">
        <f>HYPERLINK("https://klasma.github.io/Logging_0331/kartor/A 54814-2024 karta.png", "A 54814-2024")</f>
        <v/>
      </c>
      <c r="U467">
        <f>HYPERLINK("https://klasma.github.io/Logging_0331/knärot/A 54814-2024 karta knärot.png", "A 54814-2024")</f>
        <v/>
      </c>
      <c r="V467">
        <f>HYPERLINK("https://klasma.github.io/Logging_0331/klagomål/A 54814-2024 FSC-klagomål.docx", "A 54814-2024")</f>
        <v/>
      </c>
      <c r="W467">
        <f>HYPERLINK("https://klasma.github.io/Logging_0331/klagomålsmail/A 54814-2024 FSC-klagomål mail.docx", "A 54814-2024")</f>
        <v/>
      </c>
      <c r="X467">
        <f>HYPERLINK("https://klasma.github.io/Logging_0331/tillsyn/A 54814-2024 tillsynsbegäran.docx", "A 54814-2024")</f>
        <v/>
      </c>
      <c r="Y467">
        <f>HYPERLINK("https://klasma.github.io/Logging_0331/tillsynsmail/A 54814-2024 tillsynsbegäran mail.docx", "A 54814-2024")</f>
        <v/>
      </c>
      <c r="Z467">
        <f>HYPERLINK("https://klasma.github.io/Logging_0331/fåglar/A 54814-2024 prioriterade fågelarter.docx", "A 54814-2024")</f>
        <v/>
      </c>
    </row>
    <row r="468" ht="15" customHeight="1">
      <c r="A468" t="inlineStr">
        <is>
          <t>A 55143-2024</t>
        </is>
      </c>
      <c r="B468" s="1" t="n">
        <v>45621</v>
      </c>
      <c r="C468" s="1" t="n">
        <v>45846</v>
      </c>
      <c r="D468" t="inlineStr">
        <is>
          <t>UPPSALA LÄN</t>
        </is>
      </c>
      <c r="E468" t="inlineStr">
        <is>
          <t>ÄLVKARLEBY</t>
        </is>
      </c>
      <c r="F468" t="inlineStr">
        <is>
          <t>Bergvik skog väst AB</t>
        </is>
      </c>
      <c r="G468" t="n">
        <v>9.5</v>
      </c>
      <c r="H468" t="n">
        <v>1</v>
      </c>
      <c r="I468" t="n">
        <v>1</v>
      </c>
      <c r="J468" t="n">
        <v>0</v>
      </c>
      <c r="K468" t="n">
        <v>1</v>
      </c>
      <c r="L468" t="n">
        <v>0</v>
      </c>
      <c r="M468" t="n">
        <v>0</v>
      </c>
      <c r="N468" t="n">
        <v>0</v>
      </c>
      <c r="O468" t="n">
        <v>1</v>
      </c>
      <c r="P468" t="n">
        <v>1</v>
      </c>
      <c r="Q468" t="n">
        <v>2</v>
      </c>
      <c r="R468" s="2" t="inlineStr">
        <is>
          <t>Stor låsbräken
Ögonpyrola</t>
        </is>
      </c>
      <c r="S468">
        <f>HYPERLINK("https://klasma.github.io/Logging_0319/artfynd/A 55143-2024 artfynd.xlsx", "A 55143-2024")</f>
        <v/>
      </c>
      <c r="T468">
        <f>HYPERLINK("https://klasma.github.io/Logging_0319/kartor/A 55143-2024 karta.png", "A 55143-2024")</f>
        <v/>
      </c>
      <c r="V468">
        <f>HYPERLINK("https://klasma.github.io/Logging_0319/klagomål/A 55143-2024 FSC-klagomål.docx", "A 55143-2024")</f>
        <v/>
      </c>
      <c r="W468">
        <f>HYPERLINK("https://klasma.github.io/Logging_0319/klagomålsmail/A 55143-2024 FSC-klagomål mail.docx", "A 55143-2024")</f>
        <v/>
      </c>
      <c r="X468">
        <f>HYPERLINK("https://klasma.github.io/Logging_0319/tillsyn/A 55143-2024 tillsynsbegäran.docx", "A 55143-2024")</f>
        <v/>
      </c>
      <c r="Y468">
        <f>HYPERLINK("https://klasma.github.io/Logging_0319/tillsynsmail/A 55143-2024 tillsynsbegäran mail.docx", "A 55143-2024")</f>
        <v/>
      </c>
    </row>
    <row r="469" ht="15" customHeight="1">
      <c r="A469" t="inlineStr">
        <is>
          <t>A 55560-2024</t>
        </is>
      </c>
      <c r="B469" s="1" t="n">
        <v>45622</v>
      </c>
      <c r="C469" s="1" t="n">
        <v>45846</v>
      </c>
      <c r="D469" t="inlineStr">
        <is>
          <t>UPPSALA LÄN</t>
        </is>
      </c>
      <c r="E469" t="inlineStr">
        <is>
          <t>ÄLVKARLEBY</t>
        </is>
      </c>
      <c r="F469" t="inlineStr">
        <is>
          <t>Bergvik skog väst AB</t>
        </is>
      </c>
      <c r="G469" t="n">
        <v>1</v>
      </c>
      <c r="H469" t="n">
        <v>2</v>
      </c>
      <c r="I469" t="n">
        <v>1</v>
      </c>
      <c r="J469" t="n">
        <v>0</v>
      </c>
      <c r="K469" t="n">
        <v>1</v>
      </c>
      <c r="L469" t="n">
        <v>0</v>
      </c>
      <c r="M469" t="n">
        <v>0</v>
      </c>
      <c r="N469" t="n">
        <v>0</v>
      </c>
      <c r="O469" t="n">
        <v>1</v>
      </c>
      <c r="P469" t="n">
        <v>1</v>
      </c>
      <c r="Q469" t="n">
        <v>2</v>
      </c>
      <c r="R469" s="2" t="inlineStr">
        <is>
          <t>Knärot
Grön sköldmossa</t>
        </is>
      </c>
      <c r="S469">
        <f>HYPERLINK("https://klasma.github.io/Logging_0319/artfynd/A 55560-2024 artfynd.xlsx", "A 55560-2024")</f>
        <v/>
      </c>
      <c r="T469">
        <f>HYPERLINK("https://klasma.github.io/Logging_0319/kartor/A 55560-2024 karta.png", "A 55560-2024")</f>
        <v/>
      </c>
      <c r="U469">
        <f>HYPERLINK("https://klasma.github.io/Logging_0319/knärot/A 55560-2024 karta knärot.png", "A 55560-2024")</f>
        <v/>
      </c>
      <c r="V469">
        <f>HYPERLINK("https://klasma.github.io/Logging_0319/klagomål/A 55560-2024 FSC-klagomål.docx", "A 55560-2024")</f>
        <v/>
      </c>
      <c r="W469">
        <f>HYPERLINK("https://klasma.github.io/Logging_0319/klagomålsmail/A 55560-2024 FSC-klagomål mail.docx", "A 55560-2024")</f>
        <v/>
      </c>
      <c r="X469">
        <f>HYPERLINK("https://klasma.github.io/Logging_0319/tillsyn/A 55560-2024 tillsynsbegäran.docx", "A 55560-2024")</f>
        <v/>
      </c>
      <c r="Y469">
        <f>HYPERLINK("https://klasma.github.io/Logging_0319/tillsynsmail/A 55560-2024 tillsynsbegäran mail.docx", "A 55560-2024")</f>
        <v/>
      </c>
    </row>
    <row r="470" ht="15" customHeight="1">
      <c r="A470" t="inlineStr">
        <is>
          <t>A 58146-2024</t>
        </is>
      </c>
      <c r="B470" s="1" t="n">
        <v>45632</v>
      </c>
      <c r="C470" s="1" t="n">
        <v>45846</v>
      </c>
      <c r="D470" t="inlineStr">
        <is>
          <t>UPPSALA LÄN</t>
        </is>
      </c>
      <c r="E470" t="inlineStr">
        <is>
          <t>TIERP</t>
        </is>
      </c>
      <c r="G470" t="n">
        <v>11.8</v>
      </c>
      <c r="H470" t="n">
        <v>1</v>
      </c>
      <c r="I470" t="n">
        <v>1</v>
      </c>
      <c r="J470" t="n">
        <v>0</v>
      </c>
      <c r="K470" t="n">
        <v>0</v>
      </c>
      <c r="L470" t="n">
        <v>0</v>
      </c>
      <c r="M470" t="n">
        <v>0</v>
      </c>
      <c r="N470" t="n">
        <v>0</v>
      </c>
      <c r="O470" t="n">
        <v>0</v>
      </c>
      <c r="P470" t="n">
        <v>0</v>
      </c>
      <c r="Q470" t="n">
        <v>2</v>
      </c>
      <c r="R470" s="2" t="inlineStr">
        <is>
          <t>Vårärt
Blåsippa</t>
        </is>
      </c>
      <c r="S470">
        <f>HYPERLINK("https://klasma.github.io/Logging_0360/artfynd/A 58146-2024 artfynd.xlsx", "A 58146-2024")</f>
        <v/>
      </c>
      <c r="T470">
        <f>HYPERLINK("https://klasma.github.io/Logging_0360/kartor/A 58146-2024 karta.png", "A 58146-2024")</f>
        <v/>
      </c>
      <c r="V470">
        <f>HYPERLINK("https://klasma.github.io/Logging_0360/klagomål/A 58146-2024 FSC-klagomål.docx", "A 58146-2024")</f>
        <v/>
      </c>
      <c r="W470">
        <f>HYPERLINK("https://klasma.github.io/Logging_0360/klagomålsmail/A 58146-2024 FSC-klagomål mail.docx", "A 58146-2024")</f>
        <v/>
      </c>
      <c r="X470">
        <f>HYPERLINK("https://klasma.github.io/Logging_0360/tillsyn/A 58146-2024 tillsynsbegäran.docx", "A 58146-2024")</f>
        <v/>
      </c>
      <c r="Y470">
        <f>HYPERLINK("https://klasma.github.io/Logging_0360/tillsynsmail/A 58146-2024 tillsynsbegäran mail.docx", "A 58146-2024")</f>
        <v/>
      </c>
    </row>
    <row r="471" ht="15" customHeight="1">
      <c r="A471" t="inlineStr">
        <is>
          <t>A 61511-2024</t>
        </is>
      </c>
      <c r="B471" s="1" t="n">
        <v>45646</v>
      </c>
      <c r="C471" s="1" t="n">
        <v>45846</v>
      </c>
      <c r="D471" t="inlineStr">
        <is>
          <t>UPPSALA LÄN</t>
        </is>
      </c>
      <c r="E471" t="inlineStr">
        <is>
          <t>UPPSALA</t>
        </is>
      </c>
      <c r="F471" t="inlineStr">
        <is>
          <t>Bergvik skog väst AB</t>
        </is>
      </c>
      <c r="G471" t="n">
        <v>25.1</v>
      </c>
      <c r="H471" t="n">
        <v>0</v>
      </c>
      <c r="I471" t="n">
        <v>1</v>
      </c>
      <c r="J471" t="n">
        <v>0</v>
      </c>
      <c r="K471" t="n">
        <v>1</v>
      </c>
      <c r="L471" t="n">
        <v>0</v>
      </c>
      <c r="M471" t="n">
        <v>0</v>
      </c>
      <c r="N471" t="n">
        <v>0</v>
      </c>
      <c r="O471" t="n">
        <v>1</v>
      </c>
      <c r="P471" t="n">
        <v>1</v>
      </c>
      <c r="Q471" t="n">
        <v>2</v>
      </c>
      <c r="R471" s="2" t="inlineStr">
        <is>
          <t>Doftfjällskivling
Kamjordstjärna</t>
        </is>
      </c>
      <c r="S471">
        <f>HYPERLINK("https://klasma.github.io/Logging_0380/artfynd/A 61511-2024 artfynd.xlsx", "A 61511-2024")</f>
        <v/>
      </c>
      <c r="T471">
        <f>HYPERLINK("https://klasma.github.io/Logging_0380/kartor/A 61511-2024 karta.png", "A 61511-2024")</f>
        <v/>
      </c>
      <c r="V471">
        <f>HYPERLINK("https://klasma.github.io/Logging_0380/klagomål/A 61511-2024 FSC-klagomål.docx", "A 61511-2024")</f>
        <v/>
      </c>
      <c r="W471">
        <f>HYPERLINK("https://klasma.github.io/Logging_0380/klagomålsmail/A 61511-2024 FSC-klagomål mail.docx", "A 61511-2024")</f>
        <v/>
      </c>
      <c r="X471">
        <f>HYPERLINK("https://klasma.github.io/Logging_0380/tillsyn/A 61511-2024 tillsynsbegäran.docx", "A 61511-2024")</f>
        <v/>
      </c>
      <c r="Y471">
        <f>HYPERLINK("https://klasma.github.io/Logging_0380/tillsynsmail/A 61511-2024 tillsynsbegäran mail.docx", "A 61511-2024")</f>
        <v/>
      </c>
    </row>
    <row r="472" ht="15" customHeight="1">
      <c r="A472" t="inlineStr">
        <is>
          <t>A 1124-2025</t>
        </is>
      </c>
      <c r="B472" s="1" t="n">
        <v>45666</v>
      </c>
      <c r="C472" s="1" t="n">
        <v>45846</v>
      </c>
      <c r="D472" t="inlineStr">
        <is>
          <t>UPPSALA LÄN</t>
        </is>
      </c>
      <c r="E472" t="inlineStr">
        <is>
          <t>UPPSALA</t>
        </is>
      </c>
      <c r="G472" t="n">
        <v>8.300000000000001</v>
      </c>
      <c r="H472" t="n">
        <v>1</v>
      </c>
      <c r="I472" t="n">
        <v>1</v>
      </c>
      <c r="J472" t="n">
        <v>0</v>
      </c>
      <c r="K472" t="n">
        <v>1</v>
      </c>
      <c r="L472" t="n">
        <v>0</v>
      </c>
      <c r="M472" t="n">
        <v>0</v>
      </c>
      <c r="N472" t="n">
        <v>0</v>
      </c>
      <c r="O472" t="n">
        <v>1</v>
      </c>
      <c r="P472" t="n">
        <v>1</v>
      </c>
      <c r="Q472" t="n">
        <v>2</v>
      </c>
      <c r="R472" s="2" t="inlineStr">
        <is>
          <t>Rynkskinn
Grön sköldmossa</t>
        </is>
      </c>
      <c r="S472">
        <f>HYPERLINK("https://klasma.github.io/Logging_0380/artfynd/A 1124-2025 artfynd.xlsx", "A 1124-2025")</f>
        <v/>
      </c>
      <c r="T472">
        <f>HYPERLINK("https://klasma.github.io/Logging_0380/kartor/A 1124-2025 karta.png", "A 1124-2025")</f>
        <v/>
      </c>
      <c r="V472">
        <f>HYPERLINK("https://klasma.github.io/Logging_0380/klagomål/A 1124-2025 FSC-klagomål.docx", "A 1124-2025")</f>
        <v/>
      </c>
      <c r="W472">
        <f>HYPERLINK("https://klasma.github.io/Logging_0380/klagomålsmail/A 1124-2025 FSC-klagomål mail.docx", "A 1124-2025")</f>
        <v/>
      </c>
      <c r="X472">
        <f>HYPERLINK("https://klasma.github.io/Logging_0380/tillsyn/A 1124-2025 tillsynsbegäran.docx", "A 1124-2025")</f>
        <v/>
      </c>
      <c r="Y472">
        <f>HYPERLINK("https://klasma.github.io/Logging_0380/tillsynsmail/A 1124-2025 tillsynsbegäran mail.docx", "A 1124-2025")</f>
        <v/>
      </c>
    </row>
    <row r="473" ht="15" customHeight="1">
      <c r="A473" t="inlineStr">
        <is>
          <t>A 2916-2025</t>
        </is>
      </c>
      <c r="B473" s="1" t="n">
        <v>45677</v>
      </c>
      <c r="C473" s="1" t="n">
        <v>45846</v>
      </c>
      <c r="D473" t="inlineStr">
        <is>
          <t>UPPSALA LÄN</t>
        </is>
      </c>
      <c r="E473" t="inlineStr">
        <is>
          <t>ÖSTHAMMAR</t>
        </is>
      </c>
      <c r="F473" t="inlineStr">
        <is>
          <t>Allmännings- och besparingsskogar</t>
        </is>
      </c>
      <c r="G473" t="n">
        <v>10.5</v>
      </c>
      <c r="H473" t="n">
        <v>2</v>
      </c>
      <c r="I473" t="n">
        <v>0</v>
      </c>
      <c r="J473" t="n">
        <v>0</v>
      </c>
      <c r="K473" t="n">
        <v>0</v>
      </c>
      <c r="L473" t="n">
        <v>0</v>
      </c>
      <c r="M473" t="n">
        <v>0</v>
      </c>
      <c r="N473" t="n">
        <v>0</v>
      </c>
      <c r="O473" t="n">
        <v>0</v>
      </c>
      <c r="P473" t="n">
        <v>0</v>
      </c>
      <c r="Q473" t="n">
        <v>2</v>
      </c>
      <c r="R473" s="2" t="inlineStr">
        <is>
          <t>Grönvit nattviol
Ängsnycklar × fläcknycklar</t>
        </is>
      </c>
      <c r="S473">
        <f>HYPERLINK("https://klasma.github.io/Logging_0382/artfynd/A 2916-2025 artfynd.xlsx", "A 2916-2025")</f>
        <v/>
      </c>
      <c r="T473">
        <f>HYPERLINK("https://klasma.github.io/Logging_0382/kartor/A 2916-2025 karta.png", "A 2916-2025")</f>
        <v/>
      </c>
      <c r="V473">
        <f>HYPERLINK("https://klasma.github.io/Logging_0382/klagomål/A 2916-2025 FSC-klagomål.docx", "A 2916-2025")</f>
        <v/>
      </c>
      <c r="W473">
        <f>HYPERLINK("https://klasma.github.io/Logging_0382/klagomålsmail/A 2916-2025 FSC-klagomål mail.docx", "A 2916-2025")</f>
        <v/>
      </c>
      <c r="X473">
        <f>HYPERLINK("https://klasma.github.io/Logging_0382/tillsyn/A 2916-2025 tillsynsbegäran.docx", "A 2916-2025")</f>
        <v/>
      </c>
      <c r="Y473">
        <f>HYPERLINK("https://klasma.github.io/Logging_0382/tillsynsmail/A 2916-2025 tillsynsbegäran mail.docx", "A 2916-2025")</f>
        <v/>
      </c>
    </row>
    <row r="474" ht="15" customHeight="1">
      <c r="A474" t="inlineStr">
        <is>
          <t>A 5703-2025</t>
        </is>
      </c>
      <c r="B474" s="1" t="n">
        <v>45694</v>
      </c>
      <c r="C474" s="1" t="n">
        <v>45846</v>
      </c>
      <c r="D474" t="inlineStr">
        <is>
          <t>UPPSALA LÄN</t>
        </is>
      </c>
      <c r="E474" t="inlineStr">
        <is>
          <t>UPPSALA</t>
        </is>
      </c>
      <c r="F474" t="inlineStr">
        <is>
          <t>Bergvik skog öst AB</t>
        </is>
      </c>
      <c r="G474" t="n">
        <v>12.1</v>
      </c>
      <c r="H474" t="n">
        <v>2</v>
      </c>
      <c r="I474" t="n">
        <v>0</v>
      </c>
      <c r="J474" t="n">
        <v>0</v>
      </c>
      <c r="K474" t="n">
        <v>0</v>
      </c>
      <c r="L474" t="n">
        <v>0</v>
      </c>
      <c r="M474" t="n">
        <v>0</v>
      </c>
      <c r="N474" t="n">
        <v>0</v>
      </c>
      <c r="O474" t="n">
        <v>0</v>
      </c>
      <c r="P474" t="n">
        <v>0</v>
      </c>
      <c r="Q474" t="n">
        <v>2</v>
      </c>
      <c r="R474" s="2" t="inlineStr">
        <is>
          <t>Fläcknycklar
Nattviol</t>
        </is>
      </c>
      <c r="S474">
        <f>HYPERLINK("https://klasma.github.io/Logging_0380/artfynd/A 5703-2025 artfynd.xlsx", "A 5703-2025")</f>
        <v/>
      </c>
      <c r="T474">
        <f>HYPERLINK("https://klasma.github.io/Logging_0380/kartor/A 5703-2025 karta.png", "A 5703-2025")</f>
        <v/>
      </c>
      <c r="V474">
        <f>HYPERLINK("https://klasma.github.io/Logging_0380/klagomål/A 5703-2025 FSC-klagomål.docx", "A 5703-2025")</f>
        <v/>
      </c>
      <c r="W474">
        <f>HYPERLINK("https://klasma.github.io/Logging_0380/klagomålsmail/A 5703-2025 FSC-klagomål mail.docx", "A 5703-2025")</f>
        <v/>
      </c>
      <c r="X474">
        <f>HYPERLINK("https://klasma.github.io/Logging_0380/tillsyn/A 5703-2025 tillsynsbegäran.docx", "A 5703-2025")</f>
        <v/>
      </c>
      <c r="Y474">
        <f>HYPERLINK("https://klasma.github.io/Logging_0380/tillsynsmail/A 5703-2025 tillsynsbegäran mail.docx", "A 5703-2025")</f>
        <v/>
      </c>
    </row>
    <row r="475" ht="15" customHeight="1">
      <c r="A475" t="inlineStr">
        <is>
          <t>A 5755-2025</t>
        </is>
      </c>
      <c r="B475" s="1" t="n">
        <v>45694</v>
      </c>
      <c r="C475" s="1" t="n">
        <v>45846</v>
      </c>
      <c r="D475" t="inlineStr">
        <is>
          <t>UPPSALA LÄN</t>
        </is>
      </c>
      <c r="E475" t="inlineStr">
        <is>
          <t>UPPSALA</t>
        </is>
      </c>
      <c r="G475" t="n">
        <v>1.3</v>
      </c>
      <c r="H475" t="n">
        <v>0</v>
      </c>
      <c r="I475" t="n">
        <v>2</v>
      </c>
      <c r="J475" t="n">
        <v>0</v>
      </c>
      <c r="K475" t="n">
        <v>0</v>
      </c>
      <c r="L475" t="n">
        <v>0</v>
      </c>
      <c r="M475" t="n">
        <v>0</v>
      </c>
      <c r="N475" t="n">
        <v>0</v>
      </c>
      <c r="O475" t="n">
        <v>0</v>
      </c>
      <c r="P475" t="n">
        <v>0</v>
      </c>
      <c r="Q475" t="n">
        <v>2</v>
      </c>
      <c r="R475" s="2" t="inlineStr">
        <is>
          <t>Fällmossa
Hasselticka</t>
        </is>
      </c>
      <c r="S475">
        <f>HYPERLINK("https://klasma.github.io/Logging_0380/artfynd/A 5755-2025 artfynd.xlsx", "A 5755-2025")</f>
        <v/>
      </c>
      <c r="T475">
        <f>HYPERLINK("https://klasma.github.io/Logging_0380/kartor/A 5755-2025 karta.png", "A 5755-2025")</f>
        <v/>
      </c>
      <c r="V475">
        <f>HYPERLINK("https://klasma.github.io/Logging_0380/klagomål/A 5755-2025 FSC-klagomål.docx", "A 5755-2025")</f>
        <v/>
      </c>
      <c r="W475">
        <f>HYPERLINK("https://klasma.github.io/Logging_0380/klagomålsmail/A 5755-2025 FSC-klagomål mail.docx", "A 5755-2025")</f>
        <v/>
      </c>
      <c r="X475">
        <f>HYPERLINK("https://klasma.github.io/Logging_0380/tillsyn/A 5755-2025 tillsynsbegäran.docx", "A 5755-2025")</f>
        <v/>
      </c>
      <c r="Y475">
        <f>HYPERLINK("https://klasma.github.io/Logging_0380/tillsynsmail/A 5755-2025 tillsynsbegäran mail.docx", "A 5755-2025")</f>
        <v/>
      </c>
    </row>
    <row r="476" ht="15" customHeight="1">
      <c r="A476" t="inlineStr">
        <is>
          <t>A 6831-2025</t>
        </is>
      </c>
      <c r="B476" s="1" t="n">
        <v>45700</v>
      </c>
      <c r="C476" s="1" t="n">
        <v>45846</v>
      </c>
      <c r="D476" t="inlineStr">
        <is>
          <t>UPPSALA LÄN</t>
        </is>
      </c>
      <c r="E476" t="inlineStr">
        <is>
          <t>TIERP</t>
        </is>
      </c>
      <c r="G476" t="n">
        <v>11.7</v>
      </c>
      <c r="H476" t="n">
        <v>1</v>
      </c>
      <c r="I476" t="n">
        <v>1</v>
      </c>
      <c r="J476" t="n">
        <v>0</v>
      </c>
      <c r="K476" t="n">
        <v>0</v>
      </c>
      <c r="L476" t="n">
        <v>0</v>
      </c>
      <c r="M476" t="n">
        <v>0</v>
      </c>
      <c r="N476" t="n">
        <v>0</v>
      </c>
      <c r="O476" t="n">
        <v>0</v>
      </c>
      <c r="P476" t="n">
        <v>0</v>
      </c>
      <c r="Q476" t="n">
        <v>2</v>
      </c>
      <c r="R476" s="2" t="inlineStr">
        <is>
          <t>Tibast
Revlummer</t>
        </is>
      </c>
      <c r="S476">
        <f>HYPERLINK("https://klasma.github.io/Logging_0360/artfynd/A 6831-2025 artfynd.xlsx", "A 6831-2025")</f>
        <v/>
      </c>
      <c r="T476">
        <f>HYPERLINK("https://klasma.github.io/Logging_0360/kartor/A 6831-2025 karta.png", "A 6831-2025")</f>
        <v/>
      </c>
      <c r="V476">
        <f>HYPERLINK("https://klasma.github.io/Logging_0360/klagomål/A 6831-2025 FSC-klagomål.docx", "A 6831-2025")</f>
        <v/>
      </c>
      <c r="W476">
        <f>HYPERLINK("https://klasma.github.io/Logging_0360/klagomålsmail/A 6831-2025 FSC-klagomål mail.docx", "A 6831-2025")</f>
        <v/>
      </c>
      <c r="X476">
        <f>HYPERLINK("https://klasma.github.io/Logging_0360/tillsyn/A 6831-2025 tillsynsbegäran.docx", "A 6831-2025")</f>
        <v/>
      </c>
      <c r="Y476">
        <f>HYPERLINK("https://klasma.github.io/Logging_0360/tillsynsmail/A 6831-2025 tillsynsbegäran mail.docx", "A 6831-2025")</f>
        <v/>
      </c>
    </row>
    <row r="477" ht="15" customHeight="1">
      <c r="A477" t="inlineStr">
        <is>
          <t>A 9401-2025</t>
        </is>
      </c>
      <c r="B477" s="1" t="n">
        <v>45715</v>
      </c>
      <c r="C477" s="1" t="n">
        <v>45846</v>
      </c>
      <c r="D477" t="inlineStr">
        <is>
          <t>UPPSALA LÄN</t>
        </is>
      </c>
      <c r="E477" t="inlineStr">
        <is>
          <t>UPPSALA</t>
        </is>
      </c>
      <c r="G477" t="n">
        <v>3.1</v>
      </c>
      <c r="H477" t="n">
        <v>2</v>
      </c>
      <c r="I477" t="n">
        <v>0</v>
      </c>
      <c r="J477" t="n">
        <v>0</v>
      </c>
      <c r="K477" t="n">
        <v>0</v>
      </c>
      <c r="L477" t="n">
        <v>0</v>
      </c>
      <c r="M477" t="n">
        <v>0</v>
      </c>
      <c r="N477" t="n">
        <v>0</v>
      </c>
      <c r="O477" t="n">
        <v>0</v>
      </c>
      <c r="P477" t="n">
        <v>0</v>
      </c>
      <c r="Q477" t="n">
        <v>2</v>
      </c>
      <c r="R477" s="2" t="inlineStr">
        <is>
          <t>Vanlig padda
Blåsippa</t>
        </is>
      </c>
      <c r="S477">
        <f>HYPERLINK("https://klasma.github.io/Logging_030380/artfynd/A 9401-2025 artfynd.xlsx", "A 9401-2025")</f>
        <v/>
      </c>
      <c r="T477">
        <f>HYPERLINK("https://klasma.github.io/Logging_030380/kartor/A 9401-2025 karta.png", "A 9401-2025")</f>
        <v/>
      </c>
      <c r="V477">
        <f>HYPERLINK("https://klasma.github.io/Logging_030380/klagomål/A 9401-2025 FSC-klagomål.docx", "A 9401-2025")</f>
        <v/>
      </c>
      <c r="W477">
        <f>HYPERLINK("https://klasma.github.io/Logging_030380/klagomålsmail/A 9401-2025 FSC-klagomål mail.docx", "A 9401-2025")</f>
        <v/>
      </c>
      <c r="X477">
        <f>HYPERLINK("https://klasma.github.io/Logging_030380/tillsyn/A 9401-2025 tillsynsbegäran.docx", "A 9401-2025")</f>
        <v/>
      </c>
      <c r="Y477">
        <f>HYPERLINK("https://klasma.github.io/Logging_030380/tillsynsmail/A 9401-2025 tillsynsbegäran mail.docx", "A 9401-2025")</f>
        <v/>
      </c>
    </row>
    <row r="478" ht="15" customHeight="1">
      <c r="A478" t="inlineStr">
        <is>
          <t>A 17748-2025</t>
        </is>
      </c>
      <c r="B478" s="1" t="n">
        <v>45758</v>
      </c>
      <c r="C478" s="1" t="n">
        <v>45846</v>
      </c>
      <c r="D478" t="inlineStr">
        <is>
          <t>UPPSALA LÄN</t>
        </is>
      </c>
      <c r="E478" t="inlineStr">
        <is>
          <t>TIERP</t>
        </is>
      </c>
      <c r="F478" t="inlineStr">
        <is>
          <t>Bergvik skog öst AB</t>
        </is>
      </c>
      <c r="G478" t="n">
        <v>9.800000000000001</v>
      </c>
      <c r="H478" t="n">
        <v>1</v>
      </c>
      <c r="I478" t="n">
        <v>2</v>
      </c>
      <c r="J478" t="n">
        <v>0</v>
      </c>
      <c r="K478" t="n">
        <v>0</v>
      </c>
      <c r="L478" t="n">
        <v>0</v>
      </c>
      <c r="M478" t="n">
        <v>0</v>
      </c>
      <c r="N478" t="n">
        <v>0</v>
      </c>
      <c r="O478" t="n">
        <v>0</v>
      </c>
      <c r="P478" t="n">
        <v>0</v>
      </c>
      <c r="Q478" t="n">
        <v>2</v>
      </c>
      <c r="R478" s="2" t="inlineStr">
        <is>
          <t>Opalfingersvamp
Skogsknipprot</t>
        </is>
      </c>
      <c r="S478">
        <f>HYPERLINK("https://klasma.github.io/Logging_030360/artfynd/A 17748-2025 artfynd.xlsx", "A 17748-2025")</f>
        <v/>
      </c>
      <c r="T478">
        <f>HYPERLINK("https://klasma.github.io/Logging_030360/kartor/A 17748-2025 karta.png", "A 17748-2025")</f>
        <v/>
      </c>
      <c r="V478">
        <f>HYPERLINK("https://klasma.github.io/Logging_030360/klagomål/A 17748-2025 FSC-klagomål.docx", "A 17748-2025")</f>
        <v/>
      </c>
      <c r="W478">
        <f>HYPERLINK("https://klasma.github.io/Logging_030360/klagomålsmail/A 17748-2025 FSC-klagomål mail.docx", "A 17748-2025")</f>
        <v/>
      </c>
      <c r="X478">
        <f>HYPERLINK("https://klasma.github.io/Logging_030360/tillsyn/A 17748-2025 tillsynsbegäran.docx", "A 17748-2025")</f>
        <v/>
      </c>
      <c r="Y478">
        <f>HYPERLINK("https://klasma.github.io/Logging_030360/tillsynsmail/A 17748-2025 tillsynsbegäran mail.docx", "A 17748-2025")</f>
        <v/>
      </c>
    </row>
    <row r="479" ht="15" customHeight="1">
      <c r="A479" t="inlineStr">
        <is>
          <t>A 18425-2025</t>
        </is>
      </c>
      <c r="B479" s="1" t="n">
        <v>45762</v>
      </c>
      <c r="C479" s="1" t="n">
        <v>45846</v>
      </c>
      <c r="D479" t="inlineStr">
        <is>
          <t>UPPSALA LÄN</t>
        </is>
      </c>
      <c r="E479" t="inlineStr">
        <is>
          <t>UPPSALA</t>
        </is>
      </c>
      <c r="G479" t="n">
        <v>9.800000000000001</v>
      </c>
      <c r="H479" t="n">
        <v>1</v>
      </c>
      <c r="I479" t="n">
        <v>0</v>
      </c>
      <c r="J479" t="n">
        <v>2</v>
      </c>
      <c r="K479" t="n">
        <v>0</v>
      </c>
      <c r="L479" t="n">
        <v>0</v>
      </c>
      <c r="M479" t="n">
        <v>0</v>
      </c>
      <c r="N479" t="n">
        <v>0</v>
      </c>
      <c r="O479" t="n">
        <v>2</v>
      </c>
      <c r="P479" t="n">
        <v>0</v>
      </c>
      <c r="Q479" t="n">
        <v>2</v>
      </c>
      <c r="R479" s="2" t="inlineStr">
        <is>
          <t>Spillkråka
Tallticka</t>
        </is>
      </c>
      <c r="S479">
        <f>HYPERLINK("https://klasma.github.io/Logging_030380/artfynd/A 18425-2025 artfynd.xlsx", "A 18425-2025")</f>
        <v/>
      </c>
      <c r="T479">
        <f>HYPERLINK("https://klasma.github.io/Logging_030380/kartor/A 18425-2025 karta.png", "A 18425-2025")</f>
        <v/>
      </c>
      <c r="V479">
        <f>HYPERLINK("https://klasma.github.io/Logging_030380/klagomål/A 18425-2025 FSC-klagomål.docx", "A 18425-2025")</f>
        <v/>
      </c>
      <c r="W479">
        <f>HYPERLINK("https://klasma.github.io/Logging_030380/klagomålsmail/A 18425-2025 FSC-klagomål mail.docx", "A 18425-2025")</f>
        <v/>
      </c>
      <c r="X479">
        <f>HYPERLINK("https://klasma.github.io/Logging_030380/tillsyn/A 18425-2025 tillsynsbegäran.docx", "A 18425-2025")</f>
        <v/>
      </c>
      <c r="Y479">
        <f>HYPERLINK("https://klasma.github.io/Logging_030380/tillsynsmail/A 18425-2025 tillsynsbegäran mail.docx", "A 18425-2025")</f>
        <v/>
      </c>
      <c r="Z479">
        <f>HYPERLINK("https://klasma.github.io/Logging_030380/fåglar/A 18425-2025 prioriterade fågelarter.docx", "A 18425-2025")</f>
        <v/>
      </c>
    </row>
    <row r="480" ht="15" customHeight="1">
      <c r="A480" t="inlineStr">
        <is>
          <t>A 20553-2025</t>
        </is>
      </c>
      <c r="B480" s="1" t="n">
        <v>45775</v>
      </c>
      <c r="C480" s="1" t="n">
        <v>45846</v>
      </c>
      <c r="D480" t="inlineStr">
        <is>
          <t>UPPSALA LÄN</t>
        </is>
      </c>
      <c r="E480" t="inlineStr">
        <is>
          <t>ÖSTHAMMAR</t>
        </is>
      </c>
      <c r="G480" t="n">
        <v>0.4</v>
      </c>
      <c r="H480" t="n">
        <v>0</v>
      </c>
      <c r="I480" t="n">
        <v>2</v>
      </c>
      <c r="J480" t="n">
        <v>0</v>
      </c>
      <c r="K480" t="n">
        <v>0</v>
      </c>
      <c r="L480" t="n">
        <v>0</v>
      </c>
      <c r="M480" t="n">
        <v>0</v>
      </c>
      <c r="N480" t="n">
        <v>0</v>
      </c>
      <c r="O480" t="n">
        <v>0</v>
      </c>
      <c r="P480" t="n">
        <v>0</v>
      </c>
      <c r="Q480" t="n">
        <v>2</v>
      </c>
      <c r="R480" s="2" t="inlineStr">
        <is>
          <t>Jättesvampmal
Robust tickgnagare</t>
        </is>
      </c>
      <c r="S480">
        <f>HYPERLINK("https://klasma.github.io/Logging_030382/artfynd/A 20553-2025 artfynd.xlsx", "A 20553-2025")</f>
        <v/>
      </c>
      <c r="T480">
        <f>HYPERLINK("https://klasma.github.io/Logging_030382/kartor/A 20553-2025 karta.png", "A 20553-2025")</f>
        <v/>
      </c>
      <c r="V480">
        <f>HYPERLINK("https://klasma.github.io/Logging_030382/klagomål/A 20553-2025 FSC-klagomål.docx", "A 20553-2025")</f>
        <v/>
      </c>
      <c r="W480">
        <f>HYPERLINK("https://klasma.github.io/Logging_030382/klagomålsmail/A 20553-2025 FSC-klagomål mail.docx", "A 20553-2025")</f>
        <v/>
      </c>
      <c r="X480">
        <f>HYPERLINK("https://klasma.github.io/Logging_030382/tillsyn/A 20553-2025 tillsynsbegäran.docx", "A 20553-2025")</f>
        <v/>
      </c>
      <c r="Y480">
        <f>HYPERLINK("https://klasma.github.io/Logging_030382/tillsynsmail/A 20553-2025 tillsynsbegäran mail.docx", "A 20553-2025")</f>
        <v/>
      </c>
    </row>
    <row r="481" ht="15" customHeight="1">
      <c r="A481" t="inlineStr">
        <is>
          <t>A 21007-2025</t>
        </is>
      </c>
      <c r="B481" s="1" t="n">
        <v>45777</v>
      </c>
      <c r="C481" s="1" t="n">
        <v>45846</v>
      </c>
      <c r="D481" t="inlineStr">
        <is>
          <t>UPPSALA LÄN</t>
        </is>
      </c>
      <c r="E481" t="inlineStr">
        <is>
          <t>ÄLVKARLEBY</t>
        </is>
      </c>
      <c r="F481" t="inlineStr">
        <is>
          <t>Bergvik skog väst AB</t>
        </is>
      </c>
      <c r="G481" t="n">
        <v>5.2</v>
      </c>
      <c r="H481" t="n">
        <v>0</v>
      </c>
      <c r="I481" t="n">
        <v>2</v>
      </c>
      <c r="J481" t="n">
        <v>0</v>
      </c>
      <c r="K481" t="n">
        <v>0</v>
      </c>
      <c r="L481" t="n">
        <v>0</v>
      </c>
      <c r="M481" t="n">
        <v>0</v>
      </c>
      <c r="N481" t="n">
        <v>0</v>
      </c>
      <c r="O481" t="n">
        <v>0</v>
      </c>
      <c r="P481" t="n">
        <v>0</v>
      </c>
      <c r="Q481" t="n">
        <v>2</v>
      </c>
      <c r="R481" s="2" t="inlineStr">
        <is>
          <t>Svart trolldruva
Tibast</t>
        </is>
      </c>
      <c r="S481">
        <f>HYPERLINK("https://klasma.github.io/Logging_030319/artfynd/A 21007-2025 artfynd.xlsx", "A 21007-2025")</f>
        <v/>
      </c>
      <c r="T481">
        <f>HYPERLINK("https://klasma.github.io/Logging_030319/kartor/A 21007-2025 karta.png", "A 21007-2025")</f>
        <v/>
      </c>
      <c r="V481">
        <f>HYPERLINK("https://klasma.github.io/Logging_030319/klagomål/A 21007-2025 FSC-klagomål.docx", "A 21007-2025")</f>
        <v/>
      </c>
      <c r="W481">
        <f>HYPERLINK("https://klasma.github.io/Logging_030319/klagomålsmail/A 21007-2025 FSC-klagomål mail.docx", "A 21007-2025")</f>
        <v/>
      </c>
      <c r="X481">
        <f>HYPERLINK("https://klasma.github.io/Logging_030319/tillsyn/A 21007-2025 tillsynsbegäran.docx", "A 21007-2025")</f>
        <v/>
      </c>
      <c r="Y481">
        <f>HYPERLINK("https://klasma.github.io/Logging_030319/tillsynsmail/A 21007-2025 tillsynsbegäran mail.docx", "A 21007-2025")</f>
        <v/>
      </c>
    </row>
    <row r="482" ht="15" customHeight="1">
      <c r="A482" t="inlineStr">
        <is>
          <t>A 21607-2025</t>
        </is>
      </c>
      <c r="B482" s="1" t="n">
        <v>45783</v>
      </c>
      <c r="C482" s="1" t="n">
        <v>45846</v>
      </c>
      <c r="D482" t="inlineStr">
        <is>
          <t>UPPSALA LÄN</t>
        </is>
      </c>
      <c r="E482" t="inlineStr">
        <is>
          <t>TIERP</t>
        </is>
      </c>
      <c r="F482" t="inlineStr">
        <is>
          <t>Bergvik skog öst AB</t>
        </is>
      </c>
      <c r="G482" t="n">
        <v>6.8</v>
      </c>
      <c r="H482" t="n">
        <v>1</v>
      </c>
      <c r="I482" t="n">
        <v>1</v>
      </c>
      <c r="J482" t="n">
        <v>0</v>
      </c>
      <c r="K482" t="n">
        <v>0</v>
      </c>
      <c r="L482" t="n">
        <v>0</v>
      </c>
      <c r="M482" t="n">
        <v>0</v>
      </c>
      <c r="N482" t="n">
        <v>0</v>
      </c>
      <c r="O482" t="n">
        <v>0</v>
      </c>
      <c r="P482" t="n">
        <v>0</v>
      </c>
      <c r="Q482" t="n">
        <v>2</v>
      </c>
      <c r="R482" s="2" t="inlineStr">
        <is>
          <t>Vanlig rörsvepemossa
Revlummer</t>
        </is>
      </c>
      <c r="S482">
        <f>HYPERLINK("https://klasma.github.io/Logging_030360/artfynd/A 21607-2025 artfynd.xlsx", "A 21607-2025")</f>
        <v/>
      </c>
      <c r="T482">
        <f>HYPERLINK("https://klasma.github.io/Logging_030360/kartor/A 21607-2025 karta.png", "A 21607-2025")</f>
        <v/>
      </c>
      <c r="V482">
        <f>HYPERLINK("https://klasma.github.io/Logging_030360/klagomål/A 21607-2025 FSC-klagomål.docx", "A 21607-2025")</f>
        <v/>
      </c>
      <c r="W482">
        <f>HYPERLINK("https://klasma.github.io/Logging_030360/klagomålsmail/A 21607-2025 FSC-klagomål mail.docx", "A 21607-2025")</f>
        <v/>
      </c>
      <c r="X482">
        <f>HYPERLINK("https://klasma.github.io/Logging_030360/tillsyn/A 21607-2025 tillsynsbegäran.docx", "A 21607-2025")</f>
        <v/>
      </c>
      <c r="Y482">
        <f>HYPERLINK("https://klasma.github.io/Logging_030360/tillsynsmail/A 21607-2025 tillsynsbegäran mail.docx", "A 21607-2025")</f>
        <v/>
      </c>
    </row>
    <row r="483" ht="15" customHeight="1">
      <c r="A483" t="inlineStr">
        <is>
          <t>A 25013-2025</t>
        </is>
      </c>
      <c r="B483" s="1" t="n">
        <v>45799</v>
      </c>
      <c r="C483" s="1" t="n">
        <v>45846</v>
      </c>
      <c r="D483" t="inlineStr">
        <is>
          <t>UPPSALA LÄN</t>
        </is>
      </c>
      <c r="E483" t="inlineStr">
        <is>
          <t>TIERP</t>
        </is>
      </c>
      <c r="G483" t="n">
        <v>0.5</v>
      </c>
      <c r="H483" t="n">
        <v>0</v>
      </c>
      <c r="I483" t="n">
        <v>1</v>
      </c>
      <c r="J483" t="n">
        <v>1</v>
      </c>
      <c r="K483" t="n">
        <v>0</v>
      </c>
      <c r="L483" t="n">
        <v>0</v>
      </c>
      <c r="M483" t="n">
        <v>0</v>
      </c>
      <c r="N483" t="n">
        <v>0</v>
      </c>
      <c r="O483" t="n">
        <v>1</v>
      </c>
      <c r="P483" t="n">
        <v>0</v>
      </c>
      <c r="Q483" t="n">
        <v>2</v>
      </c>
      <c r="R483" s="2" t="inlineStr">
        <is>
          <t>Gul taggsvamp
Rödgul trumpetsvamp</t>
        </is>
      </c>
      <c r="S483">
        <f>HYPERLINK("https://klasma.github.io/Logging_030360/artfynd/A 25013-2025 artfynd.xlsx", "A 25013-2025")</f>
        <v/>
      </c>
      <c r="T483">
        <f>HYPERLINK("https://klasma.github.io/Logging_030360/kartor/A 25013-2025 karta.png", "A 25013-2025")</f>
        <v/>
      </c>
      <c r="V483">
        <f>HYPERLINK("https://klasma.github.io/Logging_030360/klagomål/A 25013-2025 FSC-klagomål.docx", "A 25013-2025")</f>
        <v/>
      </c>
      <c r="W483">
        <f>HYPERLINK("https://klasma.github.io/Logging_030360/klagomålsmail/A 25013-2025 FSC-klagomål mail.docx", "A 25013-2025")</f>
        <v/>
      </c>
      <c r="X483">
        <f>HYPERLINK("https://klasma.github.io/Logging_030360/tillsyn/A 25013-2025 tillsynsbegäran.docx", "A 25013-2025")</f>
        <v/>
      </c>
      <c r="Y483">
        <f>HYPERLINK("https://klasma.github.io/Logging_030360/tillsynsmail/A 25013-2025 tillsynsbegäran mail.docx", "A 25013-2025")</f>
        <v/>
      </c>
    </row>
    <row r="484" ht="15" customHeight="1">
      <c r="A484" t="inlineStr">
        <is>
          <t>A 27073-2025</t>
        </is>
      </c>
      <c r="B484" s="1" t="n">
        <v>45811</v>
      </c>
      <c r="C484" s="1" t="n">
        <v>45846</v>
      </c>
      <c r="D484" t="inlineStr">
        <is>
          <t>UPPSALA LÄN</t>
        </is>
      </c>
      <c r="E484" t="inlineStr">
        <is>
          <t>ENKÖPING</t>
        </is>
      </c>
      <c r="G484" t="n">
        <v>4.3</v>
      </c>
      <c r="H484" t="n">
        <v>0</v>
      </c>
      <c r="I484" t="n">
        <v>2</v>
      </c>
      <c r="J484" t="n">
        <v>0</v>
      </c>
      <c r="K484" t="n">
        <v>0</v>
      </c>
      <c r="L484" t="n">
        <v>0</v>
      </c>
      <c r="M484" t="n">
        <v>0</v>
      </c>
      <c r="N484" t="n">
        <v>0</v>
      </c>
      <c r="O484" t="n">
        <v>0</v>
      </c>
      <c r="P484" t="n">
        <v>0</v>
      </c>
      <c r="Q484" t="n">
        <v>2</v>
      </c>
      <c r="R484" s="2" t="inlineStr">
        <is>
          <t>Bågpraktmossa
Kärrkammossa</t>
        </is>
      </c>
      <c r="S484">
        <f>HYPERLINK("https://klasma.github.io/Logging_030381/artfynd/A 27073-2025 artfynd.xlsx", "A 27073-2025")</f>
        <v/>
      </c>
      <c r="T484">
        <f>HYPERLINK("https://klasma.github.io/Logging_030381/kartor/A 27073-2025 karta.png", "A 27073-2025")</f>
        <v/>
      </c>
      <c r="V484">
        <f>HYPERLINK("https://klasma.github.io/Logging_030381/klagomål/A 27073-2025 FSC-klagomål.docx", "A 27073-2025")</f>
        <v/>
      </c>
      <c r="W484">
        <f>HYPERLINK("https://klasma.github.io/Logging_030381/klagomålsmail/A 27073-2025 FSC-klagomål mail.docx", "A 27073-2025")</f>
        <v/>
      </c>
      <c r="X484">
        <f>HYPERLINK("https://klasma.github.io/Logging_030381/tillsyn/A 27073-2025 tillsynsbegäran.docx", "A 27073-2025")</f>
        <v/>
      </c>
      <c r="Y484">
        <f>HYPERLINK("https://klasma.github.io/Logging_030381/tillsynsmail/A 27073-2025 tillsynsbegäran mail.docx", "A 27073-2025")</f>
        <v/>
      </c>
    </row>
    <row r="485" ht="15" customHeight="1">
      <c r="A485" t="inlineStr">
        <is>
          <t>A 29416-2025</t>
        </is>
      </c>
      <c r="B485" s="1" t="n">
        <v>45824</v>
      </c>
      <c r="C485" s="1" t="n">
        <v>45846</v>
      </c>
      <c r="D485" t="inlineStr">
        <is>
          <t>UPPSALA LÄN</t>
        </is>
      </c>
      <c r="E485" t="inlineStr">
        <is>
          <t>HEBY</t>
        </is>
      </c>
      <c r="G485" t="n">
        <v>3.9</v>
      </c>
      <c r="H485" t="n">
        <v>0</v>
      </c>
      <c r="I485" t="n">
        <v>0</v>
      </c>
      <c r="J485" t="n">
        <v>2</v>
      </c>
      <c r="K485" t="n">
        <v>0</v>
      </c>
      <c r="L485" t="n">
        <v>0</v>
      </c>
      <c r="M485" t="n">
        <v>0</v>
      </c>
      <c r="N485" t="n">
        <v>0</v>
      </c>
      <c r="O485" t="n">
        <v>2</v>
      </c>
      <c r="P485" t="n">
        <v>0</v>
      </c>
      <c r="Q485" t="n">
        <v>2</v>
      </c>
      <c r="R485" s="2" t="inlineStr">
        <is>
          <t>Garnlav
Kortskaftad ärgspik</t>
        </is>
      </c>
      <c r="S485">
        <f>HYPERLINK("https://klasma.github.io/Logging_030331/artfynd/A 29416-2025 artfynd.xlsx", "A 29416-2025")</f>
        <v/>
      </c>
      <c r="T485">
        <f>HYPERLINK("https://klasma.github.io/Logging_030331/kartor/A 29416-2025 karta.png", "A 29416-2025")</f>
        <v/>
      </c>
      <c r="V485">
        <f>HYPERLINK("https://klasma.github.io/Logging_030331/klagomål/A 29416-2025 FSC-klagomål.docx", "A 29416-2025")</f>
        <v/>
      </c>
      <c r="W485">
        <f>HYPERLINK("https://klasma.github.io/Logging_030331/klagomålsmail/A 29416-2025 FSC-klagomål mail.docx", "A 29416-2025")</f>
        <v/>
      </c>
      <c r="X485">
        <f>HYPERLINK("https://klasma.github.io/Logging_030331/tillsyn/A 29416-2025 tillsynsbegäran.docx", "A 29416-2025")</f>
        <v/>
      </c>
      <c r="Y485">
        <f>HYPERLINK("https://klasma.github.io/Logging_030331/tillsynsmail/A 29416-2025 tillsynsbegäran mail.docx", "A 29416-2025")</f>
        <v/>
      </c>
    </row>
    <row r="486" ht="15" customHeight="1">
      <c r="A486" t="inlineStr">
        <is>
          <t>A 33269-2025</t>
        </is>
      </c>
      <c r="B486" s="1" t="n">
        <v>45840</v>
      </c>
      <c r="C486" s="1" t="n">
        <v>45846</v>
      </c>
      <c r="D486" t="inlineStr">
        <is>
          <t>UPPSALA LÄN</t>
        </is>
      </c>
      <c r="E486" t="inlineStr">
        <is>
          <t>ÖSTHAMMAR</t>
        </is>
      </c>
      <c r="G486" t="n">
        <v>14.9</v>
      </c>
      <c r="H486" t="n">
        <v>0</v>
      </c>
      <c r="I486" t="n">
        <v>1</v>
      </c>
      <c r="J486" t="n">
        <v>0</v>
      </c>
      <c r="K486" t="n">
        <v>1</v>
      </c>
      <c r="L486" t="n">
        <v>0</v>
      </c>
      <c r="M486" t="n">
        <v>0</v>
      </c>
      <c r="N486" t="n">
        <v>0</v>
      </c>
      <c r="O486" t="n">
        <v>1</v>
      </c>
      <c r="P486" t="n">
        <v>1</v>
      </c>
      <c r="Q486" t="n">
        <v>2</v>
      </c>
      <c r="R486" s="2" t="inlineStr">
        <is>
          <t>Violgubbe
Kamjordstjärna</t>
        </is>
      </c>
      <c r="S486">
        <f>HYPERLINK("https://klasma.github.io/Logging_030382/artfynd/A 33269-2025 artfynd.xlsx", "A 33269-2025")</f>
        <v/>
      </c>
      <c r="T486">
        <f>HYPERLINK("https://klasma.github.io/Logging_030382/kartor/A 33269-2025 karta.png", "A 33269-2025")</f>
        <v/>
      </c>
      <c r="V486">
        <f>HYPERLINK("https://klasma.github.io/Logging_030382/klagomål/A 33269-2025 FSC-klagomål.docx", "A 33269-2025")</f>
        <v/>
      </c>
      <c r="W486">
        <f>HYPERLINK("https://klasma.github.io/Logging_030382/klagomålsmail/A 33269-2025 FSC-klagomål mail.docx", "A 33269-2025")</f>
        <v/>
      </c>
      <c r="X486">
        <f>HYPERLINK("https://klasma.github.io/Logging_030382/tillsyn/A 33269-2025 tillsynsbegäran.docx", "A 33269-2025")</f>
        <v/>
      </c>
      <c r="Y486">
        <f>HYPERLINK("https://klasma.github.io/Logging_030382/tillsynsmail/A 33269-2025 tillsynsbegäran mail.docx", "A 33269-2025")</f>
        <v/>
      </c>
    </row>
    <row r="487" ht="15" customHeight="1">
      <c r="A487" t="inlineStr">
        <is>
          <t>A 33707-2025</t>
        </is>
      </c>
      <c r="B487" s="1" t="n">
        <v>45841</v>
      </c>
      <c r="C487" s="1" t="n">
        <v>45846</v>
      </c>
      <c r="D487" t="inlineStr">
        <is>
          <t>UPPSALA LÄN</t>
        </is>
      </c>
      <c r="E487" t="inlineStr">
        <is>
          <t>UPPSALA</t>
        </is>
      </c>
      <c r="F487" t="inlineStr">
        <is>
          <t>Holmen skog AB</t>
        </is>
      </c>
      <c r="G487" t="n">
        <v>7.9</v>
      </c>
      <c r="H487" t="n">
        <v>2</v>
      </c>
      <c r="I487" t="n">
        <v>0</v>
      </c>
      <c r="J487" t="n">
        <v>2</v>
      </c>
      <c r="K487" t="n">
        <v>0</v>
      </c>
      <c r="L487" t="n">
        <v>0</v>
      </c>
      <c r="M487" t="n">
        <v>0</v>
      </c>
      <c r="N487" t="n">
        <v>0</v>
      </c>
      <c r="O487" t="n">
        <v>2</v>
      </c>
      <c r="P487" t="n">
        <v>0</v>
      </c>
      <c r="Q487" t="n">
        <v>2</v>
      </c>
      <c r="R487" s="2" t="inlineStr">
        <is>
          <t>Buskskvätta
Gulsparv</t>
        </is>
      </c>
      <c r="S487">
        <f>HYPERLINK("https://klasma.github.io/Logging_030380/artfynd/A 33707-2025 artfynd.xlsx", "A 33707-2025")</f>
        <v/>
      </c>
      <c r="T487">
        <f>HYPERLINK("https://klasma.github.io/Logging_030380/kartor/A 33707-2025 karta.png", "A 33707-2025")</f>
        <v/>
      </c>
      <c r="V487">
        <f>HYPERLINK("https://klasma.github.io/Logging_030380/klagomål/A 33707-2025 FSC-klagomål.docx", "A 33707-2025")</f>
        <v/>
      </c>
      <c r="W487">
        <f>HYPERLINK("https://klasma.github.io/Logging_030380/klagomålsmail/A 33707-2025 FSC-klagomål mail.docx", "A 33707-2025")</f>
        <v/>
      </c>
      <c r="X487">
        <f>HYPERLINK("https://klasma.github.io/Logging_030380/tillsyn/A 33707-2025 tillsynsbegäran.docx", "A 33707-2025")</f>
        <v/>
      </c>
      <c r="Y487">
        <f>HYPERLINK("https://klasma.github.io/Logging_030380/tillsynsmail/A 33707-2025 tillsynsbegäran mail.docx", "A 33707-2025")</f>
        <v/>
      </c>
      <c r="Z487">
        <f>HYPERLINK("https://klasma.github.io/Logging_030380/fåglar/A 33707-2025 prioriterade fågelarter.docx", "A 33707-2025")</f>
        <v/>
      </c>
    </row>
    <row r="488" ht="15" customHeight="1">
      <c r="A488" t="inlineStr">
        <is>
          <t>A 18172-2019</t>
        </is>
      </c>
      <c r="B488" s="1" t="n">
        <v>43558</v>
      </c>
      <c r="C488" s="1" t="n">
        <v>45846</v>
      </c>
      <c r="D488" t="inlineStr">
        <is>
          <t>UPPSALA LÄN</t>
        </is>
      </c>
      <c r="E488" t="inlineStr">
        <is>
          <t>KNIVSTA</t>
        </is>
      </c>
      <c r="G488" t="n">
        <v>6.7</v>
      </c>
      <c r="H488" t="n">
        <v>1</v>
      </c>
      <c r="I488" t="n">
        <v>0</v>
      </c>
      <c r="J488" t="n">
        <v>1</v>
      </c>
      <c r="K488" t="n">
        <v>0</v>
      </c>
      <c r="L488" t="n">
        <v>0</v>
      </c>
      <c r="M488" t="n">
        <v>0</v>
      </c>
      <c r="N488" t="n">
        <v>0</v>
      </c>
      <c r="O488" t="n">
        <v>1</v>
      </c>
      <c r="P488" t="n">
        <v>0</v>
      </c>
      <c r="Q488" t="n">
        <v>1</v>
      </c>
      <c r="R488" s="2" t="inlineStr">
        <is>
          <t>Spillkråka</t>
        </is>
      </c>
      <c r="S488">
        <f>HYPERLINK("https://klasma.github.io/Logging_0330/artfynd/A 18172-2019 artfynd.xlsx", "A 18172-2019")</f>
        <v/>
      </c>
      <c r="T488">
        <f>HYPERLINK("https://klasma.github.io/Logging_0330/kartor/A 18172-2019 karta.png", "A 18172-2019")</f>
        <v/>
      </c>
      <c r="V488">
        <f>HYPERLINK("https://klasma.github.io/Logging_0330/klagomål/A 18172-2019 FSC-klagomål.docx", "A 18172-2019")</f>
        <v/>
      </c>
      <c r="W488">
        <f>HYPERLINK("https://klasma.github.io/Logging_0330/klagomålsmail/A 18172-2019 FSC-klagomål mail.docx", "A 18172-2019")</f>
        <v/>
      </c>
      <c r="X488">
        <f>HYPERLINK("https://klasma.github.io/Logging_0330/tillsyn/A 18172-2019 tillsynsbegäran.docx", "A 18172-2019")</f>
        <v/>
      </c>
      <c r="Y488">
        <f>HYPERLINK("https://klasma.github.io/Logging_0330/tillsynsmail/A 18172-2019 tillsynsbegäran mail.docx", "A 18172-2019")</f>
        <v/>
      </c>
      <c r="Z488">
        <f>HYPERLINK("https://klasma.github.io/Logging_0330/fåglar/A 18172-2019 prioriterade fågelarter.docx", "A 18172-2019")</f>
        <v/>
      </c>
    </row>
    <row r="489" ht="15" customHeight="1">
      <c r="A489" t="inlineStr">
        <is>
          <t>A 18495-2019</t>
        </is>
      </c>
      <c r="B489" s="1" t="n">
        <v>43559</v>
      </c>
      <c r="C489" s="1" t="n">
        <v>45846</v>
      </c>
      <c r="D489" t="inlineStr">
        <is>
          <t>UPPSALA LÄN</t>
        </is>
      </c>
      <c r="E489" t="inlineStr">
        <is>
          <t>HEBY</t>
        </is>
      </c>
      <c r="G489" t="n">
        <v>1.1</v>
      </c>
      <c r="H489" t="n">
        <v>1</v>
      </c>
      <c r="I489" t="n">
        <v>0</v>
      </c>
      <c r="J489" t="n">
        <v>1</v>
      </c>
      <c r="K489" t="n">
        <v>0</v>
      </c>
      <c r="L489" t="n">
        <v>0</v>
      </c>
      <c r="M489" t="n">
        <v>0</v>
      </c>
      <c r="N489" t="n">
        <v>0</v>
      </c>
      <c r="O489" t="n">
        <v>1</v>
      </c>
      <c r="P489" t="n">
        <v>0</v>
      </c>
      <c r="Q489" t="n">
        <v>1</v>
      </c>
      <c r="R489" s="2" t="inlineStr">
        <is>
          <t>Slaguggla</t>
        </is>
      </c>
      <c r="S489">
        <f>HYPERLINK("https://klasma.github.io/Logging_0331/artfynd/A 18495-2019 artfynd.xlsx", "A 18495-2019")</f>
        <v/>
      </c>
      <c r="T489">
        <f>HYPERLINK("https://klasma.github.io/Logging_0331/kartor/A 18495-2019 karta.png", "A 18495-2019")</f>
        <v/>
      </c>
      <c r="V489">
        <f>HYPERLINK("https://klasma.github.io/Logging_0331/klagomål/A 18495-2019 FSC-klagomål.docx", "A 18495-2019")</f>
        <v/>
      </c>
      <c r="W489">
        <f>HYPERLINK("https://klasma.github.io/Logging_0331/klagomålsmail/A 18495-2019 FSC-klagomål mail.docx", "A 18495-2019")</f>
        <v/>
      </c>
      <c r="X489">
        <f>HYPERLINK("https://klasma.github.io/Logging_0331/tillsyn/A 18495-2019 tillsynsbegäran.docx", "A 18495-2019")</f>
        <v/>
      </c>
      <c r="Y489">
        <f>HYPERLINK("https://klasma.github.io/Logging_0331/tillsynsmail/A 18495-2019 tillsynsbegäran mail.docx", "A 18495-2019")</f>
        <v/>
      </c>
      <c r="Z489">
        <f>HYPERLINK("https://klasma.github.io/Logging_0331/fåglar/A 18495-2019 prioriterade fågelarter.docx", "A 18495-2019")</f>
        <v/>
      </c>
    </row>
    <row r="490" ht="15" customHeight="1">
      <c r="A490" t="inlineStr">
        <is>
          <t>A 19512-2019</t>
        </is>
      </c>
      <c r="B490" s="1" t="n">
        <v>43565</v>
      </c>
      <c r="C490" s="1" t="n">
        <v>45846</v>
      </c>
      <c r="D490" t="inlineStr">
        <is>
          <t>UPPSALA LÄN</t>
        </is>
      </c>
      <c r="E490" t="inlineStr">
        <is>
          <t>KNIVSTA</t>
        </is>
      </c>
      <c r="G490" t="n">
        <v>5.6</v>
      </c>
      <c r="H490" t="n">
        <v>1</v>
      </c>
      <c r="I490" t="n">
        <v>0</v>
      </c>
      <c r="J490" t="n">
        <v>0</v>
      </c>
      <c r="K490" t="n">
        <v>0</v>
      </c>
      <c r="L490" t="n">
        <v>0</v>
      </c>
      <c r="M490" t="n">
        <v>0</v>
      </c>
      <c r="N490" t="n">
        <v>0</v>
      </c>
      <c r="O490" t="n">
        <v>0</v>
      </c>
      <c r="P490" t="n">
        <v>0</v>
      </c>
      <c r="Q490" t="n">
        <v>1</v>
      </c>
      <c r="R490" s="2" t="inlineStr">
        <is>
          <t>Tjäder</t>
        </is>
      </c>
      <c r="S490">
        <f>HYPERLINK("https://klasma.github.io/Logging_0330/artfynd/A 19512-2019 artfynd.xlsx", "A 19512-2019")</f>
        <v/>
      </c>
      <c r="T490">
        <f>HYPERLINK("https://klasma.github.io/Logging_0330/kartor/A 19512-2019 karta.png", "A 19512-2019")</f>
        <v/>
      </c>
      <c r="V490">
        <f>HYPERLINK("https://klasma.github.io/Logging_0330/klagomål/A 19512-2019 FSC-klagomål.docx", "A 19512-2019")</f>
        <v/>
      </c>
      <c r="W490">
        <f>HYPERLINK("https://klasma.github.io/Logging_0330/klagomålsmail/A 19512-2019 FSC-klagomål mail.docx", "A 19512-2019")</f>
        <v/>
      </c>
      <c r="X490">
        <f>HYPERLINK("https://klasma.github.io/Logging_0330/tillsyn/A 19512-2019 tillsynsbegäran.docx", "A 19512-2019")</f>
        <v/>
      </c>
      <c r="Y490">
        <f>HYPERLINK("https://klasma.github.io/Logging_0330/tillsynsmail/A 19512-2019 tillsynsbegäran mail.docx", "A 19512-2019")</f>
        <v/>
      </c>
      <c r="Z490">
        <f>HYPERLINK("https://klasma.github.io/Logging_0330/fåglar/A 19512-2019 prioriterade fågelarter.docx", "A 19512-2019")</f>
        <v/>
      </c>
    </row>
    <row r="491" ht="15" customHeight="1">
      <c r="A491" t="inlineStr">
        <is>
          <t>A 21862-2019</t>
        </is>
      </c>
      <c r="B491" s="1" t="n">
        <v>43583</v>
      </c>
      <c r="C491" s="1" t="n">
        <v>45846</v>
      </c>
      <c r="D491" t="inlineStr">
        <is>
          <t>UPPSALA LÄN</t>
        </is>
      </c>
      <c r="E491" t="inlineStr">
        <is>
          <t>UPPSALA</t>
        </is>
      </c>
      <c r="G491" t="n">
        <v>9.5</v>
      </c>
      <c r="H491" t="n">
        <v>1</v>
      </c>
      <c r="I491" t="n">
        <v>0</v>
      </c>
      <c r="J491" t="n">
        <v>0</v>
      </c>
      <c r="K491" t="n">
        <v>1</v>
      </c>
      <c r="L491" t="n">
        <v>0</v>
      </c>
      <c r="M491" t="n">
        <v>0</v>
      </c>
      <c r="N491" t="n">
        <v>0</v>
      </c>
      <c r="O491" t="n">
        <v>1</v>
      </c>
      <c r="P491" t="n">
        <v>1</v>
      </c>
      <c r="Q491" t="n">
        <v>1</v>
      </c>
      <c r="R491" s="2" t="inlineStr">
        <is>
          <t>Stare</t>
        </is>
      </c>
      <c r="S491">
        <f>HYPERLINK("https://klasma.github.io/Logging_0380/artfynd/A 21862-2019 artfynd.xlsx", "A 21862-2019")</f>
        <v/>
      </c>
      <c r="T491">
        <f>HYPERLINK("https://klasma.github.io/Logging_0380/kartor/A 21862-2019 karta.png", "A 21862-2019")</f>
        <v/>
      </c>
      <c r="V491">
        <f>HYPERLINK("https://klasma.github.io/Logging_0380/klagomål/A 21862-2019 FSC-klagomål.docx", "A 21862-2019")</f>
        <v/>
      </c>
      <c r="W491">
        <f>HYPERLINK("https://klasma.github.io/Logging_0380/klagomålsmail/A 21862-2019 FSC-klagomål mail.docx", "A 21862-2019")</f>
        <v/>
      </c>
      <c r="X491">
        <f>HYPERLINK("https://klasma.github.io/Logging_0380/tillsyn/A 21862-2019 tillsynsbegäran.docx", "A 21862-2019")</f>
        <v/>
      </c>
      <c r="Y491">
        <f>HYPERLINK("https://klasma.github.io/Logging_0380/tillsynsmail/A 21862-2019 tillsynsbegäran mail.docx", "A 21862-2019")</f>
        <v/>
      </c>
    </row>
    <row r="492" ht="15" customHeight="1">
      <c r="A492" t="inlineStr">
        <is>
          <t>A 30583-2019</t>
        </is>
      </c>
      <c r="B492" s="1" t="n">
        <v>43635</v>
      </c>
      <c r="C492" s="1" t="n">
        <v>45846</v>
      </c>
      <c r="D492" t="inlineStr">
        <is>
          <t>UPPSALA LÄN</t>
        </is>
      </c>
      <c r="E492" t="inlineStr">
        <is>
          <t>TIERP</t>
        </is>
      </c>
      <c r="G492" t="n">
        <v>1.9</v>
      </c>
      <c r="H492" t="n">
        <v>1</v>
      </c>
      <c r="I492" t="n">
        <v>1</v>
      </c>
      <c r="J492" t="n">
        <v>0</v>
      </c>
      <c r="K492" t="n">
        <v>0</v>
      </c>
      <c r="L492" t="n">
        <v>0</v>
      </c>
      <c r="M492" t="n">
        <v>0</v>
      </c>
      <c r="N492" t="n">
        <v>0</v>
      </c>
      <c r="O492" t="n">
        <v>0</v>
      </c>
      <c r="P492" t="n">
        <v>0</v>
      </c>
      <c r="Q492" t="n">
        <v>1</v>
      </c>
      <c r="R492" s="2" t="inlineStr">
        <is>
          <t>Guckusko</t>
        </is>
      </c>
      <c r="S492">
        <f>HYPERLINK("https://klasma.github.io/Logging_0360/artfynd/A 30583-2019 artfynd.xlsx", "A 30583-2019")</f>
        <v/>
      </c>
      <c r="T492">
        <f>HYPERLINK("https://klasma.github.io/Logging_0360/kartor/A 30583-2019 karta.png", "A 30583-2019")</f>
        <v/>
      </c>
      <c r="V492">
        <f>HYPERLINK("https://klasma.github.io/Logging_0360/klagomål/A 30583-2019 FSC-klagomål.docx", "A 30583-2019")</f>
        <v/>
      </c>
      <c r="W492">
        <f>HYPERLINK("https://klasma.github.io/Logging_0360/klagomålsmail/A 30583-2019 FSC-klagomål mail.docx", "A 30583-2019")</f>
        <v/>
      </c>
      <c r="X492">
        <f>HYPERLINK("https://klasma.github.io/Logging_0360/tillsyn/A 30583-2019 tillsynsbegäran.docx", "A 30583-2019")</f>
        <v/>
      </c>
      <c r="Y492">
        <f>HYPERLINK("https://klasma.github.io/Logging_0360/tillsynsmail/A 30583-2019 tillsynsbegäran mail.docx", "A 30583-2019")</f>
        <v/>
      </c>
    </row>
    <row r="493" ht="15" customHeight="1">
      <c r="A493" t="inlineStr">
        <is>
          <t>A 33753-2019</t>
        </is>
      </c>
      <c r="B493" s="1" t="n">
        <v>43651</v>
      </c>
      <c r="C493" s="1" t="n">
        <v>45846</v>
      </c>
      <c r="D493" t="inlineStr">
        <is>
          <t>UPPSALA LÄN</t>
        </is>
      </c>
      <c r="E493" t="inlineStr">
        <is>
          <t>TIERP</t>
        </is>
      </c>
      <c r="F493" t="inlineStr">
        <is>
          <t>Bergvik skog öst AB</t>
        </is>
      </c>
      <c r="G493" t="n">
        <v>1</v>
      </c>
      <c r="H493" t="n">
        <v>1</v>
      </c>
      <c r="I493" t="n">
        <v>0</v>
      </c>
      <c r="J493" t="n">
        <v>0</v>
      </c>
      <c r="K493" t="n">
        <v>0</v>
      </c>
      <c r="L493" t="n">
        <v>0</v>
      </c>
      <c r="M493" t="n">
        <v>0</v>
      </c>
      <c r="N493" t="n">
        <v>0</v>
      </c>
      <c r="O493" t="n">
        <v>0</v>
      </c>
      <c r="P493" t="n">
        <v>0</v>
      </c>
      <c r="Q493" t="n">
        <v>1</v>
      </c>
      <c r="R493" s="2" t="inlineStr">
        <is>
          <t>Blåsippa</t>
        </is>
      </c>
      <c r="S493">
        <f>HYPERLINK("https://klasma.github.io/Logging_0360/artfynd/A 33753-2019 artfynd.xlsx", "A 33753-2019")</f>
        <v/>
      </c>
      <c r="T493">
        <f>HYPERLINK("https://klasma.github.io/Logging_0360/kartor/A 33753-2019 karta.png", "A 33753-2019")</f>
        <v/>
      </c>
      <c r="V493">
        <f>HYPERLINK("https://klasma.github.io/Logging_0360/klagomål/A 33753-2019 FSC-klagomål.docx", "A 33753-2019")</f>
        <v/>
      </c>
      <c r="W493">
        <f>HYPERLINK("https://klasma.github.io/Logging_0360/klagomålsmail/A 33753-2019 FSC-klagomål mail.docx", "A 33753-2019")</f>
        <v/>
      </c>
      <c r="X493">
        <f>HYPERLINK("https://klasma.github.io/Logging_0360/tillsyn/A 33753-2019 tillsynsbegäran.docx", "A 33753-2019")</f>
        <v/>
      </c>
      <c r="Y493">
        <f>HYPERLINK("https://klasma.github.io/Logging_0360/tillsynsmail/A 33753-2019 tillsynsbegäran mail.docx", "A 33753-2019")</f>
        <v/>
      </c>
    </row>
    <row r="494" ht="15" customHeight="1">
      <c r="A494" t="inlineStr">
        <is>
          <t>A 36637-2019</t>
        </is>
      </c>
      <c r="B494" s="1" t="n">
        <v>43671</v>
      </c>
      <c r="C494" s="1" t="n">
        <v>45846</v>
      </c>
      <c r="D494" t="inlineStr">
        <is>
          <t>UPPSALA LÄN</t>
        </is>
      </c>
      <c r="E494" t="inlineStr">
        <is>
          <t>KNIVSTA</t>
        </is>
      </c>
      <c r="G494" t="n">
        <v>3</v>
      </c>
      <c r="H494" t="n">
        <v>1</v>
      </c>
      <c r="I494" t="n">
        <v>0</v>
      </c>
      <c r="J494" t="n">
        <v>0</v>
      </c>
      <c r="K494" t="n">
        <v>0</v>
      </c>
      <c r="L494" t="n">
        <v>0</v>
      </c>
      <c r="M494" t="n">
        <v>0</v>
      </c>
      <c r="N494" t="n">
        <v>0</v>
      </c>
      <c r="O494" t="n">
        <v>0</v>
      </c>
      <c r="P494" t="n">
        <v>0</v>
      </c>
      <c r="Q494" t="n">
        <v>1</v>
      </c>
      <c r="R494" s="2" t="inlineStr">
        <is>
          <t>Revlummer</t>
        </is>
      </c>
      <c r="S494">
        <f>HYPERLINK("https://klasma.github.io/Logging_0330/artfynd/A 36637-2019 artfynd.xlsx", "A 36637-2019")</f>
        <v/>
      </c>
      <c r="T494">
        <f>HYPERLINK("https://klasma.github.io/Logging_0330/kartor/A 36637-2019 karta.png", "A 36637-2019")</f>
        <v/>
      </c>
      <c r="V494">
        <f>HYPERLINK("https://klasma.github.io/Logging_0330/klagomål/A 36637-2019 FSC-klagomål.docx", "A 36637-2019")</f>
        <v/>
      </c>
      <c r="W494">
        <f>HYPERLINK("https://klasma.github.io/Logging_0330/klagomålsmail/A 36637-2019 FSC-klagomål mail.docx", "A 36637-2019")</f>
        <v/>
      </c>
      <c r="X494">
        <f>HYPERLINK("https://klasma.github.io/Logging_0330/tillsyn/A 36637-2019 tillsynsbegäran.docx", "A 36637-2019")</f>
        <v/>
      </c>
      <c r="Y494">
        <f>HYPERLINK("https://klasma.github.io/Logging_0330/tillsynsmail/A 36637-2019 tillsynsbegäran mail.docx", "A 36637-2019")</f>
        <v/>
      </c>
    </row>
    <row r="495" ht="15" customHeight="1">
      <c r="A495" t="inlineStr">
        <is>
          <t>A 38957-2019</t>
        </is>
      </c>
      <c r="B495" s="1" t="n">
        <v>43689</v>
      </c>
      <c r="C495" s="1" t="n">
        <v>45846</v>
      </c>
      <c r="D495" t="inlineStr">
        <is>
          <t>UPPSALA LÄN</t>
        </is>
      </c>
      <c r="E495" t="inlineStr">
        <is>
          <t>ÖSTHAMMAR</t>
        </is>
      </c>
      <c r="G495" t="n">
        <v>1.9</v>
      </c>
      <c r="H495" t="n">
        <v>0</v>
      </c>
      <c r="I495" t="n">
        <v>0</v>
      </c>
      <c r="J495" t="n">
        <v>1</v>
      </c>
      <c r="K495" t="n">
        <v>0</v>
      </c>
      <c r="L495" t="n">
        <v>0</v>
      </c>
      <c r="M495" t="n">
        <v>0</v>
      </c>
      <c r="N495" t="n">
        <v>0</v>
      </c>
      <c r="O495" t="n">
        <v>1</v>
      </c>
      <c r="P495" t="n">
        <v>0</v>
      </c>
      <c r="Q495" t="n">
        <v>1</v>
      </c>
      <c r="R495" s="2" t="inlineStr">
        <is>
          <t>Bredbrämad bastardsvärmare</t>
        </is>
      </c>
      <c r="S495">
        <f>HYPERLINK("https://klasma.github.io/Logging_0382/artfynd/A 38957-2019 artfynd.xlsx", "A 38957-2019")</f>
        <v/>
      </c>
      <c r="T495">
        <f>HYPERLINK("https://klasma.github.io/Logging_0382/kartor/A 38957-2019 karta.png", "A 38957-2019")</f>
        <v/>
      </c>
      <c r="V495">
        <f>HYPERLINK("https://klasma.github.io/Logging_0382/klagomål/A 38957-2019 FSC-klagomål.docx", "A 38957-2019")</f>
        <v/>
      </c>
      <c r="W495">
        <f>HYPERLINK("https://klasma.github.io/Logging_0382/klagomålsmail/A 38957-2019 FSC-klagomål mail.docx", "A 38957-2019")</f>
        <v/>
      </c>
      <c r="X495">
        <f>HYPERLINK("https://klasma.github.io/Logging_0382/tillsyn/A 38957-2019 tillsynsbegäran.docx", "A 38957-2019")</f>
        <v/>
      </c>
      <c r="Y495">
        <f>HYPERLINK("https://klasma.github.io/Logging_0382/tillsynsmail/A 38957-2019 tillsynsbegäran mail.docx", "A 38957-2019")</f>
        <v/>
      </c>
    </row>
    <row r="496" ht="15" customHeight="1">
      <c r="A496" t="inlineStr">
        <is>
          <t>A 39974-2019</t>
        </is>
      </c>
      <c r="B496" s="1" t="n">
        <v>43692</v>
      </c>
      <c r="C496" s="1" t="n">
        <v>45846</v>
      </c>
      <c r="D496" t="inlineStr">
        <is>
          <t>UPPSALA LÄN</t>
        </is>
      </c>
      <c r="E496" t="inlineStr">
        <is>
          <t>ENKÖPING</t>
        </is>
      </c>
      <c r="G496" t="n">
        <v>6</v>
      </c>
      <c r="H496" t="n">
        <v>1</v>
      </c>
      <c r="I496" t="n">
        <v>0</v>
      </c>
      <c r="J496" t="n">
        <v>1</v>
      </c>
      <c r="K496" t="n">
        <v>0</v>
      </c>
      <c r="L496" t="n">
        <v>0</v>
      </c>
      <c r="M496" t="n">
        <v>0</v>
      </c>
      <c r="N496" t="n">
        <v>0</v>
      </c>
      <c r="O496" t="n">
        <v>1</v>
      </c>
      <c r="P496" t="n">
        <v>0</v>
      </c>
      <c r="Q496" t="n">
        <v>1</v>
      </c>
      <c r="R496" s="2" t="inlineStr">
        <is>
          <t>Havsörn</t>
        </is>
      </c>
      <c r="S496">
        <f>HYPERLINK("https://klasma.github.io/Logging_0381/artfynd/A 39974-2019 artfynd.xlsx", "A 39974-2019")</f>
        <v/>
      </c>
      <c r="T496">
        <f>HYPERLINK("https://klasma.github.io/Logging_0381/kartor/A 39974-2019 karta.png", "A 39974-2019")</f>
        <v/>
      </c>
      <c r="V496">
        <f>HYPERLINK("https://klasma.github.io/Logging_0381/klagomål/A 39974-2019 FSC-klagomål.docx", "A 39974-2019")</f>
        <v/>
      </c>
      <c r="W496">
        <f>HYPERLINK("https://klasma.github.io/Logging_0381/klagomålsmail/A 39974-2019 FSC-klagomål mail.docx", "A 39974-2019")</f>
        <v/>
      </c>
      <c r="X496">
        <f>HYPERLINK("https://klasma.github.io/Logging_0381/tillsyn/A 39974-2019 tillsynsbegäran.docx", "A 39974-2019")</f>
        <v/>
      </c>
      <c r="Y496">
        <f>HYPERLINK("https://klasma.github.io/Logging_0381/tillsynsmail/A 39974-2019 tillsynsbegäran mail.docx", "A 39974-2019")</f>
        <v/>
      </c>
      <c r="Z496">
        <f>HYPERLINK("https://klasma.github.io/Logging_0381/fåglar/A 39974-2019 prioriterade fågelarter.docx", "A 39974-2019")</f>
        <v/>
      </c>
    </row>
    <row r="497" ht="15" customHeight="1">
      <c r="A497" t="inlineStr">
        <is>
          <t>A 40104-2019</t>
        </is>
      </c>
      <c r="B497" s="1" t="n">
        <v>43693</v>
      </c>
      <c r="C497" s="1" t="n">
        <v>45846</v>
      </c>
      <c r="D497" t="inlineStr">
        <is>
          <t>UPPSALA LÄN</t>
        </is>
      </c>
      <c r="E497" t="inlineStr">
        <is>
          <t>UPPSALA</t>
        </is>
      </c>
      <c r="G497" t="n">
        <v>1.8</v>
      </c>
      <c r="H497" t="n">
        <v>1</v>
      </c>
      <c r="I497" t="n">
        <v>0</v>
      </c>
      <c r="J497" t="n">
        <v>0</v>
      </c>
      <c r="K497" t="n">
        <v>0</v>
      </c>
      <c r="L497" t="n">
        <v>0</v>
      </c>
      <c r="M497" t="n">
        <v>0</v>
      </c>
      <c r="N497" t="n">
        <v>0</v>
      </c>
      <c r="O497" t="n">
        <v>0</v>
      </c>
      <c r="P497" t="n">
        <v>0</v>
      </c>
      <c r="Q497" t="n">
        <v>1</v>
      </c>
      <c r="R497" s="2" t="inlineStr">
        <is>
          <t>Huggorm</t>
        </is>
      </c>
      <c r="S497">
        <f>HYPERLINK("https://klasma.github.io/Logging_0380/artfynd/A 40104-2019 artfynd.xlsx", "A 40104-2019")</f>
        <v/>
      </c>
      <c r="T497">
        <f>HYPERLINK("https://klasma.github.io/Logging_0380/kartor/A 40104-2019 karta.png", "A 40104-2019")</f>
        <v/>
      </c>
      <c r="V497">
        <f>HYPERLINK("https://klasma.github.io/Logging_0380/klagomål/A 40104-2019 FSC-klagomål.docx", "A 40104-2019")</f>
        <v/>
      </c>
      <c r="W497">
        <f>HYPERLINK("https://klasma.github.io/Logging_0380/klagomålsmail/A 40104-2019 FSC-klagomål mail.docx", "A 40104-2019")</f>
        <v/>
      </c>
      <c r="X497">
        <f>HYPERLINK("https://klasma.github.io/Logging_0380/tillsyn/A 40104-2019 tillsynsbegäran.docx", "A 40104-2019")</f>
        <v/>
      </c>
      <c r="Y497">
        <f>HYPERLINK("https://klasma.github.io/Logging_0380/tillsynsmail/A 40104-2019 tillsynsbegäran mail.docx", "A 40104-2019")</f>
        <v/>
      </c>
    </row>
    <row r="498" ht="15" customHeight="1">
      <c r="A498" t="inlineStr">
        <is>
          <t>A 40111-2019</t>
        </is>
      </c>
      <c r="B498" s="1" t="n">
        <v>43693</v>
      </c>
      <c r="C498" s="1" t="n">
        <v>45846</v>
      </c>
      <c r="D498" t="inlineStr">
        <is>
          <t>UPPSALA LÄN</t>
        </is>
      </c>
      <c r="E498" t="inlineStr">
        <is>
          <t>UPPSALA</t>
        </is>
      </c>
      <c r="G498" t="n">
        <v>1.9</v>
      </c>
      <c r="H498" t="n">
        <v>1</v>
      </c>
      <c r="I498" t="n">
        <v>0</v>
      </c>
      <c r="J498" t="n">
        <v>0</v>
      </c>
      <c r="K498" t="n">
        <v>0</v>
      </c>
      <c r="L498" t="n">
        <v>0</v>
      </c>
      <c r="M498" t="n">
        <v>0</v>
      </c>
      <c r="N498" t="n">
        <v>0</v>
      </c>
      <c r="O498" t="n">
        <v>0</v>
      </c>
      <c r="P498" t="n">
        <v>0</v>
      </c>
      <c r="Q498" t="n">
        <v>1</v>
      </c>
      <c r="R498" s="2" t="inlineStr">
        <is>
          <t>Blåsippa</t>
        </is>
      </c>
      <c r="S498">
        <f>HYPERLINK("https://klasma.github.io/Logging_0380/artfynd/A 40111-2019 artfynd.xlsx", "A 40111-2019")</f>
        <v/>
      </c>
      <c r="T498">
        <f>HYPERLINK("https://klasma.github.io/Logging_0380/kartor/A 40111-2019 karta.png", "A 40111-2019")</f>
        <v/>
      </c>
      <c r="V498">
        <f>HYPERLINK("https://klasma.github.io/Logging_0380/klagomål/A 40111-2019 FSC-klagomål.docx", "A 40111-2019")</f>
        <v/>
      </c>
      <c r="W498">
        <f>HYPERLINK("https://klasma.github.io/Logging_0380/klagomålsmail/A 40111-2019 FSC-klagomål mail.docx", "A 40111-2019")</f>
        <v/>
      </c>
      <c r="X498">
        <f>HYPERLINK("https://klasma.github.io/Logging_0380/tillsyn/A 40111-2019 tillsynsbegäran.docx", "A 40111-2019")</f>
        <v/>
      </c>
      <c r="Y498">
        <f>HYPERLINK("https://klasma.github.io/Logging_0380/tillsynsmail/A 40111-2019 tillsynsbegäran mail.docx", "A 40111-2019")</f>
        <v/>
      </c>
    </row>
    <row r="499" ht="15" customHeight="1">
      <c r="A499" t="inlineStr">
        <is>
          <t>A 40881-2019</t>
        </is>
      </c>
      <c r="B499" s="1" t="n">
        <v>43697</v>
      </c>
      <c r="C499" s="1" t="n">
        <v>45846</v>
      </c>
      <c r="D499" t="inlineStr">
        <is>
          <t>UPPSALA LÄN</t>
        </is>
      </c>
      <c r="E499" t="inlineStr">
        <is>
          <t>ENKÖPING</t>
        </is>
      </c>
      <c r="G499" t="n">
        <v>21</v>
      </c>
      <c r="H499" t="n">
        <v>0</v>
      </c>
      <c r="I499" t="n">
        <v>1</v>
      </c>
      <c r="J499" t="n">
        <v>0</v>
      </c>
      <c r="K499" t="n">
        <v>0</v>
      </c>
      <c r="L499" t="n">
        <v>0</v>
      </c>
      <c r="M499" t="n">
        <v>0</v>
      </c>
      <c r="N499" t="n">
        <v>0</v>
      </c>
      <c r="O499" t="n">
        <v>0</v>
      </c>
      <c r="P499" t="n">
        <v>0</v>
      </c>
      <c r="Q499" t="n">
        <v>1</v>
      </c>
      <c r="R499" s="2" t="inlineStr">
        <is>
          <t>Rävticka</t>
        </is>
      </c>
      <c r="S499">
        <f>HYPERLINK("https://klasma.github.io/Logging_0381/artfynd/A 40881-2019 artfynd.xlsx", "A 40881-2019")</f>
        <v/>
      </c>
      <c r="T499">
        <f>HYPERLINK("https://klasma.github.io/Logging_0381/kartor/A 40881-2019 karta.png", "A 40881-2019")</f>
        <v/>
      </c>
      <c r="V499">
        <f>HYPERLINK("https://klasma.github.io/Logging_0381/klagomål/A 40881-2019 FSC-klagomål.docx", "A 40881-2019")</f>
        <v/>
      </c>
      <c r="W499">
        <f>HYPERLINK("https://klasma.github.io/Logging_0381/klagomålsmail/A 40881-2019 FSC-klagomål mail.docx", "A 40881-2019")</f>
        <v/>
      </c>
      <c r="X499">
        <f>HYPERLINK("https://klasma.github.io/Logging_0381/tillsyn/A 40881-2019 tillsynsbegäran.docx", "A 40881-2019")</f>
        <v/>
      </c>
      <c r="Y499">
        <f>HYPERLINK("https://klasma.github.io/Logging_0381/tillsynsmail/A 40881-2019 tillsynsbegäran mail.docx", "A 40881-2019")</f>
        <v/>
      </c>
    </row>
    <row r="500" ht="15" customHeight="1">
      <c r="A500" t="inlineStr">
        <is>
          <t>A 42340-2019</t>
        </is>
      </c>
      <c r="B500" s="1" t="n">
        <v>43703</v>
      </c>
      <c r="C500" s="1" t="n">
        <v>45846</v>
      </c>
      <c r="D500" t="inlineStr">
        <is>
          <t>UPPSALA LÄN</t>
        </is>
      </c>
      <c r="E500" t="inlineStr">
        <is>
          <t>ENKÖPING</t>
        </is>
      </c>
      <c r="G500" t="n">
        <v>3.9</v>
      </c>
      <c r="H500" t="n">
        <v>1</v>
      </c>
      <c r="I500" t="n">
        <v>0</v>
      </c>
      <c r="J500" t="n">
        <v>1</v>
      </c>
      <c r="K500" t="n">
        <v>0</v>
      </c>
      <c r="L500" t="n">
        <v>0</v>
      </c>
      <c r="M500" t="n">
        <v>0</v>
      </c>
      <c r="N500" t="n">
        <v>0</v>
      </c>
      <c r="O500" t="n">
        <v>1</v>
      </c>
      <c r="P500" t="n">
        <v>0</v>
      </c>
      <c r="Q500" t="n">
        <v>1</v>
      </c>
      <c r="R500" s="2" t="inlineStr">
        <is>
          <t>Spillkråka</t>
        </is>
      </c>
      <c r="S500">
        <f>HYPERLINK("https://klasma.github.io/Logging_0381/artfynd/A 42340-2019 artfynd.xlsx", "A 42340-2019")</f>
        <v/>
      </c>
      <c r="T500">
        <f>HYPERLINK("https://klasma.github.io/Logging_0381/kartor/A 42340-2019 karta.png", "A 42340-2019")</f>
        <v/>
      </c>
      <c r="V500">
        <f>HYPERLINK("https://klasma.github.io/Logging_0381/klagomål/A 42340-2019 FSC-klagomål.docx", "A 42340-2019")</f>
        <v/>
      </c>
      <c r="W500">
        <f>HYPERLINK("https://klasma.github.io/Logging_0381/klagomålsmail/A 42340-2019 FSC-klagomål mail.docx", "A 42340-2019")</f>
        <v/>
      </c>
      <c r="X500">
        <f>HYPERLINK("https://klasma.github.io/Logging_0381/tillsyn/A 42340-2019 tillsynsbegäran.docx", "A 42340-2019")</f>
        <v/>
      </c>
      <c r="Y500">
        <f>HYPERLINK("https://klasma.github.io/Logging_0381/tillsynsmail/A 42340-2019 tillsynsbegäran mail.docx", "A 42340-2019")</f>
        <v/>
      </c>
      <c r="Z500">
        <f>HYPERLINK("https://klasma.github.io/Logging_0381/fåglar/A 42340-2019 prioriterade fågelarter.docx", "A 42340-2019")</f>
        <v/>
      </c>
    </row>
    <row r="501" ht="15" customHeight="1">
      <c r="A501" t="inlineStr">
        <is>
          <t>A 43410-2019</t>
        </is>
      </c>
      <c r="B501" s="1" t="n">
        <v>43706</v>
      </c>
      <c r="C501" s="1" t="n">
        <v>45846</v>
      </c>
      <c r="D501" t="inlineStr">
        <is>
          <t>UPPSALA LÄN</t>
        </is>
      </c>
      <c r="E501" t="inlineStr">
        <is>
          <t>UPPSALA</t>
        </is>
      </c>
      <c r="F501" t="inlineStr">
        <is>
          <t>Övriga statliga verk och myndigheter</t>
        </is>
      </c>
      <c r="G501" t="n">
        <v>8.6</v>
      </c>
      <c r="H501" t="n">
        <v>1</v>
      </c>
      <c r="I501" t="n">
        <v>0</v>
      </c>
      <c r="J501" t="n">
        <v>1</v>
      </c>
      <c r="K501" t="n">
        <v>0</v>
      </c>
      <c r="L501" t="n">
        <v>0</v>
      </c>
      <c r="M501" t="n">
        <v>0</v>
      </c>
      <c r="N501" t="n">
        <v>0</v>
      </c>
      <c r="O501" t="n">
        <v>1</v>
      </c>
      <c r="P501" t="n">
        <v>0</v>
      </c>
      <c r="Q501" t="n">
        <v>1</v>
      </c>
      <c r="R501" s="2" t="inlineStr">
        <is>
          <t>Hornuggla</t>
        </is>
      </c>
      <c r="S501">
        <f>HYPERLINK("https://klasma.github.io/Logging_0380/artfynd/A 43410-2019 artfynd.xlsx", "A 43410-2019")</f>
        <v/>
      </c>
      <c r="T501">
        <f>HYPERLINK("https://klasma.github.io/Logging_0380/kartor/A 43410-2019 karta.png", "A 43410-2019")</f>
        <v/>
      </c>
      <c r="V501">
        <f>HYPERLINK("https://klasma.github.io/Logging_0380/klagomål/A 43410-2019 FSC-klagomål.docx", "A 43410-2019")</f>
        <v/>
      </c>
      <c r="W501">
        <f>HYPERLINK("https://klasma.github.io/Logging_0380/klagomålsmail/A 43410-2019 FSC-klagomål mail.docx", "A 43410-2019")</f>
        <v/>
      </c>
      <c r="X501">
        <f>HYPERLINK("https://klasma.github.io/Logging_0380/tillsyn/A 43410-2019 tillsynsbegäran.docx", "A 43410-2019")</f>
        <v/>
      </c>
      <c r="Y501">
        <f>HYPERLINK("https://klasma.github.io/Logging_0380/tillsynsmail/A 43410-2019 tillsynsbegäran mail.docx", "A 43410-2019")</f>
        <v/>
      </c>
      <c r="Z501">
        <f>HYPERLINK("https://klasma.github.io/Logging_0380/fåglar/A 43410-2019 prioriterade fågelarter.docx", "A 43410-2019")</f>
        <v/>
      </c>
    </row>
    <row r="502" ht="15" customHeight="1">
      <c r="A502" t="inlineStr">
        <is>
          <t>A 48822-2019</t>
        </is>
      </c>
      <c r="B502" s="1" t="n">
        <v>43728</v>
      </c>
      <c r="C502" s="1" t="n">
        <v>45846</v>
      </c>
      <c r="D502" t="inlineStr">
        <is>
          <t>UPPSALA LÄN</t>
        </is>
      </c>
      <c r="E502" t="inlineStr">
        <is>
          <t>ÄLVKARLEBY</t>
        </is>
      </c>
      <c r="F502" t="inlineStr">
        <is>
          <t>Bergvik skog väst AB</t>
        </is>
      </c>
      <c r="G502" t="n">
        <v>3</v>
      </c>
      <c r="H502" t="n">
        <v>1</v>
      </c>
      <c r="I502" t="n">
        <v>0</v>
      </c>
      <c r="J502" t="n">
        <v>0</v>
      </c>
      <c r="K502" t="n">
        <v>0</v>
      </c>
      <c r="L502" t="n">
        <v>0</v>
      </c>
      <c r="M502" t="n">
        <v>0</v>
      </c>
      <c r="N502" t="n">
        <v>0</v>
      </c>
      <c r="O502" t="n">
        <v>0</v>
      </c>
      <c r="P502" t="n">
        <v>0</v>
      </c>
      <c r="Q502" t="n">
        <v>1</v>
      </c>
      <c r="R502" s="2" t="inlineStr">
        <is>
          <t>Törnskata</t>
        </is>
      </c>
      <c r="S502">
        <f>HYPERLINK("https://klasma.github.io/Logging_0319/artfynd/A 48822-2019 artfynd.xlsx", "A 48822-2019")</f>
        <v/>
      </c>
      <c r="T502">
        <f>HYPERLINK("https://klasma.github.io/Logging_0319/kartor/A 48822-2019 karta.png", "A 48822-2019")</f>
        <v/>
      </c>
      <c r="V502">
        <f>HYPERLINK("https://klasma.github.io/Logging_0319/klagomål/A 48822-2019 FSC-klagomål.docx", "A 48822-2019")</f>
        <v/>
      </c>
      <c r="W502">
        <f>HYPERLINK("https://klasma.github.io/Logging_0319/klagomålsmail/A 48822-2019 FSC-klagomål mail.docx", "A 48822-2019")</f>
        <v/>
      </c>
      <c r="X502">
        <f>HYPERLINK("https://klasma.github.io/Logging_0319/tillsyn/A 48822-2019 tillsynsbegäran.docx", "A 48822-2019")</f>
        <v/>
      </c>
      <c r="Y502">
        <f>HYPERLINK("https://klasma.github.io/Logging_0319/tillsynsmail/A 48822-2019 tillsynsbegäran mail.docx", "A 48822-2019")</f>
        <v/>
      </c>
      <c r="Z502">
        <f>HYPERLINK("https://klasma.github.io/Logging_0319/fåglar/A 48822-2019 prioriterade fågelarter.docx", "A 48822-2019")</f>
        <v/>
      </c>
    </row>
    <row r="503" ht="15" customHeight="1">
      <c r="A503" t="inlineStr">
        <is>
          <t>A 49081-2019</t>
        </is>
      </c>
      <c r="B503" s="1" t="n">
        <v>43731</v>
      </c>
      <c r="C503" s="1" t="n">
        <v>45846</v>
      </c>
      <c r="D503" t="inlineStr">
        <is>
          <t>UPPSALA LÄN</t>
        </is>
      </c>
      <c r="E503" t="inlineStr">
        <is>
          <t>UPPSALA</t>
        </is>
      </c>
      <c r="G503" t="n">
        <v>14.4</v>
      </c>
      <c r="H503" t="n">
        <v>1</v>
      </c>
      <c r="I503" t="n">
        <v>0</v>
      </c>
      <c r="J503" t="n">
        <v>0</v>
      </c>
      <c r="K503" t="n">
        <v>0</v>
      </c>
      <c r="L503" t="n">
        <v>0</v>
      </c>
      <c r="M503" t="n">
        <v>0</v>
      </c>
      <c r="N503" t="n">
        <v>0</v>
      </c>
      <c r="O503" t="n">
        <v>0</v>
      </c>
      <c r="P503" t="n">
        <v>0</v>
      </c>
      <c r="Q503" t="n">
        <v>1</v>
      </c>
      <c r="R503" s="2" t="inlineStr">
        <is>
          <t>Vanlig padda</t>
        </is>
      </c>
      <c r="S503">
        <f>HYPERLINK("https://klasma.github.io/Logging_0380/artfynd/A 49081-2019 artfynd.xlsx", "A 49081-2019")</f>
        <v/>
      </c>
      <c r="T503">
        <f>HYPERLINK("https://klasma.github.io/Logging_0380/kartor/A 49081-2019 karta.png", "A 49081-2019")</f>
        <v/>
      </c>
      <c r="V503">
        <f>HYPERLINK("https://klasma.github.io/Logging_0380/klagomål/A 49081-2019 FSC-klagomål.docx", "A 49081-2019")</f>
        <v/>
      </c>
      <c r="W503">
        <f>HYPERLINK("https://klasma.github.io/Logging_0380/klagomålsmail/A 49081-2019 FSC-klagomål mail.docx", "A 49081-2019")</f>
        <v/>
      </c>
      <c r="X503">
        <f>HYPERLINK("https://klasma.github.io/Logging_0380/tillsyn/A 49081-2019 tillsynsbegäran.docx", "A 49081-2019")</f>
        <v/>
      </c>
      <c r="Y503">
        <f>HYPERLINK("https://klasma.github.io/Logging_0380/tillsynsmail/A 49081-2019 tillsynsbegäran mail.docx", "A 49081-2019")</f>
        <v/>
      </c>
    </row>
    <row r="504" ht="15" customHeight="1">
      <c r="A504" t="inlineStr">
        <is>
          <t>A 49060-2019</t>
        </is>
      </c>
      <c r="B504" s="1" t="n">
        <v>43731</v>
      </c>
      <c r="C504" s="1" t="n">
        <v>45846</v>
      </c>
      <c r="D504" t="inlineStr">
        <is>
          <t>UPPSALA LÄN</t>
        </is>
      </c>
      <c r="E504" t="inlineStr">
        <is>
          <t>ENKÖPING</t>
        </is>
      </c>
      <c r="F504" t="inlineStr">
        <is>
          <t>Kyrkan</t>
        </is>
      </c>
      <c r="G504" t="n">
        <v>1.5</v>
      </c>
      <c r="H504" t="n">
        <v>0</v>
      </c>
      <c r="I504" t="n">
        <v>0</v>
      </c>
      <c r="J504" t="n">
        <v>1</v>
      </c>
      <c r="K504" t="n">
        <v>0</v>
      </c>
      <c r="L504" t="n">
        <v>0</v>
      </c>
      <c r="M504" t="n">
        <v>0</v>
      </c>
      <c r="N504" t="n">
        <v>0</v>
      </c>
      <c r="O504" t="n">
        <v>1</v>
      </c>
      <c r="P504" t="n">
        <v>0</v>
      </c>
      <c r="Q504" t="n">
        <v>1</v>
      </c>
      <c r="R504" s="2" t="inlineStr">
        <is>
          <t>Backtimjan</t>
        </is>
      </c>
      <c r="S504">
        <f>HYPERLINK("https://klasma.github.io/Logging_0381/artfynd/A 49060-2019 artfynd.xlsx", "A 49060-2019")</f>
        <v/>
      </c>
      <c r="T504">
        <f>HYPERLINK("https://klasma.github.io/Logging_0381/kartor/A 49060-2019 karta.png", "A 49060-2019")</f>
        <v/>
      </c>
      <c r="V504">
        <f>HYPERLINK("https://klasma.github.io/Logging_0381/klagomål/A 49060-2019 FSC-klagomål.docx", "A 49060-2019")</f>
        <v/>
      </c>
      <c r="W504">
        <f>HYPERLINK("https://klasma.github.io/Logging_0381/klagomålsmail/A 49060-2019 FSC-klagomål mail.docx", "A 49060-2019")</f>
        <v/>
      </c>
      <c r="X504">
        <f>HYPERLINK("https://klasma.github.io/Logging_0381/tillsyn/A 49060-2019 tillsynsbegäran.docx", "A 49060-2019")</f>
        <v/>
      </c>
      <c r="Y504">
        <f>HYPERLINK("https://klasma.github.io/Logging_0381/tillsynsmail/A 49060-2019 tillsynsbegäran mail.docx", "A 49060-2019")</f>
        <v/>
      </c>
    </row>
    <row r="505" ht="15" customHeight="1">
      <c r="A505" t="inlineStr">
        <is>
          <t>A 52004-2019</t>
        </is>
      </c>
      <c r="B505" s="1" t="n">
        <v>43742</v>
      </c>
      <c r="C505" s="1" t="n">
        <v>45846</v>
      </c>
      <c r="D505" t="inlineStr">
        <is>
          <t>UPPSALA LÄN</t>
        </is>
      </c>
      <c r="E505" t="inlineStr">
        <is>
          <t>ÖSTHAMMAR</t>
        </is>
      </c>
      <c r="G505" t="n">
        <v>2.5</v>
      </c>
      <c r="H505" t="n">
        <v>1</v>
      </c>
      <c r="I505" t="n">
        <v>0</v>
      </c>
      <c r="J505" t="n">
        <v>0</v>
      </c>
      <c r="K505" t="n">
        <v>0</v>
      </c>
      <c r="L505" t="n">
        <v>0</v>
      </c>
      <c r="M505" t="n">
        <v>0</v>
      </c>
      <c r="N505" t="n">
        <v>0</v>
      </c>
      <c r="O505" t="n">
        <v>0</v>
      </c>
      <c r="P505" t="n">
        <v>0</v>
      </c>
      <c r="Q505" t="n">
        <v>1</v>
      </c>
      <c r="R505" s="2" t="inlineStr">
        <is>
          <t>Revlummer</t>
        </is>
      </c>
      <c r="S505">
        <f>HYPERLINK("https://klasma.github.io/Logging_0382/artfynd/A 52004-2019 artfynd.xlsx", "A 52004-2019")</f>
        <v/>
      </c>
      <c r="T505">
        <f>HYPERLINK("https://klasma.github.io/Logging_0382/kartor/A 52004-2019 karta.png", "A 52004-2019")</f>
        <v/>
      </c>
      <c r="V505">
        <f>HYPERLINK("https://klasma.github.io/Logging_0382/klagomål/A 52004-2019 FSC-klagomål.docx", "A 52004-2019")</f>
        <v/>
      </c>
      <c r="W505">
        <f>HYPERLINK("https://klasma.github.io/Logging_0382/klagomålsmail/A 52004-2019 FSC-klagomål mail.docx", "A 52004-2019")</f>
        <v/>
      </c>
      <c r="X505">
        <f>HYPERLINK("https://klasma.github.io/Logging_0382/tillsyn/A 52004-2019 tillsynsbegäran.docx", "A 52004-2019")</f>
        <v/>
      </c>
      <c r="Y505">
        <f>HYPERLINK("https://klasma.github.io/Logging_0382/tillsynsmail/A 52004-2019 tillsynsbegäran mail.docx", "A 52004-2019")</f>
        <v/>
      </c>
    </row>
    <row r="506" ht="15" customHeight="1">
      <c r="A506" t="inlineStr">
        <is>
          <t>A 54859-2019</t>
        </is>
      </c>
      <c r="B506" s="1" t="n">
        <v>43755</v>
      </c>
      <c r="C506" s="1" t="n">
        <v>45846</v>
      </c>
      <c r="D506" t="inlineStr">
        <is>
          <t>UPPSALA LÄN</t>
        </is>
      </c>
      <c r="E506" t="inlineStr">
        <is>
          <t>UPPSALA</t>
        </is>
      </c>
      <c r="G506" t="n">
        <v>2.4</v>
      </c>
      <c r="H506" t="n">
        <v>1</v>
      </c>
      <c r="I506" t="n">
        <v>0</v>
      </c>
      <c r="J506" t="n">
        <v>1</v>
      </c>
      <c r="K506" t="n">
        <v>0</v>
      </c>
      <c r="L506" t="n">
        <v>0</v>
      </c>
      <c r="M506" t="n">
        <v>0</v>
      </c>
      <c r="N506" t="n">
        <v>0</v>
      </c>
      <c r="O506" t="n">
        <v>1</v>
      </c>
      <c r="P506" t="n">
        <v>0</v>
      </c>
      <c r="Q506" t="n">
        <v>1</v>
      </c>
      <c r="R506" s="2" t="inlineStr">
        <is>
          <t>Slaguggla</t>
        </is>
      </c>
      <c r="S506">
        <f>HYPERLINK("https://klasma.github.io/Logging_0380/artfynd/A 54859-2019 artfynd.xlsx", "A 54859-2019")</f>
        <v/>
      </c>
      <c r="T506">
        <f>HYPERLINK("https://klasma.github.io/Logging_0380/kartor/A 54859-2019 karta.png", "A 54859-2019")</f>
        <v/>
      </c>
      <c r="V506">
        <f>HYPERLINK("https://klasma.github.io/Logging_0380/klagomål/A 54859-2019 FSC-klagomål.docx", "A 54859-2019")</f>
        <v/>
      </c>
      <c r="W506">
        <f>HYPERLINK("https://klasma.github.io/Logging_0380/klagomålsmail/A 54859-2019 FSC-klagomål mail.docx", "A 54859-2019")</f>
        <v/>
      </c>
      <c r="X506">
        <f>HYPERLINK("https://klasma.github.io/Logging_0380/tillsyn/A 54859-2019 tillsynsbegäran.docx", "A 54859-2019")</f>
        <v/>
      </c>
      <c r="Y506">
        <f>HYPERLINK("https://klasma.github.io/Logging_0380/tillsynsmail/A 54859-2019 tillsynsbegäran mail.docx", "A 54859-2019")</f>
        <v/>
      </c>
      <c r="Z506">
        <f>HYPERLINK("https://klasma.github.io/Logging_0380/fåglar/A 54859-2019 prioriterade fågelarter.docx", "A 54859-2019")</f>
        <v/>
      </c>
    </row>
    <row r="507" ht="15" customHeight="1">
      <c r="A507" t="inlineStr">
        <is>
          <t>A 61147-2019</t>
        </is>
      </c>
      <c r="B507" s="1" t="n">
        <v>43782</v>
      </c>
      <c r="C507" s="1" t="n">
        <v>45846</v>
      </c>
      <c r="D507" t="inlineStr">
        <is>
          <t>UPPSALA LÄN</t>
        </is>
      </c>
      <c r="E507" t="inlineStr">
        <is>
          <t>ÄLVKARLEBY</t>
        </is>
      </c>
      <c r="F507" t="inlineStr">
        <is>
          <t>Bergvik skog väst AB</t>
        </is>
      </c>
      <c r="G507" t="n">
        <v>0.9</v>
      </c>
      <c r="H507" t="n">
        <v>0</v>
      </c>
      <c r="I507" t="n">
        <v>0</v>
      </c>
      <c r="J507" t="n">
        <v>0</v>
      </c>
      <c r="K507" t="n">
        <v>1</v>
      </c>
      <c r="L507" t="n">
        <v>0</v>
      </c>
      <c r="M507" t="n">
        <v>0</v>
      </c>
      <c r="N507" t="n">
        <v>0</v>
      </c>
      <c r="O507" t="n">
        <v>1</v>
      </c>
      <c r="P507" t="n">
        <v>1</v>
      </c>
      <c r="Q507" t="n">
        <v>1</v>
      </c>
      <c r="R507" s="2" t="inlineStr">
        <is>
          <t>Violgubbe</t>
        </is>
      </c>
      <c r="S507">
        <f>HYPERLINK("https://klasma.github.io/Logging_0319/artfynd/A 61147-2019 artfynd.xlsx", "A 61147-2019")</f>
        <v/>
      </c>
      <c r="T507">
        <f>HYPERLINK("https://klasma.github.io/Logging_0319/kartor/A 61147-2019 karta.png", "A 61147-2019")</f>
        <v/>
      </c>
      <c r="V507">
        <f>HYPERLINK("https://klasma.github.io/Logging_0319/klagomål/A 61147-2019 FSC-klagomål.docx", "A 61147-2019")</f>
        <v/>
      </c>
      <c r="W507">
        <f>HYPERLINK("https://klasma.github.io/Logging_0319/klagomålsmail/A 61147-2019 FSC-klagomål mail.docx", "A 61147-2019")</f>
        <v/>
      </c>
      <c r="X507">
        <f>HYPERLINK("https://klasma.github.io/Logging_0319/tillsyn/A 61147-2019 tillsynsbegäran.docx", "A 61147-2019")</f>
        <v/>
      </c>
      <c r="Y507">
        <f>HYPERLINK("https://klasma.github.io/Logging_0319/tillsynsmail/A 61147-2019 tillsynsbegäran mail.docx", "A 61147-2019")</f>
        <v/>
      </c>
    </row>
    <row r="508" ht="15" customHeight="1">
      <c r="A508" t="inlineStr">
        <is>
          <t>A 2391-2020</t>
        </is>
      </c>
      <c r="B508" s="1" t="n">
        <v>43847</v>
      </c>
      <c r="C508" s="1" t="n">
        <v>45846</v>
      </c>
      <c r="D508" t="inlineStr">
        <is>
          <t>UPPSALA LÄN</t>
        </is>
      </c>
      <c r="E508" t="inlineStr">
        <is>
          <t>TIERP</t>
        </is>
      </c>
      <c r="G508" t="n">
        <v>1.7</v>
      </c>
      <c r="H508" t="n">
        <v>0</v>
      </c>
      <c r="I508" t="n">
        <v>0</v>
      </c>
      <c r="J508" t="n">
        <v>1</v>
      </c>
      <c r="K508" t="n">
        <v>0</v>
      </c>
      <c r="L508" t="n">
        <v>0</v>
      </c>
      <c r="M508" t="n">
        <v>0</v>
      </c>
      <c r="N508" t="n">
        <v>0</v>
      </c>
      <c r="O508" t="n">
        <v>1</v>
      </c>
      <c r="P508" t="n">
        <v>0</v>
      </c>
      <c r="Q508" t="n">
        <v>1</v>
      </c>
      <c r="R508" s="2" t="inlineStr">
        <is>
          <t>Äggspindling</t>
        </is>
      </c>
      <c r="S508">
        <f>HYPERLINK("https://klasma.github.io/Logging_0360/artfynd/A 2391-2020 artfynd.xlsx", "A 2391-2020")</f>
        <v/>
      </c>
      <c r="T508">
        <f>HYPERLINK("https://klasma.github.io/Logging_0360/kartor/A 2391-2020 karta.png", "A 2391-2020")</f>
        <v/>
      </c>
      <c r="V508">
        <f>HYPERLINK("https://klasma.github.io/Logging_0360/klagomål/A 2391-2020 FSC-klagomål.docx", "A 2391-2020")</f>
        <v/>
      </c>
      <c r="W508">
        <f>HYPERLINK("https://klasma.github.io/Logging_0360/klagomålsmail/A 2391-2020 FSC-klagomål mail.docx", "A 2391-2020")</f>
        <v/>
      </c>
      <c r="X508">
        <f>HYPERLINK("https://klasma.github.io/Logging_0360/tillsyn/A 2391-2020 tillsynsbegäran.docx", "A 2391-2020")</f>
        <v/>
      </c>
      <c r="Y508">
        <f>HYPERLINK("https://klasma.github.io/Logging_0360/tillsynsmail/A 2391-2020 tillsynsbegäran mail.docx", "A 2391-2020")</f>
        <v/>
      </c>
    </row>
    <row r="509" ht="15" customHeight="1">
      <c r="A509" t="inlineStr">
        <is>
          <t>A 2835-2020</t>
        </is>
      </c>
      <c r="B509" s="1" t="n">
        <v>43850</v>
      </c>
      <c r="C509" s="1" t="n">
        <v>45846</v>
      </c>
      <c r="D509" t="inlineStr">
        <is>
          <t>UPPSALA LÄN</t>
        </is>
      </c>
      <c r="E509" t="inlineStr">
        <is>
          <t>TIERP</t>
        </is>
      </c>
      <c r="G509" t="n">
        <v>7.6</v>
      </c>
      <c r="H509" t="n">
        <v>0</v>
      </c>
      <c r="I509" t="n">
        <v>1</v>
      </c>
      <c r="J509" t="n">
        <v>0</v>
      </c>
      <c r="K509" t="n">
        <v>0</v>
      </c>
      <c r="L509" t="n">
        <v>0</v>
      </c>
      <c r="M509" t="n">
        <v>0</v>
      </c>
      <c r="N509" t="n">
        <v>0</v>
      </c>
      <c r="O509" t="n">
        <v>0</v>
      </c>
      <c r="P509" t="n">
        <v>0</v>
      </c>
      <c r="Q509" t="n">
        <v>1</v>
      </c>
      <c r="R509" s="2" t="inlineStr">
        <is>
          <t>Kamjordstjärna</t>
        </is>
      </c>
      <c r="S509">
        <f>HYPERLINK("https://klasma.github.io/Logging_0360/artfynd/A 2835-2020 artfynd.xlsx", "A 2835-2020")</f>
        <v/>
      </c>
      <c r="T509">
        <f>HYPERLINK("https://klasma.github.io/Logging_0360/kartor/A 2835-2020 karta.png", "A 2835-2020")</f>
        <v/>
      </c>
      <c r="V509">
        <f>HYPERLINK("https://klasma.github.io/Logging_0360/klagomål/A 2835-2020 FSC-klagomål.docx", "A 2835-2020")</f>
        <v/>
      </c>
      <c r="W509">
        <f>HYPERLINK("https://klasma.github.io/Logging_0360/klagomålsmail/A 2835-2020 FSC-klagomål mail.docx", "A 2835-2020")</f>
        <v/>
      </c>
      <c r="X509">
        <f>HYPERLINK("https://klasma.github.io/Logging_0360/tillsyn/A 2835-2020 tillsynsbegäran.docx", "A 2835-2020")</f>
        <v/>
      </c>
      <c r="Y509">
        <f>HYPERLINK("https://klasma.github.io/Logging_0360/tillsynsmail/A 2835-2020 tillsynsbegäran mail.docx", "A 2835-2020")</f>
        <v/>
      </c>
    </row>
    <row r="510" ht="15" customHeight="1">
      <c r="A510" t="inlineStr">
        <is>
          <t>A 3015-2020</t>
        </is>
      </c>
      <c r="B510" s="1" t="n">
        <v>43851</v>
      </c>
      <c r="C510" s="1" t="n">
        <v>45846</v>
      </c>
      <c r="D510" t="inlineStr">
        <is>
          <t>UPPSALA LÄN</t>
        </is>
      </c>
      <c r="E510" t="inlineStr">
        <is>
          <t>HEBY</t>
        </is>
      </c>
      <c r="G510" t="n">
        <v>2.8</v>
      </c>
      <c r="H510" t="n">
        <v>0</v>
      </c>
      <c r="I510" t="n">
        <v>0</v>
      </c>
      <c r="J510" t="n">
        <v>0</v>
      </c>
      <c r="K510" t="n">
        <v>0</v>
      </c>
      <c r="L510" t="n">
        <v>1</v>
      </c>
      <c r="M510" t="n">
        <v>0</v>
      </c>
      <c r="N510" t="n">
        <v>0</v>
      </c>
      <c r="O510" t="n">
        <v>1</v>
      </c>
      <c r="P510" t="n">
        <v>1</v>
      </c>
      <c r="Q510" t="n">
        <v>1</v>
      </c>
      <c r="R510" s="2" t="inlineStr">
        <is>
          <t>Ask</t>
        </is>
      </c>
      <c r="S510">
        <f>HYPERLINK("https://klasma.github.io/Logging_0331/artfynd/A 3015-2020 artfynd.xlsx", "A 3015-2020")</f>
        <v/>
      </c>
      <c r="T510">
        <f>HYPERLINK("https://klasma.github.io/Logging_0331/kartor/A 3015-2020 karta.png", "A 3015-2020")</f>
        <v/>
      </c>
      <c r="V510">
        <f>HYPERLINK("https://klasma.github.io/Logging_0331/klagomål/A 3015-2020 FSC-klagomål.docx", "A 3015-2020")</f>
        <v/>
      </c>
      <c r="W510">
        <f>HYPERLINK("https://klasma.github.io/Logging_0331/klagomålsmail/A 3015-2020 FSC-klagomål mail.docx", "A 3015-2020")</f>
        <v/>
      </c>
      <c r="X510">
        <f>HYPERLINK("https://klasma.github.io/Logging_0331/tillsyn/A 3015-2020 tillsynsbegäran.docx", "A 3015-2020")</f>
        <v/>
      </c>
      <c r="Y510">
        <f>HYPERLINK("https://klasma.github.io/Logging_0331/tillsynsmail/A 3015-2020 tillsynsbegäran mail.docx", "A 3015-2020")</f>
        <v/>
      </c>
    </row>
    <row r="511" ht="15" customHeight="1">
      <c r="A511" t="inlineStr">
        <is>
          <t>A 3725-2020</t>
        </is>
      </c>
      <c r="B511" s="1" t="n">
        <v>43853</v>
      </c>
      <c r="C511" s="1" t="n">
        <v>45846</v>
      </c>
      <c r="D511" t="inlineStr">
        <is>
          <t>UPPSALA LÄN</t>
        </is>
      </c>
      <c r="E511" t="inlineStr">
        <is>
          <t>HEBY</t>
        </is>
      </c>
      <c r="G511" t="n">
        <v>29.6</v>
      </c>
      <c r="H511" t="n">
        <v>0</v>
      </c>
      <c r="I511" t="n">
        <v>0</v>
      </c>
      <c r="J511" t="n">
        <v>1</v>
      </c>
      <c r="K511" t="n">
        <v>0</v>
      </c>
      <c r="L511" t="n">
        <v>0</v>
      </c>
      <c r="M511" t="n">
        <v>0</v>
      </c>
      <c r="N511" t="n">
        <v>0</v>
      </c>
      <c r="O511" t="n">
        <v>1</v>
      </c>
      <c r="P511" t="n">
        <v>0</v>
      </c>
      <c r="Q511" t="n">
        <v>1</v>
      </c>
      <c r="R511" s="2" t="inlineStr">
        <is>
          <t>Brunklöver</t>
        </is>
      </c>
      <c r="S511">
        <f>HYPERLINK("https://klasma.github.io/Logging_0331/artfynd/A 3725-2020 artfynd.xlsx", "A 3725-2020")</f>
        <v/>
      </c>
      <c r="T511">
        <f>HYPERLINK("https://klasma.github.io/Logging_0331/kartor/A 3725-2020 karta.png", "A 3725-2020")</f>
        <v/>
      </c>
      <c r="V511">
        <f>HYPERLINK("https://klasma.github.io/Logging_0331/klagomål/A 3725-2020 FSC-klagomål.docx", "A 3725-2020")</f>
        <v/>
      </c>
      <c r="W511">
        <f>HYPERLINK("https://klasma.github.io/Logging_0331/klagomålsmail/A 3725-2020 FSC-klagomål mail.docx", "A 3725-2020")</f>
        <v/>
      </c>
      <c r="X511">
        <f>HYPERLINK("https://klasma.github.io/Logging_0331/tillsyn/A 3725-2020 tillsynsbegäran.docx", "A 3725-2020")</f>
        <v/>
      </c>
      <c r="Y511">
        <f>HYPERLINK("https://klasma.github.io/Logging_0331/tillsynsmail/A 3725-2020 tillsynsbegäran mail.docx", "A 3725-2020")</f>
        <v/>
      </c>
    </row>
    <row r="512" ht="15" customHeight="1">
      <c r="A512" t="inlineStr">
        <is>
          <t>A 5316-2020</t>
        </is>
      </c>
      <c r="B512" s="1" t="n">
        <v>43860</v>
      </c>
      <c r="C512" s="1" t="n">
        <v>45846</v>
      </c>
      <c r="D512" t="inlineStr">
        <is>
          <t>UPPSALA LÄN</t>
        </is>
      </c>
      <c r="E512" t="inlineStr">
        <is>
          <t>TIERP</t>
        </is>
      </c>
      <c r="F512" t="inlineStr">
        <is>
          <t>Bergvik skog väst AB</t>
        </is>
      </c>
      <c r="G512" t="n">
        <v>18.2</v>
      </c>
      <c r="H512" t="n">
        <v>1</v>
      </c>
      <c r="I512" t="n">
        <v>0</v>
      </c>
      <c r="J512" t="n">
        <v>1</v>
      </c>
      <c r="K512" t="n">
        <v>0</v>
      </c>
      <c r="L512" t="n">
        <v>0</v>
      </c>
      <c r="M512" t="n">
        <v>0</v>
      </c>
      <c r="N512" t="n">
        <v>0</v>
      </c>
      <c r="O512" t="n">
        <v>1</v>
      </c>
      <c r="P512" t="n">
        <v>0</v>
      </c>
      <c r="Q512" t="n">
        <v>1</v>
      </c>
      <c r="R512" s="2" t="inlineStr">
        <is>
          <t>Spillkråka</t>
        </is>
      </c>
      <c r="S512">
        <f>HYPERLINK("https://klasma.github.io/Logging_0360/artfynd/A 5316-2020 artfynd.xlsx", "A 5316-2020")</f>
        <v/>
      </c>
      <c r="T512">
        <f>HYPERLINK("https://klasma.github.io/Logging_0360/kartor/A 5316-2020 karta.png", "A 5316-2020")</f>
        <v/>
      </c>
      <c r="V512">
        <f>HYPERLINK("https://klasma.github.io/Logging_0360/klagomål/A 5316-2020 FSC-klagomål.docx", "A 5316-2020")</f>
        <v/>
      </c>
      <c r="W512">
        <f>HYPERLINK("https://klasma.github.io/Logging_0360/klagomålsmail/A 5316-2020 FSC-klagomål mail.docx", "A 5316-2020")</f>
        <v/>
      </c>
      <c r="X512">
        <f>HYPERLINK("https://klasma.github.io/Logging_0360/tillsyn/A 5316-2020 tillsynsbegäran.docx", "A 5316-2020")</f>
        <v/>
      </c>
      <c r="Y512">
        <f>HYPERLINK("https://klasma.github.io/Logging_0360/tillsynsmail/A 5316-2020 tillsynsbegäran mail.docx", "A 5316-2020")</f>
        <v/>
      </c>
      <c r="Z512">
        <f>HYPERLINK("https://klasma.github.io/Logging_0360/fåglar/A 5316-2020 prioriterade fågelarter.docx", "A 5316-2020")</f>
        <v/>
      </c>
    </row>
    <row r="513" ht="15" customHeight="1">
      <c r="A513" t="inlineStr">
        <is>
          <t>A 6075-2020</t>
        </is>
      </c>
      <c r="B513" s="1" t="n">
        <v>43865</v>
      </c>
      <c r="C513" s="1" t="n">
        <v>45846</v>
      </c>
      <c r="D513" t="inlineStr">
        <is>
          <t>UPPSALA LÄN</t>
        </is>
      </c>
      <c r="E513" t="inlineStr">
        <is>
          <t>ENKÖPING</t>
        </is>
      </c>
      <c r="G513" t="n">
        <v>7.3</v>
      </c>
      <c r="H513" t="n">
        <v>1</v>
      </c>
      <c r="I513" t="n">
        <v>0</v>
      </c>
      <c r="J513" t="n">
        <v>0</v>
      </c>
      <c r="K513" t="n">
        <v>0</v>
      </c>
      <c r="L513" t="n">
        <v>0</v>
      </c>
      <c r="M513" t="n">
        <v>0</v>
      </c>
      <c r="N513" t="n">
        <v>0</v>
      </c>
      <c r="O513" t="n">
        <v>0</v>
      </c>
      <c r="P513" t="n">
        <v>0</v>
      </c>
      <c r="Q513" t="n">
        <v>1</v>
      </c>
      <c r="R513" s="2" t="inlineStr">
        <is>
          <t>Tjäder</t>
        </is>
      </c>
      <c r="S513">
        <f>HYPERLINK("https://klasma.github.io/Logging_0381/artfynd/A 6075-2020 artfynd.xlsx", "A 6075-2020")</f>
        <v/>
      </c>
      <c r="T513">
        <f>HYPERLINK("https://klasma.github.io/Logging_0381/kartor/A 6075-2020 karta.png", "A 6075-2020")</f>
        <v/>
      </c>
      <c r="V513">
        <f>HYPERLINK("https://klasma.github.io/Logging_0381/klagomål/A 6075-2020 FSC-klagomål.docx", "A 6075-2020")</f>
        <v/>
      </c>
      <c r="W513">
        <f>HYPERLINK("https://klasma.github.io/Logging_0381/klagomålsmail/A 6075-2020 FSC-klagomål mail.docx", "A 6075-2020")</f>
        <v/>
      </c>
      <c r="X513">
        <f>HYPERLINK("https://klasma.github.io/Logging_0381/tillsyn/A 6075-2020 tillsynsbegäran.docx", "A 6075-2020")</f>
        <v/>
      </c>
      <c r="Y513">
        <f>HYPERLINK("https://klasma.github.io/Logging_0381/tillsynsmail/A 6075-2020 tillsynsbegäran mail.docx", "A 6075-2020")</f>
        <v/>
      </c>
      <c r="Z513">
        <f>HYPERLINK("https://klasma.github.io/Logging_0381/fåglar/A 6075-2020 prioriterade fågelarter.docx", "A 6075-2020")</f>
        <v/>
      </c>
    </row>
    <row r="514" ht="15" customHeight="1">
      <c r="A514" t="inlineStr">
        <is>
          <t>A 6659-2020</t>
        </is>
      </c>
      <c r="B514" s="1" t="n">
        <v>43867</v>
      </c>
      <c r="C514" s="1" t="n">
        <v>45846</v>
      </c>
      <c r="D514" t="inlineStr">
        <is>
          <t>UPPSALA LÄN</t>
        </is>
      </c>
      <c r="E514" t="inlineStr">
        <is>
          <t>UPPSALA</t>
        </is>
      </c>
      <c r="G514" t="n">
        <v>3.4</v>
      </c>
      <c r="H514" t="n">
        <v>1</v>
      </c>
      <c r="I514" t="n">
        <v>0</v>
      </c>
      <c r="J514" t="n">
        <v>0</v>
      </c>
      <c r="K514" t="n">
        <v>0</v>
      </c>
      <c r="L514" t="n">
        <v>0</v>
      </c>
      <c r="M514" t="n">
        <v>0</v>
      </c>
      <c r="N514" t="n">
        <v>0</v>
      </c>
      <c r="O514" t="n">
        <v>0</v>
      </c>
      <c r="P514" t="n">
        <v>0</v>
      </c>
      <c r="Q514" t="n">
        <v>1</v>
      </c>
      <c r="R514" s="2" t="inlineStr">
        <is>
          <t>Mindre vattensalamander</t>
        </is>
      </c>
      <c r="S514">
        <f>HYPERLINK("https://klasma.github.io/Logging_0380/artfynd/A 6659-2020 artfynd.xlsx", "A 6659-2020")</f>
        <v/>
      </c>
      <c r="T514">
        <f>HYPERLINK("https://klasma.github.io/Logging_0380/kartor/A 6659-2020 karta.png", "A 6659-2020")</f>
        <v/>
      </c>
      <c r="V514">
        <f>HYPERLINK("https://klasma.github.io/Logging_0380/klagomål/A 6659-2020 FSC-klagomål.docx", "A 6659-2020")</f>
        <v/>
      </c>
      <c r="W514">
        <f>HYPERLINK("https://klasma.github.io/Logging_0380/klagomålsmail/A 6659-2020 FSC-klagomål mail.docx", "A 6659-2020")</f>
        <v/>
      </c>
      <c r="X514">
        <f>HYPERLINK("https://klasma.github.io/Logging_0380/tillsyn/A 6659-2020 tillsynsbegäran.docx", "A 6659-2020")</f>
        <v/>
      </c>
      <c r="Y514">
        <f>HYPERLINK("https://klasma.github.io/Logging_0380/tillsynsmail/A 6659-2020 tillsynsbegäran mail.docx", "A 6659-2020")</f>
        <v/>
      </c>
    </row>
    <row r="515" ht="15" customHeight="1">
      <c r="A515" t="inlineStr">
        <is>
          <t>A 12786-2020</t>
        </is>
      </c>
      <c r="B515" s="1" t="n">
        <v>43893</v>
      </c>
      <c r="C515" s="1" t="n">
        <v>45846</v>
      </c>
      <c r="D515" t="inlineStr">
        <is>
          <t>UPPSALA LÄN</t>
        </is>
      </c>
      <c r="E515" t="inlineStr">
        <is>
          <t>UPPSALA</t>
        </is>
      </c>
      <c r="G515" t="n">
        <v>1</v>
      </c>
      <c r="H515" t="n">
        <v>1</v>
      </c>
      <c r="I515" t="n">
        <v>0</v>
      </c>
      <c r="J515" t="n">
        <v>0</v>
      </c>
      <c r="K515" t="n">
        <v>0</v>
      </c>
      <c r="L515" t="n">
        <v>0</v>
      </c>
      <c r="M515" t="n">
        <v>0</v>
      </c>
      <c r="N515" t="n">
        <v>0</v>
      </c>
      <c r="O515" t="n">
        <v>0</v>
      </c>
      <c r="P515" t="n">
        <v>0</v>
      </c>
      <c r="Q515" t="n">
        <v>1</v>
      </c>
      <c r="R515" s="2" t="inlineStr">
        <is>
          <t>Blåsippa</t>
        </is>
      </c>
      <c r="S515">
        <f>HYPERLINK("https://klasma.github.io/Logging_0380/artfynd/A 12786-2020 artfynd.xlsx", "A 12786-2020")</f>
        <v/>
      </c>
      <c r="T515">
        <f>HYPERLINK("https://klasma.github.io/Logging_0380/kartor/A 12786-2020 karta.png", "A 12786-2020")</f>
        <v/>
      </c>
      <c r="V515">
        <f>HYPERLINK("https://klasma.github.io/Logging_0380/klagomål/A 12786-2020 FSC-klagomål.docx", "A 12786-2020")</f>
        <v/>
      </c>
      <c r="W515">
        <f>HYPERLINK("https://klasma.github.io/Logging_0380/klagomålsmail/A 12786-2020 FSC-klagomål mail.docx", "A 12786-2020")</f>
        <v/>
      </c>
      <c r="X515">
        <f>HYPERLINK("https://klasma.github.io/Logging_0380/tillsyn/A 12786-2020 tillsynsbegäran.docx", "A 12786-2020")</f>
        <v/>
      </c>
      <c r="Y515">
        <f>HYPERLINK("https://klasma.github.io/Logging_0380/tillsynsmail/A 12786-2020 tillsynsbegäran mail.docx", "A 12786-2020")</f>
        <v/>
      </c>
    </row>
    <row r="516" ht="15" customHeight="1">
      <c r="A516" t="inlineStr">
        <is>
          <t>A 13172-2020</t>
        </is>
      </c>
      <c r="B516" s="1" t="n">
        <v>43901</v>
      </c>
      <c r="C516" s="1" t="n">
        <v>45846</v>
      </c>
      <c r="D516" t="inlineStr">
        <is>
          <t>UPPSALA LÄN</t>
        </is>
      </c>
      <c r="E516" t="inlineStr">
        <is>
          <t>HEBY</t>
        </is>
      </c>
      <c r="F516" t="inlineStr">
        <is>
          <t>Kyrkan</t>
        </is>
      </c>
      <c r="G516" t="n">
        <v>2.7</v>
      </c>
      <c r="H516" t="n">
        <v>1</v>
      </c>
      <c r="I516" t="n">
        <v>0</v>
      </c>
      <c r="J516" t="n">
        <v>0</v>
      </c>
      <c r="K516" t="n">
        <v>0</v>
      </c>
      <c r="L516" t="n">
        <v>0</v>
      </c>
      <c r="M516" t="n">
        <v>0</v>
      </c>
      <c r="N516" t="n">
        <v>0</v>
      </c>
      <c r="O516" t="n">
        <v>0</v>
      </c>
      <c r="P516" t="n">
        <v>0</v>
      </c>
      <c r="Q516" t="n">
        <v>1</v>
      </c>
      <c r="R516" s="2" t="inlineStr">
        <is>
          <t>Nattviol</t>
        </is>
      </c>
      <c r="S516">
        <f>HYPERLINK("https://klasma.github.io/Logging_0331/artfynd/A 13172-2020 artfynd.xlsx", "A 13172-2020")</f>
        <v/>
      </c>
      <c r="T516">
        <f>HYPERLINK("https://klasma.github.io/Logging_0331/kartor/A 13172-2020 karta.png", "A 13172-2020")</f>
        <v/>
      </c>
      <c r="V516">
        <f>HYPERLINK("https://klasma.github.io/Logging_0331/klagomål/A 13172-2020 FSC-klagomål.docx", "A 13172-2020")</f>
        <v/>
      </c>
      <c r="W516">
        <f>HYPERLINK("https://klasma.github.io/Logging_0331/klagomålsmail/A 13172-2020 FSC-klagomål mail.docx", "A 13172-2020")</f>
        <v/>
      </c>
      <c r="X516">
        <f>HYPERLINK("https://klasma.github.io/Logging_0331/tillsyn/A 13172-2020 tillsynsbegäran.docx", "A 13172-2020")</f>
        <v/>
      </c>
      <c r="Y516">
        <f>HYPERLINK("https://klasma.github.io/Logging_0331/tillsynsmail/A 13172-2020 tillsynsbegäran mail.docx", "A 13172-2020")</f>
        <v/>
      </c>
    </row>
    <row r="517" ht="15" customHeight="1">
      <c r="A517" t="inlineStr">
        <is>
          <t>A 14008-2020</t>
        </is>
      </c>
      <c r="B517" s="1" t="n">
        <v>43906</v>
      </c>
      <c r="C517" s="1" t="n">
        <v>45846</v>
      </c>
      <c r="D517" t="inlineStr">
        <is>
          <t>UPPSALA LÄN</t>
        </is>
      </c>
      <c r="E517" t="inlineStr">
        <is>
          <t>TIERP</t>
        </is>
      </c>
      <c r="G517" t="n">
        <v>22.3</v>
      </c>
      <c r="H517" t="n">
        <v>1</v>
      </c>
      <c r="I517" t="n">
        <v>0</v>
      </c>
      <c r="J517" t="n">
        <v>0</v>
      </c>
      <c r="K517" t="n">
        <v>0</v>
      </c>
      <c r="L517" t="n">
        <v>0</v>
      </c>
      <c r="M517" t="n">
        <v>0</v>
      </c>
      <c r="N517" t="n">
        <v>0</v>
      </c>
      <c r="O517" t="n">
        <v>0</v>
      </c>
      <c r="P517" t="n">
        <v>0</v>
      </c>
      <c r="Q517" t="n">
        <v>1</v>
      </c>
      <c r="R517" s="2" t="inlineStr">
        <is>
          <t>Revlummer</t>
        </is>
      </c>
      <c r="S517">
        <f>HYPERLINK("https://klasma.github.io/Logging_0360/artfynd/A 14008-2020 artfynd.xlsx", "A 14008-2020")</f>
        <v/>
      </c>
      <c r="T517">
        <f>HYPERLINK("https://klasma.github.io/Logging_0360/kartor/A 14008-2020 karta.png", "A 14008-2020")</f>
        <v/>
      </c>
      <c r="V517">
        <f>HYPERLINK("https://klasma.github.io/Logging_0360/klagomål/A 14008-2020 FSC-klagomål.docx", "A 14008-2020")</f>
        <v/>
      </c>
      <c r="W517">
        <f>HYPERLINK("https://klasma.github.io/Logging_0360/klagomålsmail/A 14008-2020 FSC-klagomål mail.docx", "A 14008-2020")</f>
        <v/>
      </c>
      <c r="X517">
        <f>HYPERLINK("https://klasma.github.io/Logging_0360/tillsyn/A 14008-2020 tillsynsbegäran.docx", "A 14008-2020")</f>
        <v/>
      </c>
      <c r="Y517">
        <f>HYPERLINK("https://klasma.github.io/Logging_0360/tillsynsmail/A 14008-2020 tillsynsbegäran mail.docx", "A 14008-2020")</f>
        <v/>
      </c>
    </row>
    <row r="518" ht="15" customHeight="1">
      <c r="A518" t="inlineStr">
        <is>
          <t>A 18773-2020</t>
        </is>
      </c>
      <c r="B518" s="1" t="n">
        <v>43930</v>
      </c>
      <c r="C518" s="1" t="n">
        <v>45846</v>
      </c>
      <c r="D518" t="inlineStr">
        <is>
          <t>UPPSALA LÄN</t>
        </is>
      </c>
      <c r="E518" t="inlineStr">
        <is>
          <t>TIERP</t>
        </is>
      </c>
      <c r="F518" t="inlineStr">
        <is>
          <t>Bergvik skog väst AB</t>
        </is>
      </c>
      <c r="G518" t="n">
        <v>2.4</v>
      </c>
      <c r="H518" t="n">
        <v>1</v>
      </c>
      <c r="I518" t="n">
        <v>1</v>
      </c>
      <c r="J518" t="n">
        <v>0</v>
      </c>
      <c r="K518" t="n">
        <v>0</v>
      </c>
      <c r="L518" t="n">
        <v>0</v>
      </c>
      <c r="M518" t="n">
        <v>0</v>
      </c>
      <c r="N518" t="n">
        <v>0</v>
      </c>
      <c r="O518" t="n">
        <v>0</v>
      </c>
      <c r="P518" t="n">
        <v>0</v>
      </c>
      <c r="Q518" t="n">
        <v>1</v>
      </c>
      <c r="R518" s="2" t="inlineStr">
        <is>
          <t>Skogsknipprot</t>
        </is>
      </c>
      <c r="S518">
        <f>HYPERLINK("https://klasma.github.io/Logging_0360/artfynd/A 18773-2020 artfynd.xlsx", "A 18773-2020")</f>
        <v/>
      </c>
      <c r="T518">
        <f>HYPERLINK("https://klasma.github.io/Logging_0360/kartor/A 18773-2020 karta.png", "A 18773-2020")</f>
        <v/>
      </c>
      <c r="V518">
        <f>HYPERLINK("https://klasma.github.io/Logging_0360/klagomål/A 18773-2020 FSC-klagomål.docx", "A 18773-2020")</f>
        <v/>
      </c>
      <c r="W518">
        <f>HYPERLINK("https://klasma.github.io/Logging_0360/klagomålsmail/A 18773-2020 FSC-klagomål mail.docx", "A 18773-2020")</f>
        <v/>
      </c>
      <c r="X518">
        <f>HYPERLINK("https://klasma.github.io/Logging_0360/tillsyn/A 18773-2020 tillsynsbegäran.docx", "A 18773-2020")</f>
        <v/>
      </c>
      <c r="Y518">
        <f>HYPERLINK("https://klasma.github.io/Logging_0360/tillsynsmail/A 18773-2020 tillsynsbegäran mail.docx", "A 18773-2020")</f>
        <v/>
      </c>
    </row>
    <row r="519" ht="15" customHeight="1">
      <c r="A519" t="inlineStr">
        <is>
          <t>A 22044-2020</t>
        </is>
      </c>
      <c r="B519" s="1" t="n">
        <v>43959</v>
      </c>
      <c r="C519" s="1" t="n">
        <v>45846</v>
      </c>
      <c r="D519" t="inlineStr">
        <is>
          <t>UPPSALA LÄN</t>
        </is>
      </c>
      <c r="E519" t="inlineStr">
        <is>
          <t>ÖSTHAMMAR</t>
        </is>
      </c>
      <c r="G519" t="n">
        <v>2.7</v>
      </c>
      <c r="H519" t="n">
        <v>0</v>
      </c>
      <c r="I519" t="n">
        <v>1</v>
      </c>
      <c r="J519" t="n">
        <v>0</v>
      </c>
      <c r="K519" t="n">
        <v>0</v>
      </c>
      <c r="L519" t="n">
        <v>0</v>
      </c>
      <c r="M519" t="n">
        <v>0</v>
      </c>
      <c r="N519" t="n">
        <v>0</v>
      </c>
      <c r="O519" t="n">
        <v>0</v>
      </c>
      <c r="P519" t="n">
        <v>0</v>
      </c>
      <c r="Q519" t="n">
        <v>1</v>
      </c>
      <c r="R519" s="2" t="inlineStr">
        <is>
          <t>Anisspindling</t>
        </is>
      </c>
      <c r="S519">
        <f>HYPERLINK("https://klasma.github.io/Logging_0382/artfynd/A 22044-2020 artfynd.xlsx", "A 22044-2020")</f>
        <v/>
      </c>
      <c r="T519">
        <f>HYPERLINK("https://klasma.github.io/Logging_0382/kartor/A 22044-2020 karta.png", "A 22044-2020")</f>
        <v/>
      </c>
      <c r="V519">
        <f>HYPERLINK("https://klasma.github.io/Logging_0382/klagomål/A 22044-2020 FSC-klagomål.docx", "A 22044-2020")</f>
        <v/>
      </c>
      <c r="W519">
        <f>HYPERLINK("https://klasma.github.io/Logging_0382/klagomålsmail/A 22044-2020 FSC-klagomål mail.docx", "A 22044-2020")</f>
        <v/>
      </c>
      <c r="X519">
        <f>HYPERLINK("https://klasma.github.io/Logging_0382/tillsyn/A 22044-2020 tillsynsbegäran.docx", "A 22044-2020")</f>
        <v/>
      </c>
      <c r="Y519">
        <f>HYPERLINK("https://klasma.github.io/Logging_0382/tillsynsmail/A 22044-2020 tillsynsbegäran mail.docx", "A 22044-2020")</f>
        <v/>
      </c>
    </row>
    <row r="520" ht="15" customHeight="1">
      <c r="A520" t="inlineStr">
        <is>
          <t>A 24287-2020</t>
        </is>
      </c>
      <c r="B520" s="1" t="n">
        <v>43976</v>
      </c>
      <c r="C520" s="1" t="n">
        <v>45846</v>
      </c>
      <c r="D520" t="inlineStr">
        <is>
          <t>UPPSALA LÄN</t>
        </is>
      </c>
      <c r="E520" t="inlineStr">
        <is>
          <t>UPPSALA</t>
        </is>
      </c>
      <c r="G520" t="n">
        <v>1</v>
      </c>
      <c r="H520" t="n">
        <v>1</v>
      </c>
      <c r="I520" t="n">
        <v>0</v>
      </c>
      <c r="J520" t="n">
        <v>1</v>
      </c>
      <c r="K520" t="n">
        <v>0</v>
      </c>
      <c r="L520" t="n">
        <v>0</v>
      </c>
      <c r="M520" t="n">
        <v>0</v>
      </c>
      <c r="N520" t="n">
        <v>0</v>
      </c>
      <c r="O520" t="n">
        <v>1</v>
      </c>
      <c r="P520" t="n">
        <v>0</v>
      </c>
      <c r="Q520" t="n">
        <v>1</v>
      </c>
      <c r="R520" s="2" t="inlineStr">
        <is>
          <t>Rödvingetrast</t>
        </is>
      </c>
      <c r="S520">
        <f>HYPERLINK("https://klasma.github.io/Logging_0380/artfynd/A 24287-2020 artfynd.xlsx", "A 24287-2020")</f>
        <v/>
      </c>
      <c r="T520">
        <f>HYPERLINK("https://klasma.github.io/Logging_0380/kartor/A 24287-2020 karta.png", "A 24287-2020")</f>
        <v/>
      </c>
      <c r="V520">
        <f>HYPERLINK("https://klasma.github.io/Logging_0380/klagomål/A 24287-2020 FSC-klagomål.docx", "A 24287-2020")</f>
        <v/>
      </c>
      <c r="W520">
        <f>HYPERLINK("https://klasma.github.io/Logging_0380/klagomålsmail/A 24287-2020 FSC-klagomål mail.docx", "A 24287-2020")</f>
        <v/>
      </c>
      <c r="X520">
        <f>HYPERLINK("https://klasma.github.io/Logging_0380/tillsyn/A 24287-2020 tillsynsbegäran.docx", "A 24287-2020")</f>
        <v/>
      </c>
      <c r="Y520">
        <f>HYPERLINK("https://klasma.github.io/Logging_0380/tillsynsmail/A 24287-2020 tillsynsbegäran mail.docx", "A 24287-2020")</f>
        <v/>
      </c>
      <c r="Z520">
        <f>HYPERLINK("https://klasma.github.io/Logging_0380/fåglar/A 24287-2020 prioriterade fågelarter.docx", "A 24287-2020")</f>
        <v/>
      </c>
    </row>
    <row r="521" ht="15" customHeight="1">
      <c r="A521" t="inlineStr">
        <is>
          <t>A 25299-2020</t>
        </is>
      </c>
      <c r="B521" s="1" t="n">
        <v>43980</v>
      </c>
      <c r="C521" s="1" t="n">
        <v>45846</v>
      </c>
      <c r="D521" t="inlineStr">
        <is>
          <t>UPPSALA LÄN</t>
        </is>
      </c>
      <c r="E521" t="inlineStr">
        <is>
          <t>UPPSALA</t>
        </is>
      </c>
      <c r="F521" t="inlineStr">
        <is>
          <t>Bergvik skog öst AB</t>
        </is>
      </c>
      <c r="G521" t="n">
        <v>2.5</v>
      </c>
      <c r="H521" t="n">
        <v>0</v>
      </c>
      <c r="I521" t="n">
        <v>1</v>
      </c>
      <c r="J521" t="n">
        <v>0</v>
      </c>
      <c r="K521" t="n">
        <v>0</v>
      </c>
      <c r="L521" t="n">
        <v>0</v>
      </c>
      <c r="M521" t="n">
        <v>0</v>
      </c>
      <c r="N521" t="n">
        <v>0</v>
      </c>
      <c r="O521" t="n">
        <v>0</v>
      </c>
      <c r="P521" t="n">
        <v>0</v>
      </c>
      <c r="Q521" t="n">
        <v>1</v>
      </c>
      <c r="R521" s="2" t="inlineStr">
        <is>
          <t>Scharlakansskål</t>
        </is>
      </c>
      <c r="S521">
        <f>HYPERLINK("https://klasma.github.io/Logging_0380/artfynd/A 25299-2020 artfynd.xlsx", "A 25299-2020")</f>
        <v/>
      </c>
      <c r="T521">
        <f>HYPERLINK("https://klasma.github.io/Logging_0380/kartor/A 25299-2020 karta.png", "A 25299-2020")</f>
        <v/>
      </c>
      <c r="V521">
        <f>HYPERLINK("https://klasma.github.io/Logging_0380/klagomål/A 25299-2020 FSC-klagomål.docx", "A 25299-2020")</f>
        <v/>
      </c>
      <c r="W521">
        <f>HYPERLINK("https://klasma.github.io/Logging_0380/klagomålsmail/A 25299-2020 FSC-klagomål mail.docx", "A 25299-2020")</f>
        <v/>
      </c>
      <c r="X521">
        <f>HYPERLINK("https://klasma.github.io/Logging_0380/tillsyn/A 25299-2020 tillsynsbegäran.docx", "A 25299-2020")</f>
        <v/>
      </c>
      <c r="Y521">
        <f>HYPERLINK("https://klasma.github.io/Logging_0380/tillsynsmail/A 25299-2020 tillsynsbegäran mail.docx", "A 25299-2020")</f>
        <v/>
      </c>
    </row>
    <row r="522" ht="15" customHeight="1">
      <c r="A522" t="inlineStr">
        <is>
          <t>A 30405-2020</t>
        </is>
      </c>
      <c r="B522" s="1" t="n">
        <v>44007</v>
      </c>
      <c r="C522" s="1" t="n">
        <v>45846</v>
      </c>
      <c r="D522" t="inlineStr">
        <is>
          <t>UPPSALA LÄN</t>
        </is>
      </c>
      <c r="E522" t="inlineStr">
        <is>
          <t>ÖSTHAMMAR</t>
        </is>
      </c>
      <c r="G522" t="n">
        <v>0.6</v>
      </c>
      <c r="H522" t="n">
        <v>0</v>
      </c>
      <c r="I522" t="n">
        <v>0</v>
      </c>
      <c r="J522" t="n">
        <v>0</v>
      </c>
      <c r="K522" t="n">
        <v>1</v>
      </c>
      <c r="L522" t="n">
        <v>0</v>
      </c>
      <c r="M522" t="n">
        <v>0</v>
      </c>
      <c r="N522" t="n">
        <v>0</v>
      </c>
      <c r="O522" t="n">
        <v>1</v>
      </c>
      <c r="P522" t="n">
        <v>1</v>
      </c>
      <c r="Q522" t="n">
        <v>1</v>
      </c>
      <c r="R522" s="2" t="inlineStr">
        <is>
          <t>Gulvit blekspik</t>
        </is>
      </c>
      <c r="S522">
        <f>HYPERLINK("https://klasma.github.io/Logging_0382/artfynd/A 30405-2020 artfynd.xlsx", "A 30405-2020")</f>
        <v/>
      </c>
      <c r="T522">
        <f>HYPERLINK("https://klasma.github.io/Logging_0382/kartor/A 30405-2020 karta.png", "A 30405-2020")</f>
        <v/>
      </c>
      <c r="V522">
        <f>HYPERLINK("https://klasma.github.io/Logging_0382/klagomål/A 30405-2020 FSC-klagomål.docx", "A 30405-2020")</f>
        <v/>
      </c>
      <c r="W522">
        <f>HYPERLINK("https://klasma.github.io/Logging_0382/klagomålsmail/A 30405-2020 FSC-klagomål mail.docx", "A 30405-2020")</f>
        <v/>
      </c>
      <c r="X522">
        <f>HYPERLINK("https://klasma.github.io/Logging_0382/tillsyn/A 30405-2020 tillsynsbegäran.docx", "A 30405-2020")</f>
        <v/>
      </c>
      <c r="Y522">
        <f>HYPERLINK("https://klasma.github.io/Logging_0382/tillsynsmail/A 30405-2020 tillsynsbegäran mail.docx", "A 30405-2020")</f>
        <v/>
      </c>
    </row>
    <row r="523" ht="15" customHeight="1">
      <c r="A523" t="inlineStr">
        <is>
          <t>A 35478-2020</t>
        </is>
      </c>
      <c r="B523" s="1" t="n">
        <v>44042</v>
      </c>
      <c r="C523" s="1" t="n">
        <v>45846</v>
      </c>
      <c r="D523" t="inlineStr">
        <is>
          <t>UPPSALA LÄN</t>
        </is>
      </c>
      <c r="E523" t="inlineStr">
        <is>
          <t>UPPSALA</t>
        </is>
      </c>
      <c r="G523" t="n">
        <v>2.5</v>
      </c>
      <c r="H523" t="n">
        <v>0</v>
      </c>
      <c r="I523" t="n">
        <v>1</v>
      </c>
      <c r="J523" t="n">
        <v>0</v>
      </c>
      <c r="K523" t="n">
        <v>0</v>
      </c>
      <c r="L523" t="n">
        <v>0</v>
      </c>
      <c r="M523" t="n">
        <v>0</v>
      </c>
      <c r="N523" t="n">
        <v>0</v>
      </c>
      <c r="O523" t="n">
        <v>0</v>
      </c>
      <c r="P523" t="n">
        <v>0</v>
      </c>
      <c r="Q523" t="n">
        <v>1</v>
      </c>
      <c r="R523" s="2" t="inlineStr">
        <is>
          <t>Stor aspticka</t>
        </is>
      </c>
      <c r="S523">
        <f>HYPERLINK("https://klasma.github.io/Logging_0380/artfynd/A 35478-2020 artfynd.xlsx", "A 35478-2020")</f>
        <v/>
      </c>
      <c r="T523">
        <f>HYPERLINK("https://klasma.github.io/Logging_0380/kartor/A 35478-2020 karta.png", "A 35478-2020")</f>
        <v/>
      </c>
      <c r="V523">
        <f>HYPERLINK("https://klasma.github.io/Logging_0380/klagomål/A 35478-2020 FSC-klagomål.docx", "A 35478-2020")</f>
        <v/>
      </c>
      <c r="W523">
        <f>HYPERLINK("https://klasma.github.io/Logging_0380/klagomålsmail/A 35478-2020 FSC-klagomål mail.docx", "A 35478-2020")</f>
        <v/>
      </c>
      <c r="X523">
        <f>HYPERLINK("https://klasma.github.io/Logging_0380/tillsyn/A 35478-2020 tillsynsbegäran.docx", "A 35478-2020")</f>
        <v/>
      </c>
      <c r="Y523">
        <f>HYPERLINK("https://klasma.github.io/Logging_0380/tillsynsmail/A 35478-2020 tillsynsbegäran mail.docx", "A 35478-2020")</f>
        <v/>
      </c>
    </row>
    <row r="524" ht="15" customHeight="1">
      <c r="A524" t="inlineStr">
        <is>
          <t>A 35553-2020</t>
        </is>
      </c>
      <c r="B524" s="1" t="n">
        <v>44043</v>
      </c>
      <c r="C524" s="1" t="n">
        <v>45846</v>
      </c>
      <c r="D524" t="inlineStr">
        <is>
          <t>UPPSALA LÄN</t>
        </is>
      </c>
      <c r="E524" t="inlineStr">
        <is>
          <t>ÖSTHAMMAR</t>
        </is>
      </c>
      <c r="F524" t="inlineStr">
        <is>
          <t>Bergvik skog öst AB</t>
        </is>
      </c>
      <c r="G524" t="n">
        <v>5.8</v>
      </c>
      <c r="H524" t="n">
        <v>1</v>
      </c>
      <c r="I524" t="n">
        <v>0</v>
      </c>
      <c r="J524" t="n">
        <v>0</v>
      </c>
      <c r="K524" t="n">
        <v>0</v>
      </c>
      <c r="L524" t="n">
        <v>0</v>
      </c>
      <c r="M524" t="n">
        <v>0</v>
      </c>
      <c r="N524" t="n">
        <v>0</v>
      </c>
      <c r="O524" t="n">
        <v>0</v>
      </c>
      <c r="P524" t="n">
        <v>0</v>
      </c>
      <c r="Q524" t="n">
        <v>1</v>
      </c>
      <c r="R524" s="2" t="inlineStr">
        <is>
          <t>Tjäder</t>
        </is>
      </c>
      <c r="S524">
        <f>HYPERLINK("https://klasma.github.io/Logging_0382/artfynd/A 35553-2020 artfynd.xlsx", "A 35553-2020")</f>
        <v/>
      </c>
      <c r="T524">
        <f>HYPERLINK("https://klasma.github.io/Logging_0382/kartor/A 35553-2020 karta.png", "A 35553-2020")</f>
        <v/>
      </c>
      <c r="V524">
        <f>HYPERLINK("https://klasma.github.io/Logging_0382/klagomål/A 35553-2020 FSC-klagomål.docx", "A 35553-2020")</f>
        <v/>
      </c>
      <c r="W524">
        <f>HYPERLINK("https://klasma.github.io/Logging_0382/klagomålsmail/A 35553-2020 FSC-klagomål mail.docx", "A 35553-2020")</f>
        <v/>
      </c>
      <c r="X524">
        <f>HYPERLINK("https://klasma.github.io/Logging_0382/tillsyn/A 35553-2020 tillsynsbegäran.docx", "A 35553-2020")</f>
        <v/>
      </c>
      <c r="Y524">
        <f>HYPERLINK("https://klasma.github.io/Logging_0382/tillsynsmail/A 35553-2020 tillsynsbegäran mail.docx", "A 35553-2020")</f>
        <v/>
      </c>
      <c r="Z524">
        <f>HYPERLINK("https://klasma.github.io/Logging_0382/fåglar/A 35553-2020 prioriterade fågelarter.docx", "A 35553-2020")</f>
        <v/>
      </c>
    </row>
    <row r="525" ht="15" customHeight="1">
      <c r="A525" t="inlineStr">
        <is>
          <t>A 42895-2020</t>
        </is>
      </c>
      <c r="B525" s="1" t="n">
        <v>44078</v>
      </c>
      <c r="C525" s="1" t="n">
        <v>45846</v>
      </c>
      <c r="D525" t="inlineStr">
        <is>
          <t>UPPSALA LÄN</t>
        </is>
      </c>
      <c r="E525" t="inlineStr">
        <is>
          <t>ÄLVKARLEBY</t>
        </is>
      </c>
      <c r="F525" t="inlineStr">
        <is>
          <t>Bergvik skog väst AB</t>
        </is>
      </c>
      <c r="G525" t="n">
        <v>21.9</v>
      </c>
      <c r="H525" t="n">
        <v>1</v>
      </c>
      <c r="I525" t="n">
        <v>0</v>
      </c>
      <c r="J525" t="n">
        <v>0</v>
      </c>
      <c r="K525" t="n">
        <v>1</v>
      </c>
      <c r="L525" t="n">
        <v>0</v>
      </c>
      <c r="M525" t="n">
        <v>0</v>
      </c>
      <c r="N525" t="n">
        <v>0</v>
      </c>
      <c r="O525" t="n">
        <v>1</v>
      </c>
      <c r="P525" t="n">
        <v>1</v>
      </c>
      <c r="Q525" t="n">
        <v>1</v>
      </c>
      <c r="R525" s="2" t="inlineStr">
        <is>
          <t>Gölgroda</t>
        </is>
      </c>
      <c r="S525">
        <f>HYPERLINK("https://klasma.github.io/Logging_0319/artfynd/A 42895-2020 artfynd.xlsx", "A 42895-2020")</f>
        <v/>
      </c>
      <c r="T525">
        <f>HYPERLINK("https://klasma.github.io/Logging_0319/kartor/A 42895-2020 karta.png", "A 42895-2020")</f>
        <v/>
      </c>
      <c r="V525">
        <f>HYPERLINK("https://klasma.github.io/Logging_0319/klagomål/A 42895-2020 FSC-klagomål.docx", "A 42895-2020")</f>
        <v/>
      </c>
      <c r="W525">
        <f>HYPERLINK("https://klasma.github.io/Logging_0319/klagomålsmail/A 42895-2020 FSC-klagomål mail.docx", "A 42895-2020")</f>
        <v/>
      </c>
      <c r="X525">
        <f>HYPERLINK("https://klasma.github.io/Logging_0319/tillsyn/A 42895-2020 tillsynsbegäran.docx", "A 42895-2020")</f>
        <v/>
      </c>
      <c r="Y525">
        <f>HYPERLINK("https://klasma.github.io/Logging_0319/tillsynsmail/A 42895-2020 tillsynsbegäran mail.docx", "A 42895-2020")</f>
        <v/>
      </c>
    </row>
    <row r="526" ht="15" customHeight="1">
      <c r="A526" t="inlineStr">
        <is>
          <t>A 43192-2020</t>
        </is>
      </c>
      <c r="B526" s="1" t="n">
        <v>44081</v>
      </c>
      <c r="C526" s="1" t="n">
        <v>45846</v>
      </c>
      <c r="D526" t="inlineStr">
        <is>
          <t>UPPSALA LÄN</t>
        </is>
      </c>
      <c r="E526" t="inlineStr">
        <is>
          <t>UPPSALA</t>
        </is>
      </c>
      <c r="G526" t="n">
        <v>16.5</v>
      </c>
      <c r="H526" t="n">
        <v>0</v>
      </c>
      <c r="I526" t="n">
        <v>0</v>
      </c>
      <c r="J526" t="n">
        <v>1</v>
      </c>
      <c r="K526" t="n">
        <v>0</v>
      </c>
      <c r="L526" t="n">
        <v>0</v>
      </c>
      <c r="M526" t="n">
        <v>0</v>
      </c>
      <c r="N526" t="n">
        <v>0</v>
      </c>
      <c r="O526" t="n">
        <v>1</v>
      </c>
      <c r="P526" t="n">
        <v>0</v>
      </c>
      <c r="Q526" t="n">
        <v>1</v>
      </c>
      <c r="R526" s="2" t="inlineStr">
        <is>
          <t>Lunglav</t>
        </is>
      </c>
      <c r="S526">
        <f>HYPERLINK("https://klasma.github.io/Logging_0380/artfynd/A 43192-2020 artfynd.xlsx", "A 43192-2020")</f>
        <v/>
      </c>
      <c r="T526">
        <f>HYPERLINK("https://klasma.github.io/Logging_0380/kartor/A 43192-2020 karta.png", "A 43192-2020")</f>
        <v/>
      </c>
      <c r="V526">
        <f>HYPERLINK("https://klasma.github.io/Logging_0380/klagomål/A 43192-2020 FSC-klagomål.docx", "A 43192-2020")</f>
        <v/>
      </c>
      <c r="W526">
        <f>HYPERLINK("https://klasma.github.io/Logging_0380/klagomålsmail/A 43192-2020 FSC-klagomål mail.docx", "A 43192-2020")</f>
        <v/>
      </c>
      <c r="X526">
        <f>HYPERLINK("https://klasma.github.io/Logging_0380/tillsyn/A 43192-2020 tillsynsbegäran.docx", "A 43192-2020")</f>
        <v/>
      </c>
      <c r="Y526">
        <f>HYPERLINK("https://klasma.github.io/Logging_0380/tillsynsmail/A 43192-2020 tillsynsbegäran mail.docx", "A 43192-2020")</f>
        <v/>
      </c>
    </row>
    <row r="527" ht="15" customHeight="1">
      <c r="A527" t="inlineStr">
        <is>
          <t>A 46185-2020</t>
        </is>
      </c>
      <c r="B527" s="1" t="n">
        <v>44092</v>
      </c>
      <c r="C527" s="1" t="n">
        <v>45846</v>
      </c>
      <c r="D527" t="inlineStr">
        <is>
          <t>UPPSALA LÄN</t>
        </is>
      </c>
      <c r="E527" t="inlineStr">
        <is>
          <t>ENKÖPING</t>
        </is>
      </c>
      <c r="G527" t="n">
        <v>1.7</v>
      </c>
      <c r="H527" t="n">
        <v>0</v>
      </c>
      <c r="I527" t="n">
        <v>1</v>
      </c>
      <c r="J527" t="n">
        <v>0</v>
      </c>
      <c r="K527" t="n">
        <v>0</v>
      </c>
      <c r="L527" t="n">
        <v>0</v>
      </c>
      <c r="M527" t="n">
        <v>0</v>
      </c>
      <c r="N527" t="n">
        <v>0</v>
      </c>
      <c r="O527" t="n">
        <v>0</v>
      </c>
      <c r="P527" t="n">
        <v>0</v>
      </c>
      <c r="Q527" t="n">
        <v>1</v>
      </c>
      <c r="R527" s="2" t="inlineStr">
        <is>
          <t>Vedticka</t>
        </is>
      </c>
      <c r="S527">
        <f>HYPERLINK("https://klasma.github.io/Logging_0381/artfynd/A 46185-2020 artfynd.xlsx", "A 46185-2020")</f>
        <v/>
      </c>
      <c r="T527">
        <f>HYPERLINK("https://klasma.github.io/Logging_0381/kartor/A 46185-2020 karta.png", "A 46185-2020")</f>
        <v/>
      </c>
      <c r="V527">
        <f>HYPERLINK("https://klasma.github.io/Logging_0381/klagomål/A 46185-2020 FSC-klagomål.docx", "A 46185-2020")</f>
        <v/>
      </c>
      <c r="W527">
        <f>HYPERLINK("https://klasma.github.io/Logging_0381/klagomålsmail/A 46185-2020 FSC-klagomål mail.docx", "A 46185-2020")</f>
        <v/>
      </c>
      <c r="X527">
        <f>HYPERLINK("https://klasma.github.io/Logging_0381/tillsyn/A 46185-2020 tillsynsbegäran.docx", "A 46185-2020")</f>
        <v/>
      </c>
      <c r="Y527">
        <f>HYPERLINK("https://klasma.github.io/Logging_0381/tillsynsmail/A 46185-2020 tillsynsbegäran mail.docx", "A 46185-2020")</f>
        <v/>
      </c>
    </row>
    <row r="528" ht="15" customHeight="1">
      <c r="A528" t="inlineStr">
        <is>
          <t>A 61479-2020</t>
        </is>
      </c>
      <c r="B528" s="1" t="n">
        <v>44154</v>
      </c>
      <c r="C528" s="1" t="n">
        <v>45846</v>
      </c>
      <c r="D528" t="inlineStr">
        <is>
          <t>UPPSALA LÄN</t>
        </is>
      </c>
      <c r="E528" t="inlineStr">
        <is>
          <t>ÖSTHAMMAR</t>
        </is>
      </c>
      <c r="G528" t="n">
        <v>2.5</v>
      </c>
      <c r="H528" t="n">
        <v>0</v>
      </c>
      <c r="I528" t="n">
        <v>1</v>
      </c>
      <c r="J528" t="n">
        <v>0</v>
      </c>
      <c r="K528" t="n">
        <v>0</v>
      </c>
      <c r="L528" t="n">
        <v>0</v>
      </c>
      <c r="M528" t="n">
        <v>0</v>
      </c>
      <c r="N528" t="n">
        <v>0</v>
      </c>
      <c r="O528" t="n">
        <v>0</v>
      </c>
      <c r="P528" t="n">
        <v>0</v>
      </c>
      <c r="Q528" t="n">
        <v>1</v>
      </c>
      <c r="R528" s="2" t="inlineStr">
        <is>
          <t>Olivspindling</t>
        </is>
      </c>
      <c r="S528">
        <f>HYPERLINK("https://klasma.github.io/Logging_0382/artfynd/A 61479-2020 artfynd.xlsx", "A 61479-2020")</f>
        <v/>
      </c>
      <c r="T528">
        <f>HYPERLINK("https://klasma.github.io/Logging_0382/kartor/A 61479-2020 karta.png", "A 61479-2020")</f>
        <v/>
      </c>
      <c r="V528">
        <f>HYPERLINK("https://klasma.github.io/Logging_0382/klagomål/A 61479-2020 FSC-klagomål.docx", "A 61479-2020")</f>
        <v/>
      </c>
      <c r="W528">
        <f>HYPERLINK("https://klasma.github.io/Logging_0382/klagomålsmail/A 61479-2020 FSC-klagomål mail.docx", "A 61479-2020")</f>
        <v/>
      </c>
      <c r="X528">
        <f>HYPERLINK("https://klasma.github.io/Logging_0382/tillsyn/A 61479-2020 tillsynsbegäran.docx", "A 61479-2020")</f>
        <v/>
      </c>
      <c r="Y528">
        <f>HYPERLINK("https://klasma.github.io/Logging_0382/tillsynsmail/A 61479-2020 tillsynsbegäran mail.docx", "A 61479-2020")</f>
        <v/>
      </c>
    </row>
    <row r="529" ht="15" customHeight="1">
      <c r="A529" t="inlineStr">
        <is>
          <t>A 62718-2020</t>
        </is>
      </c>
      <c r="B529" s="1" t="n">
        <v>44161</v>
      </c>
      <c r="C529" s="1" t="n">
        <v>45846</v>
      </c>
      <c r="D529" t="inlineStr">
        <is>
          <t>UPPSALA LÄN</t>
        </is>
      </c>
      <c r="E529" t="inlineStr">
        <is>
          <t>HEBY</t>
        </is>
      </c>
      <c r="G529" t="n">
        <v>7.9</v>
      </c>
      <c r="H529" t="n">
        <v>1</v>
      </c>
      <c r="I529" t="n">
        <v>0</v>
      </c>
      <c r="J529" t="n">
        <v>0</v>
      </c>
      <c r="K529" t="n">
        <v>0</v>
      </c>
      <c r="L529" t="n">
        <v>0</v>
      </c>
      <c r="M529" t="n">
        <v>0</v>
      </c>
      <c r="N529" t="n">
        <v>0</v>
      </c>
      <c r="O529" t="n">
        <v>0</v>
      </c>
      <c r="P529" t="n">
        <v>0</v>
      </c>
      <c r="Q529" t="n">
        <v>1</v>
      </c>
      <c r="R529" s="2" t="inlineStr">
        <is>
          <t>Nattviol</t>
        </is>
      </c>
      <c r="S529">
        <f>HYPERLINK("https://klasma.github.io/Logging_0331/artfynd/A 62718-2020 artfynd.xlsx", "A 62718-2020")</f>
        <v/>
      </c>
      <c r="T529">
        <f>HYPERLINK("https://klasma.github.io/Logging_0331/kartor/A 62718-2020 karta.png", "A 62718-2020")</f>
        <v/>
      </c>
      <c r="V529">
        <f>HYPERLINK("https://klasma.github.io/Logging_0331/klagomål/A 62718-2020 FSC-klagomål.docx", "A 62718-2020")</f>
        <v/>
      </c>
      <c r="W529">
        <f>HYPERLINK("https://klasma.github.io/Logging_0331/klagomålsmail/A 62718-2020 FSC-klagomål mail.docx", "A 62718-2020")</f>
        <v/>
      </c>
      <c r="X529">
        <f>HYPERLINK("https://klasma.github.io/Logging_0331/tillsyn/A 62718-2020 tillsynsbegäran.docx", "A 62718-2020")</f>
        <v/>
      </c>
      <c r="Y529">
        <f>HYPERLINK("https://klasma.github.io/Logging_0331/tillsynsmail/A 62718-2020 tillsynsbegäran mail.docx", "A 62718-2020")</f>
        <v/>
      </c>
    </row>
    <row r="530" ht="15" customHeight="1">
      <c r="A530" t="inlineStr">
        <is>
          <t>A 66277-2020</t>
        </is>
      </c>
      <c r="B530" s="1" t="n">
        <v>44176</v>
      </c>
      <c r="C530" s="1" t="n">
        <v>45846</v>
      </c>
      <c r="D530" t="inlineStr">
        <is>
          <t>UPPSALA LÄN</t>
        </is>
      </c>
      <c r="E530" t="inlineStr">
        <is>
          <t>ÄLVKARLEBY</t>
        </is>
      </c>
      <c r="F530" t="inlineStr">
        <is>
          <t>Bergvik skog väst AB</t>
        </is>
      </c>
      <c r="G530" t="n">
        <v>2.6</v>
      </c>
      <c r="H530" t="n">
        <v>1</v>
      </c>
      <c r="I530" t="n">
        <v>0</v>
      </c>
      <c r="J530" t="n">
        <v>0</v>
      </c>
      <c r="K530" t="n">
        <v>0</v>
      </c>
      <c r="L530" t="n">
        <v>0</v>
      </c>
      <c r="M530" t="n">
        <v>0</v>
      </c>
      <c r="N530" t="n">
        <v>0</v>
      </c>
      <c r="O530" t="n">
        <v>0</v>
      </c>
      <c r="P530" t="n">
        <v>0</v>
      </c>
      <c r="Q530" t="n">
        <v>1</v>
      </c>
      <c r="R530" s="2" t="inlineStr">
        <is>
          <t>Vanlig padda</t>
        </is>
      </c>
      <c r="S530">
        <f>HYPERLINK("https://klasma.github.io/Logging_0319/artfynd/A 66277-2020 artfynd.xlsx", "A 66277-2020")</f>
        <v/>
      </c>
      <c r="T530">
        <f>HYPERLINK("https://klasma.github.io/Logging_0319/kartor/A 66277-2020 karta.png", "A 66277-2020")</f>
        <v/>
      </c>
      <c r="V530">
        <f>HYPERLINK("https://klasma.github.io/Logging_0319/klagomål/A 66277-2020 FSC-klagomål.docx", "A 66277-2020")</f>
        <v/>
      </c>
      <c r="W530">
        <f>HYPERLINK("https://klasma.github.io/Logging_0319/klagomålsmail/A 66277-2020 FSC-klagomål mail.docx", "A 66277-2020")</f>
        <v/>
      </c>
      <c r="X530">
        <f>HYPERLINK("https://klasma.github.io/Logging_0319/tillsyn/A 66277-2020 tillsynsbegäran.docx", "A 66277-2020")</f>
        <v/>
      </c>
      <c r="Y530">
        <f>HYPERLINK("https://klasma.github.io/Logging_0319/tillsynsmail/A 66277-2020 tillsynsbegäran mail.docx", "A 66277-2020")</f>
        <v/>
      </c>
    </row>
    <row r="531" ht="15" customHeight="1">
      <c r="A531" t="inlineStr">
        <is>
          <t>A 2474-2021</t>
        </is>
      </c>
      <c r="B531" s="1" t="n">
        <v>44214</v>
      </c>
      <c r="C531" s="1" t="n">
        <v>45846</v>
      </c>
      <c r="D531" t="inlineStr">
        <is>
          <t>UPPSALA LÄN</t>
        </is>
      </c>
      <c r="E531" t="inlineStr">
        <is>
          <t>HÅBO</t>
        </is>
      </c>
      <c r="G531" t="n">
        <v>3.4</v>
      </c>
      <c r="H531" t="n">
        <v>0</v>
      </c>
      <c r="I531" t="n">
        <v>0</v>
      </c>
      <c r="J531" t="n">
        <v>1</v>
      </c>
      <c r="K531" t="n">
        <v>0</v>
      </c>
      <c r="L531" t="n">
        <v>0</v>
      </c>
      <c r="M531" t="n">
        <v>0</v>
      </c>
      <c r="N531" t="n">
        <v>0</v>
      </c>
      <c r="O531" t="n">
        <v>1</v>
      </c>
      <c r="P531" t="n">
        <v>0</v>
      </c>
      <c r="Q531" t="n">
        <v>1</v>
      </c>
      <c r="R531" s="2" t="inlineStr">
        <is>
          <t>Fyrflikig jordstjärna</t>
        </is>
      </c>
      <c r="S531">
        <f>HYPERLINK("https://klasma.github.io/Logging_0305/artfynd/A 2474-2021 artfynd.xlsx", "A 2474-2021")</f>
        <v/>
      </c>
      <c r="T531">
        <f>HYPERLINK("https://klasma.github.io/Logging_0305/kartor/A 2474-2021 karta.png", "A 2474-2021")</f>
        <v/>
      </c>
      <c r="V531">
        <f>HYPERLINK("https://klasma.github.io/Logging_0305/klagomål/A 2474-2021 FSC-klagomål.docx", "A 2474-2021")</f>
        <v/>
      </c>
      <c r="W531">
        <f>HYPERLINK("https://klasma.github.io/Logging_0305/klagomålsmail/A 2474-2021 FSC-klagomål mail.docx", "A 2474-2021")</f>
        <v/>
      </c>
      <c r="X531">
        <f>HYPERLINK("https://klasma.github.io/Logging_0305/tillsyn/A 2474-2021 tillsynsbegäran.docx", "A 2474-2021")</f>
        <v/>
      </c>
      <c r="Y531">
        <f>HYPERLINK("https://klasma.github.io/Logging_0305/tillsynsmail/A 2474-2021 tillsynsbegäran mail.docx", "A 2474-2021")</f>
        <v/>
      </c>
    </row>
    <row r="532" ht="15" customHeight="1">
      <c r="A532" t="inlineStr">
        <is>
          <t>A 3444-2021</t>
        </is>
      </c>
      <c r="B532" s="1" t="n">
        <v>44218</v>
      </c>
      <c r="C532" s="1" t="n">
        <v>45846</v>
      </c>
      <c r="D532" t="inlineStr">
        <is>
          <t>UPPSALA LÄN</t>
        </is>
      </c>
      <c r="E532" t="inlineStr">
        <is>
          <t>TIERP</t>
        </is>
      </c>
      <c r="G532" t="n">
        <v>5.6</v>
      </c>
      <c r="H532" t="n">
        <v>0</v>
      </c>
      <c r="I532" t="n">
        <v>0</v>
      </c>
      <c r="J532" t="n">
        <v>1</v>
      </c>
      <c r="K532" t="n">
        <v>0</v>
      </c>
      <c r="L532" t="n">
        <v>0</v>
      </c>
      <c r="M532" t="n">
        <v>0</v>
      </c>
      <c r="N532" t="n">
        <v>0</v>
      </c>
      <c r="O532" t="n">
        <v>1</v>
      </c>
      <c r="P532" t="n">
        <v>0</v>
      </c>
      <c r="Q532" t="n">
        <v>1</v>
      </c>
      <c r="R532" s="2" t="inlineStr">
        <is>
          <t>Fyrflikig jordstjärna</t>
        </is>
      </c>
      <c r="S532">
        <f>HYPERLINK("https://klasma.github.io/Logging_0360/artfynd/A 3444-2021 artfynd.xlsx", "A 3444-2021")</f>
        <v/>
      </c>
      <c r="T532">
        <f>HYPERLINK("https://klasma.github.io/Logging_0360/kartor/A 3444-2021 karta.png", "A 3444-2021")</f>
        <v/>
      </c>
      <c r="V532">
        <f>HYPERLINK("https://klasma.github.io/Logging_0360/klagomål/A 3444-2021 FSC-klagomål.docx", "A 3444-2021")</f>
        <v/>
      </c>
      <c r="W532">
        <f>HYPERLINK("https://klasma.github.io/Logging_0360/klagomålsmail/A 3444-2021 FSC-klagomål mail.docx", "A 3444-2021")</f>
        <v/>
      </c>
      <c r="X532">
        <f>HYPERLINK("https://klasma.github.io/Logging_0360/tillsyn/A 3444-2021 tillsynsbegäran.docx", "A 3444-2021")</f>
        <v/>
      </c>
      <c r="Y532">
        <f>HYPERLINK("https://klasma.github.io/Logging_0360/tillsynsmail/A 3444-2021 tillsynsbegäran mail.docx", "A 3444-2021")</f>
        <v/>
      </c>
    </row>
    <row r="533" ht="15" customHeight="1">
      <c r="A533" t="inlineStr">
        <is>
          <t>A 5714-2021</t>
        </is>
      </c>
      <c r="B533" s="1" t="n">
        <v>44230</v>
      </c>
      <c r="C533" s="1" t="n">
        <v>45846</v>
      </c>
      <c r="D533" t="inlineStr">
        <is>
          <t>UPPSALA LÄN</t>
        </is>
      </c>
      <c r="E533" t="inlineStr">
        <is>
          <t>HÅBO</t>
        </is>
      </c>
      <c r="F533" t="inlineStr">
        <is>
          <t>Kommuner</t>
        </is>
      </c>
      <c r="G533" t="n">
        <v>2.2</v>
      </c>
      <c r="H533" t="n">
        <v>1</v>
      </c>
      <c r="I533" t="n">
        <v>1</v>
      </c>
      <c r="J533" t="n">
        <v>0</v>
      </c>
      <c r="K533" t="n">
        <v>0</v>
      </c>
      <c r="L533" t="n">
        <v>0</v>
      </c>
      <c r="M533" t="n">
        <v>0</v>
      </c>
      <c r="N533" t="n">
        <v>0</v>
      </c>
      <c r="O533" t="n">
        <v>0</v>
      </c>
      <c r="P533" t="n">
        <v>0</v>
      </c>
      <c r="Q533" t="n">
        <v>1</v>
      </c>
      <c r="R533" s="2" t="inlineStr">
        <is>
          <t>Nästrot</t>
        </is>
      </c>
      <c r="S533">
        <f>HYPERLINK("https://klasma.github.io/Logging_0305/artfynd/A 5714-2021 artfynd.xlsx", "A 5714-2021")</f>
        <v/>
      </c>
      <c r="T533">
        <f>HYPERLINK("https://klasma.github.io/Logging_0305/kartor/A 5714-2021 karta.png", "A 5714-2021")</f>
        <v/>
      </c>
      <c r="V533">
        <f>HYPERLINK("https://klasma.github.io/Logging_0305/klagomål/A 5714-2021 FSC-klagomål.docx", "A 5714-2021")</f>
        <v/>
      </c>
      <c r="W533">
        <f>HYPERLINK("https://klasma.github.io/Logging_0305/klagomålsmail/A 5714-2021 FSC-klagomål mail.docx", "A 5714-2021")</f>
        <v/>
      </c>
      <c r="X533">
        <f>HYPERLINK("https://klasma.github.io/Logging_0305/tillsyn/A 5714-2021 tillsynsbegäran.docx", "A 5714-2021")</f>
        <v/>
      </c>
      <c r="Y533">
        <f>HYPERLINK("https://klasma.github.io/Logging_0305/tillsynsmail/A 5714-2021 tillsynsbegäran mail.docx", "A 5714-2021")</f>
        <v/>
      </c>
    </row>
    <row r="534" ht="15" customHeight="1">
      <c r="A534" t="inlineStr">
        <is>
          <t>A 7946-2021</t>
        </is>
      </c>
      <c r="B534" s="1" t="n">
        <v>44242</v>
      </c>
      <c r="C534" s="1" t="n">
        <v>45846</v>
      </c>
      <c r="D534" t="inlineStr">
        <is>
          <t>UPPSALA LÄN</t>
        </is>
      </c>
      <c r="E534" t="inlineStr">
        <is>
          <t>HÅBO</t>
        </is>
      </c>
      <c r="G534" t="n">
        <v>6.7</v>
      </c>
      <c r="H534" t="n">
        <v>1</v>
      </c>
      <c r="I534" t="n">
        <v>0</v>
      </c>
      <c r="J534" t="n">
        <v>0</v>
      </c>
      <c r="K534" t="n">
        <v>0</v>
      </c>
      <c r="L534" t="n">
        <v>0</v>
      </c>
      <c r="M534" t="n">
        <v>0</v>
      </c>
      <c r="N534" t="n">
        <v>0</v>
      </c>
      <c r="O534" t="n">
        <v>0</v>
      </c>
      <c r="P534" t="n">
        <v>0</v>
      </c>
      <c r="Q534" t="n">
        <v>1</v>
      </c>
      <c r="R534" s="2" t="inlineStr">
        <is>
          <t>Kopparödla</t>
        </is>
      </c>
      <c r="S534">
        <f>HYPERLINK("https://klasma.github.io/Logging_0305/artfynd/A 7946-2021 artfynd.xlsx", "A 7946-2021")</f>
        <v/>
      </c>
      <c r="T534">
        <f>HYPERLINK("https://klasma.github.io/Logging_0305/kartor/A 7946-2021 karta.png", "A 7946-2021")</f>
        <v/>
      </c>
      <c r="V534">
        <f>HYPERLINK("https://klasma.github.io/Logging_0305/klagomål/A 7946-2021 FSC-klagomål.docx", "A 7946-2021")</f>
        <v/>
      </c>
      <c r="W534">
        <f>HYPERLINK("https://klasma.github.io/Logging_0305/klagomålsmail/A 7946-2021 FSC-klagomål mail.docx", "A 7946-2021")</f>
        <v/>
      </c>
      <c r="X534">
        <f>HYPERLINK("https://klasma.github.io/Logging_0305/tillsyn/A 7946-2021 tillsynsbegäran.docx", "A 7946-2021")</f>
        <v/>
      </c>
      <c r="Y534">
        <f>HYPERLINK("https://klasma.github.io/Logging_0305/tillsynsmail/A 7946-2021 tillsynsbegäran mail.docx", "A 7946-2021")</f>
        <v/>
      </c>
    </row>
    <row r="535" ht="15" customHeight="1">
      <c r="A535" t="inlineStr">
        <is>
          <t>A 12255-2021</t>
        </is>
      </c>
      <c r="B535" s="1" t="n">
        <v>44266</v>
      </c>
      <c r="C535" s="1" t="n">
        <v>45846</v>
      </c>
      <c r="D535" t="inlineStr">
        <is>
          <t>UPPSALA LÄN</t>
        </is>
      </c>
      <c r="E535" t="inlineStr">
        <is>
          <t>UPPSALA</t>
        </is>
      </c>
      <c r="F535" t="inlineStr">
        <is>
          <t>Bergvik skog öst AB</t>
        </is>
      </c>
      <c r="G535" t="n">
        <v>19.1</v>
      </c>
      <c r="H535" t="n">
        <v>0</v>
      </c>
      <c r="I535" t="n">
        <v>0</v>
      </c>
      <c r="J535" t="n">
        <v>1</v>
      </c>
      <c r="K535" t="n">
        <v>0</v>
      </c>
      <c r="L535" t="n">
        <v>0</v>
      </c>
      <c r="M535" t="n">
        <v>0</v>
      </c>
      <c r="N535" t="n">
        <v>0</v>
      </c>
      <c r="O535" t="n">
        <v>1</v>
      </c>
      <c r="P535" t="n">
        <v>0</v>
      </c>
      <c r="Q535" t="n">
        <v>1</v>
      </c>
      <c r="R535" s="2" t="inlineStr">
        <is>
          <t>Sexfläckig bastardsvärmare</t>
        </is>
      </c>
      <c r="S535">
        <f>HYPERLINK("https://klasma.github.io/Logging_0380/artfynd/A 12255-2021 artfynd.xlsx", "A 12255-2021")</f>
        <v/>
      </c>
      <c r="T535">
        <f>HYPERLINK("https://klasma.github.io/Logging_0380/kartor/A 12255-2021 karta.png", "A 12255-2021")</f>
        <v/>
      </c>
      <c r="V535">
        <f>HYPERLINK("https://klasma.github.io/Logging_0380/klagomål/A 12255-2021 FSC-klagomål.docx", "A 12255-2021")</f>
        <v/>
      </c>
      <c r="W535">
        <f>HYPERLINK("https://klasma.github.io/Logging_0380/klagomålsmail/A 12255-2021 FSC-klagomål mail.docx", "A 12255-2021")</f>
        <v/>
      </c>
      <c r="X535">
        <f>HYPERLINK("https://klasma.github.io/Logging_0380/tillsyn/A 12255-2021 tillsynsbegäran.docx", "A 12255-2021")</f>
        <v/>
      </c>
      <c r="Y535">
        <f>HYPERLINK("https://klasma.github.io/Logging_0380/tillsynsmail/A 12255-2021 tillsynsbegäran mail.docx", "A 12255-2021")</f>
        <v/>
      </c>
    </row>
    <row r="536" ht="15" customHeight="1">
      <c r="A536" t="inlineStr">
        <is>
          <t>A 16973-2021</t>
        </is>
      </c>
      <c r="B536" s="1" t="n">
        <v>44295</v>
      </c>
      <c r="C536" s="1" t="n">
        <v>45846</v>
      </c>
      <c r="D536" t="inlineStr">
        <is>
          <t>UPPSALA LÄN</t>
        </is>
      </c>
      <c r="E536" t="inlineStr">
        <is>
          <t>KNIVSTA</t>
        </is>
      </c>
      <c r="G536" t="n">
        <v>5.5</v>
      </c>
      <c r="H536" t="n">
        <v>0</v>
      </c>
      <c r="I536" t="n">
        <v>0</v>
      </c>
      <c r="J536" t="n">
        <v>1</v>
      </c>
      <c r="K536" t="n">
        <v>0</v>
      </c>
      <c r="L536" t="n">
        <v>0</v>
      </c>
      <c r="M536" t="n">
        <v>0</v>
      </c>
      <c r="N536" t="n">
        <v>0</v>
      </c>
      <c r="O536" t="n">
        <v>1</v>
      </c>
      <c r="P536" t="n">
        <v>0</v>
      </c>
      <c r="Q536" t="n">
        <v>1</v>
      </c>
      <c r="R536" s="2" t="inlineStr">
        <is>
          <t>Backklöver</t>
        </is>
      </c>
      <c r="S536">
        <f>HYPERLINK("https://klasma.github.io/Logging_0330/artfynd/A 16973-2021 artfynd.xlsx", "A 16973-2021")</f>
        <v/>
      </c>
      <c r="T536">
        <f>HYPERLINK("https://klasma.github.io/Logging_0330/kartor/A 16973-2021 karta.png", "A 16973-2021")</f>
        <v/>
      </c>
      <c r="V536">
        <f>HYPERLINK("https://klasma.github.io/Logging_0330/klagomål/A 16973-2021 FSC-klagomål.docx", "A 16973-2021")</f>
        <v/>
      </c>
      <c r="W536">
        <f>HYPERLINK("https://klasma.github.io/Logging_0330/klagomålsmail/A 16973-2021 FSC-klagomål mail.docx", "A 16973-2021")</f>
        <v/>
      </c>
      <c r="X536">
        <f>HYPERLINK("https://klasma.github.io/Logging_0330/tillsyn/A 16973-2021 tillsynsbegäran.docx", "A 16973-2021")</f>
        <v/>
      </c>
      <c r="Y536">
        <f>HYPERLINK("https://klasma.github.io/Logging_0330/tillsynsmail/A 16973-2021 tillsynsbegäran mail.docx", "A 16973-2021")</f>
        <v/>
      </c>
    </row>
    <row r="537" ht="15" customHeight="1">
      <c r="A537" t="inlineStr">
        <is>
          <t>A 19139-2021</t>
        </is>
      </c>
      <c r="B537" s="1" t="n">
        <v>44308</v>
      </c>
      <c r="C537" s="1" t="n">
        <v>45846</v>
      </c>
      <c r="D537" t="inlineStr">
        <is>
          <t>UPPSALA LÄN</t>
        </is>
      </c>
      <c r="E537" t="inlineStr">
        <is>
          <t>HEBY</t>
        </is>
      </c>
      <c r="G537" t="n">
        <v>4.6</v>
      </c>
      <c r="H537" t="n">
        <v>1</v>
      </c>
      <c r="I537" t="n">
        <v>0</v>
      </c>
      <c r="J537" t="n">
        <v>0</v>
      </c>
      <c r="K537" t="n">
        <v>1</v>
      </c>
      <c r="L537" t="n">
        <v>0</v>
      </c>
      <c r="M537" t="n">
        <v>0</v>
      </c>
      <c r="N537" t="n">
        <v>0</v>
      </c>
      <c r="O537" t="n">
        <v>1</v>
      </c>
      <c r="P537" t="n">
        <v>1</v>
      </c>
      <c r="Q537" t="n">
        <v>1</v>
      </c>
      <c r="R537" s="2" t="inlineStr">
        <is>
          <t>Knärot</t>
        </is>
      </c>
      <c r="S537">
        <f>HYPERLINK("https://klasma.github.io/Logging_0331/artfynd/A 19139-2021 artfynd.xlsx", "A 19139-2021")</f>
        <v/>
      </c>
      <c r="T537">
        <f>HYPERLINK("https://klasma.github.io/Logging_0331/kartor/A 19139-2021 karta.png", "A 19139-2021")</f>
        <v/>
      </c>
      <c r="U537">
        <f>HYPERLINK("https://klasma.github.io/Logging_0331/knärot/A 19139-2021 karta knärot.png", "A 19139-2021")</f>
        <v/>
      </c>
      <c r="V537">
        <f>HYPERLINK("https://klasma.github.io/Logging_0331/klagomål/A 19139-2021 FSC-klagomål.docx", "A 19139-2021")</f>
        <v/>
      </c>
      <c r="W537">
        <f>HYPERLINK("https://klasma.github.io/Logging_0331/klagomålsmail/A 19139-2021 FSC-klagomål mail.docx", "A 19139-2021")</f>
        <v/>
      </c>
      <c r="X537">
        <f>HYPERLINK("https://klasma.github.io/Logging_0331/tillsyn/A 19139-2021 tillsynsbegäran.docx", "A 19139-2021")</f>
        <v/>
      </c>
      <c r="Y537">
        <f>HYPERLINK("https://klasma.github.io/Logging_0331/tillsynsmail/A 19139-2021 tillsynsbegäran mail.docx", "A 19139-2021")</f>
        <v/>
      </c>
    </row>
    <row r="538" ht="15" customHeight="1">
      <c r="A538" t="inlineStr">
        <is>
          <t>A 19222-2021</t>
        </is>
      </c>
      <c r="B538" s="1" t="n">
        <v>44309</v>
      </c>
      <c r="C538" s="1" t="n">
        <v>45846</v>
      </c>
      <c r="D538" t="inlineStr">
        <is>
          <t>UPPSALA LÄN</t>
        </is>
      </c>
      <c r="E538" t="inlineStr">
        <is>
          <t>TIERP</t>
        </is>
      </c>
      <c r="F538" t="inlineStr">
        <is>
          <t>Bergvik skog väst AB</t>
        </is>
      </c>
      <c r="G538" t="n">
        <v>11.1</v>
      </c>
      <c r="H538" t="n">
        <v>1</v>
      </c>
      <c r="I538" t="n">
        <v>0</v>
      </c>
      <c r="J538" t="n">
        <v>0</v>
      </c>
      <c r="K538" t="n">
        <v>0</v>
      </c>
      <c r="L538" t="n">
        <v>0</v>
      </c>
      <c r="M538" t="n">
        <v>0</v>
      </c>
      <c r="N538" t="n">
        <v>0</v>
      </c>
      <c r="O538" t="n">
        <v>0</v>
      </c>
      <c r="P538" t="n">
        <v>0</v>
      </c>
      <c r="Q538" t="n">
        <v>1</v>
      </c>
      <c r="R538" s="2" t="inlineStr">
        <is>
          <t>Orre</t>
        </is>
      </c>
      <c r="S538">
        <f>HYPERLINK("https://klasma.github.io/Logging_0360/artfynd/A 19222-2021 artfynd.xlsx", "A 19222-2021")</f>
        <v/>
      </c>
      <c r="T538">
        <f>HYPERLINK("https://klasma.github.io/Logging_0360/kartor/A 19222-2021 karta.png", "A 19222-2021")</f>
        <v/>
      </c>
      <c r="V538">
        <f>HYPERLINK("https://klasma.github.io/Logging_0360/klagomål/A 19222-2021 FSC-klagomål.docx", "A 19222-2021")</f>
        <v/>
      </c>
      <c r="W538">
        <f>HYPERLINK("https://klasma.github.io/Logging_0360/klagomålsmail/A 19222-2021 FSC-klagomål mail.docx", "A 19222-2021")</f>
        <v/>
      </c>
      <c r="X538">
        <f>HYPERLINK("https://klasma.github.io/Logging_0360/tillsyn/A 19222-2021 tillsynsbegäran.docx", "A 19222-2021")</f>
        <v/>
      </c>
      <c r="Y538">
        <f>HYPERLINK("https://klasma.github.io/Logging_0360/tillsynsmail/A 19222-2021 tillsynsbegäran mail.docx", "A 19222-2021")</f>
        <v/>
      </c>
      <c r="Z538">
        <f>HYPERLINK("https://klasma.github.io/Logging_0360/fåglar/A 19222-2021 prioriterade fågelarter.docx", "A 19222-2021")</f>
        <v/>
      </c>
    </row>
    <row r="539" ht="15" customHeight="1">
      <c r="A539" t="inlineStr">
        <is>
          <t>A 23385-2021</t>
        </is>
      </c>
      <c r="B539" s="1" t="n">
        <v>44333</v>
      </c>
      <c r="C539" s="1" t="n">
        <v>45846</v>
      </c>
      <c r="D539" t="inlineStr">
        <is>
          <t>UPPSALA LÄN</t>
        </is>
      </c>
      <c r="E539" t="inlineStr">
        <is>
          <t>ENKÖPING</t>
        </is>
      </c>
      <c r="G539" t="n">
        <v>0.7</v>
      </c>
      <c r="H539" t="n">
        <v>1</v>
      </c>
      <c r="I539" t="n">
        <v>0</v>
      </c>
      <c r="J539" t="n">
        <v>1</v>
      </c>
      <c r="K539" t="n">
        <v>0</v>
      </c>
      <c r="L539" t="n">
        <v>0</v>
      </c>
      <c r="M539" t="n">
        <v>0</v>
      </c>
      <c r="N539" t="n">
        <v>0</v>
      </c>
      <c r="O539" t="n">
        <v>1</v>
      </c>
      <c r="P539" t="n">
        <v>0</v>
      </c>
      <c r="Q539" t="n">
        <v>1</v>
      </c>
      <c r="R539" s="2" t="inlineStr">
        <is>
          <t>Talltita</t>
        </is>
      </c>
      <c r="S539">
        <f>HYPERLINK("https://klasma.github.io/Logging_0381/artfynd/A 23385-2021 artfynd.xlsx", "A 23385-2021")</f>
        <v/>
      </c>
      <c r="T539">
        <f>HYPERLINK("https://klasma.github.io/Logging_0381/kartor/A 23385-2021 karta.png", "A 23385-2021")</f>
        <v/>
      </c>
      <c r="V539">
        <f>HYPERLINK("https://klasma.github.io/Logging_0381/klagomål/A 23385-2021 FSC-klagomål.docx", "A 23385-2021")</f>
        <v/>
      </c>
      <c r="W539">
        <f>HYPERLINK("https://klasma.github.io/Logging_0381/klagomålsmail/A 23385-2021 FSC-klagomål mail.docx", "A 23385-2021")</f>
        <v/>
      </c>
      <c r="X539">
        <f>HYPERLINK("https://klasma.github.io/Logging_0381/tillsyn/A 23385-2021 tillsynsbegäran.docx", "A 23385-2021")</f>
        <v/>
      </c>
      <c r="Y539">
        <f>HYPERLINK("https://klasma.github.io/Logging_0381/tillsynsmail/A 23385-2021 tillsynsbegäran mail.docx", "A 23385-2021")</f>
        <v/>
      </c>
      <c r="Z539">
        <f>HYPERLINK("https://klasma.github.io/Logging_0381/fåglar/A 23385-2021 prioriterade fågelarter.docx", "A 23385-2021")</f>
        <v/>
      </c>
    </row>
    <row r="540" ht="15" customHeight="1">
      <c r="A540" t="inlineStr">
        <is>
          <t>A 32141-2021</t>
        </is>
      </c>
      <c r="B540" s="1" t="n">
        <v>44370</v>
      </c>
      <c r="C540" s="1" t="n">
        <v>45846</v>
      </c>
      <c r="D540" t="inlineStr">
        <is>
          <t>UPPSALA LÄN</t>
        </is>
      </c>
      <c r="E540" t="inlineStr">
        <is>
          <t>HEBY</t>
        </is>
      </c>
      <c r="F540" t="inlineStr">
        <is>
          <t>Bergvik skog väst AB</t>
        </is>
      </c>
      <c r="G540" t="n">
        <v>10.8</v>
      </c>
      <c r="H540" t="n">
        <v>1</v>
      </c>
      <c r="I540" t="n">
        <v>0</v>
      </c>
      <c r="J540" t="n">
        <v>1</v>
      </c>
      <c r="K540" t="n">
        <v>0</v>
      </c>
      <c r="L540" t="n">
        <v>0</v>
      </c>
      <c r="M540" t="n">
        <v>0</v>
      </c>
      <c r="N540" t="n">
        <v>0</v>
      </c>
      <c r="O540" t="n">
        <v>1</v>
      </c>
      <c r="P540" t="n">
        <v>0</v>
      </c>
      <c r="Q540" t="n">
        <v>1</v>
      </c>
      <c r="R540" s="2" t="inlineStr">
        <is>
          <t>Talltita</t>
        </is>
      </c>
      <c r="S540">
        <f>HYPERLINK("https://klasma.github.io/Logging_0331/artfynd/A 32141-2021 artfynd.xlsx", "A 32141-2021")</f>
        <v/>
      </c>
      <c r="T540">
        <f>HYPERLINK("https://klasma.github.io/Logging_0331/kartor/A 32141-2021 karta.png", "A 32141-2021")</f>
        <v/>
      </c>
      <c r="V540">
        <f>HYPERLINK("https://klasma.github.io/Logging_0331/klagomål/A 32141-2021 FSC-klagomål.docx", "A 32141-2021")</f>
        <v/>
      </c>
      <c r="W540">
        <f>HYPERLINK("https://klasma.github.io/Logging_0331/klagomålsmail/A 32141-2021 FSC-klagomål mail.docx", "A 32141-2021")</f>
        <v/>
      </c>
      <c r="X540">
        <f>HYPERLINK("https://klasma.github.io/Logging_0331/tillsyn/A 32141-2021 tillsynsbegäran.docx", "A 32141-2021")</f>
        <v/>
      </c>
      <c r="Y540">
        <f>HYPERLINK("https://klasma.github.io/Logging_0331/tillsynsmail/A 32141-2021 tillsynsbegäran mail.docx", "A 32141-2021")</f>
        <v/>
      </c>
      <c r="Z540">
        <f>HYPERLINK("https://klasma.github.io/Logging_0331/fåglar/A 32141-2021 prioriterade fågelarter.docx", "A 32141-2021")</f>
        <v/>
      </c>
    </row>
    <row r="541" ht="15" customHeight="1">
      <c r="A541" t="inlineStr">
        <is>
          <t>A 33150-2021</t>
        </is>
      </c>
      <c r="B541" s="1" t="n">
        <v>44376</v>
      </c>
      <c r="C541" s="1" t="n">
        <v>45846</v>
      </c>
      <c r="D541" t="inlineStr">
        <is>
          <t>UPPSALA LÄN</t>
        </is>
      </c>
      <c r="E541" t="inlineStr">
        <is>
          <t>HEBY</t>
        </is>
      </c>
      <c r="G541" t="n">
        <v>8.6</v>
      </c>
      <c r="H541" t="n">
        <v>0</v>
      </c>
      <c r="I541" t="n">
        <v>1</v>
      </c>
      <c r="J541" t="n">
        <v>0</v>
      </c>
      <c r="K541" t="n">
        <v>0</v>
      </c>
      <c r="L541" t="n">
        <v>0</v>
      </c>
      <c r="M541" t="n">
        <v>0</v>
      </c>
      <c r="N541" t="n">
        <v>0</v>
      </c>
      <c r="O541" t="n">
        <v>0</v>
      </c>
      <c r="P541" t="n">
        <v>0</v>
      </c>
      <c r="Q541" t="n">
        <v>1</v>
      </c>
      <c r="R541" s="2" t="inlineStr">
        <is>
          <t>Rostfläck</t>
        </is>
      </c>
      <c r="S541">
        <f>HYPERLINK("https://klasma.github.io/Logging_0331/artfynd/A 33150-2021 artfynd.xlsx", "A 33150-2021")</f>
        <v/>
      </c>
      <c r="T541">
        <f>HYPERLINK("https://klasma.github.io/Logging_0331/kartor/A 33150-2021 karta.png", "A 33150-2021")</f>
        <v/>
      </c>
      <c r="V541">
        <f>HYPERLINK("https://klasma.github.io/Logging_0331/klagomål/A 33150-2021 FSC-klagomål.docx", "A 33150-2021")</f>
        <v/>
      </c>
      <c r="W541">
        <f>HYPERLINK("https://klasma.github.io/Logging_0331/klagomålsmail/A 33150-2021 FSC-klagomål mail.docx", "A 33150-2021")</f>
        <v/>
      </c>
      <c r="X541">
        <f>HYPERLINK("https://klasma.github.io/Logging_0331/tillsyn/A 33150-2021 tillsynsbegäran.docx", "A 33150-2021")</f>
        <v/>
      </c>
      <c r="Y541">
        <f>HYPERLINK("https://klasma.github.io/Logging_0331/tillsynsmail/A 33150-2021 tillsynsbegäran mail.docx", "A 33150-2021")</f>
        <v/>
      </c>
    </row>
    <row r="542" ht="15" customHeight="1">
      <c r="A542" t="inlineStr">
        <is>
          <t>A 34020-2021</t>
        </is>
      </c>
      <c r="B542" s="1" t="n">
        <v>44379</v>
      </c>
      <c r="C542" s="1" t="n">
        <v>45846</v>
      </c>
      <c r="D542" t="inlineStr">
        <is>
          <t>UPPSALA LÄN</t>
        </is>
      </c>
      <c r="E542" t="inlineStr">
        <is>
          <t>UPPSALA</t>
        </is>
      </c>
      <c r="G542" t="n">
        <v>1.9</v>
      </c>
      <c r="H542" t="n">
        <v>0</v>
      </c>
      <c r="I542" t="n">
        <v>0</v>
      </c>
      <c r="J542" t="n">
        <v>1</v>
      </c>
      <c r="K542" t="n">
        <v>0</v>
      </c>
      <c r="L542" t="n">
        <v>0</v>
      </c>
      <c r="M542" t="n">
        <v>0</v>
      </c>
      <c r="N542" t="n">
        <v>0</v>
      </c>
      <c r="O542" t="n">
        <v>1</v>
      </c>
      <c r="P542" t="n">
        <v>0</v>
      </c>
      <c r="Q542" t="n">
        <v>1</v>
      </c>
      <c r="R542" s="2" t="inlineStr">
        <is>
          <t>Tallticka</t>
        </is>
      </c>
      <c r="S542">
        <f>HYPERLINK("https://klasma.github.io/Logging_0380/artfynd/A 34020-2021 artfynd.xlsx", "A 34020-2021")</f>
        <v/>
      </c>
      <c r="T542">
        <f>HYPERLINK("https://klasma.github.io/Logging_0380/kartor/A 34020-2021 karta.png", "A 34020-2021")</f>
        <v/>
      </c>
      <c r="V542">
        <f>HYPERLINK("https://klasma.github.io/Logging_0380/klagomål/A 34020-2021 FSC-klagomål.docx", "A 34020-2021")</f>
        <v/>
      </c>
      <c r="W542">
        <f>HYPERLINK("https://klasma.github.io/Logging_0380/klagomålsmail/A 34020-2021 FSC-klagomål mail.docx", "A 34020-2021")</f>
        <v/>
      </c>
      <c r="X542">
        <f>HYPERLINK("https://klasma.github.io/Logging_0380/tillsyn/A 34020-2021 tillsynsbegäran.docx", "A 34020-2021")</f>
        <v/>
      </c>
      <c r="Y542">
        <f>HYPERLINK("https://klasma.github.io/Logging_0380/tillsynsmail/A 34020-2021 tillsynsbegäran mail.docx", "A 34020-2021")</f>
        <v/>
      </c>
    </row>
    <row r="543" ht="15" customHeight="1">
      <c r="A543" t="inlineStr">
        <is>
          <t>A 36523-2021</t>
        </is>
      </c>
      <c r="B543" s="1" t="n">
        <v>44391</v>
      </c>
      <c r="C543" s="1" t="n">
        <v>45846</v>
      </c>
      <c r="D543" t="inlineStr">
        <is>
          <t>UPPSALA LÄN</t>
        </is>
      </c>
      <c r="E543" t="inlineStr">
        <is>
          <t>ENKÖPING</t>
        </is>
      </c>
      <c r="G543" t="n">
        <v>3.5</v>
      </c>
      <c r="H543" t="n">
        <v>1</v>
      </c>
      <c r="I543" t="n">
        <v>0</v>
      </c>
      <c r="J543" t="n">
        <v>1</v>
      </c>
      <c r="K543" t="n">
        <v>0</v>
      </c>
      <c r="L543" t="n">
        <v>0</v>
      </c>
      <c r="M543" t="n">
        <v>0</v>
      </c>
      <c r="N543" t="n">
        <v>0</v>
      </c>
      <c r="O543" t="n">
        <v>1</v>
      </c>
      <c r="P543" t="n">
        <v>0</v>
      </c>
      <c r="Q543" t="n">
        <v>1</v>
      </c>
      <c r="R543" s="2" t="inlineStr">
        <is>
          <t>Spillkråka</t>
        </is>
      </c>
      <c r="S543">
        <f>HYPERLINK("https://klasma.github.io/Logging_0381/artfynd/A 36523-2021 artfynd.xlsx", "A 36523-2021")</f>
        <v/>
      </c>
      <c r="T543">
        <f>HYPERLINK("https://klasma.github.io/Logging_0381/kartor/A 36523-2021 karta.png", "A 36523-2021")</f>
        <v/>
      </c>
      <c r="V543">
        <f>HYPERLINK("https://klasma.github.io/Logging_0381/klagomål/A 36523-2021 FSC-klagomål.docx", "A 36523-2021")</f>
        <v/>
      </c>
      <c r="W543">
        <f>HYPERLINK("https://klasma.github.io/Logging_0381/klagomålsmail/A 36523-2021 FSC-klagomål mail.docx", "A 36523-2021")</f>
        <v/>
      </c>
      <c r="X543">
        <f>HYPERLINK("https://klasma.github.io/Logging_0381/tillsyn/A 36523-2021 tillsynsbegäran.docx", "A 36523-2021")</f>
        <v/>
      </c>
      <c r="Y543">
        <f>HYPERLINK("https://klasma.github.io/Logging_0381/tillsynsmail/A 36523-2021 tillsynsbegäran mail.docx", "A 36523-2021")</f>
        <v/>
      </c>
      <c r="Z543">
        <f>HYPERLINK("https://klasma.github.io/Logging_0381/fåglar/A 36523-2021 prioriterade fågelarter.docx", "A 36523-2021")</f>
        <v/>
      </c>
    </row>
    <row r="544" ht="15" customHeight="1">
      <c r="A544" t="inlineStr">
        <is>
          <t>A 37076-2021</t>
        </is>
      </c>
      <c r="B544" s="1" t="n">
        <v>44395</v>
      </c>
      <c r="C544" s="1" t="n">
        <v>45846</v>
      </c>
      <c r="D544" t="inlineStr">
        <is>
          <t>UPPSALA LÄN</t>
        </is>
      </c>
      <c r="E544" t="inlineStr">
        <is>
          <t>HEBY</t>
        </is>
      </c>
      <c r="G544" t="n">
        <v>4.5</v>
      </c>
      <c r="H544" t="n">
        <v>1</v>
      </c>
      <c r="I544" t="n">
        <v>0</v>
      </c>
      <c r="J544" t="n">
        <v>0</v>
      </c>
      <c r="K544" t="n">
        <v>1</v>
      </c>
      <c r="L544" t="n">
        <v>0</v>
      </c>
      <c r="M544" t="n">
        <v>0</v>
      </c>
      <c r="N544" t="n">
        <v>0</v>
      </c>
      <c r="O544" t="n">
        <v>1</v>
      </c>
      <c r="P544" t="n">
        <v>1</v>
      </c>
      <c r="Q544" t="n">
        <v>1</v>
      </c>
      <c r="R544" s="2" t="inlineStr">
        <is>
          <t>Knärot</t>
        </is>
      </c>
      <c r="S544">
        <f>HYPERLINK("https://klasma.github.io/Logging_0331/artfynd/A 37076-2021 artfynd.xlsx", "A 37076-2021")</f>
        <v/>
      </c>
      <c r="T544">
        <f>HYPERLINK("https://klasma.github.io/Logging_0331/kartor/A 37076-2021 karta.png", "A 37076-2021")</f>
        <v/>
      </c>
      <c r="U544">
        <f>HYPERLINK("https://klasma.github.io/Logging_0331/knärot/A 37076-2021 karta knärot.png", "A 37076-2021")</f>
        <v/>
      </c>
      <c r="V544">
        <f>HYPERLINK("https://klasma.github.io/Logging_0331/klagomål/A 37076-2021 FSC-klagomål.docx", "A 37076-2021")</f>
        <v/>
      </c>
      <c r="W544">
        <f>HYPERLINK("https://klasma.github.io/Logging_0331/klagomålsmail/A 37076-2021 FSC-klagomål mail.docx", "A 37076-2021")</f>
        <v/>
      </c>
      <c r="X544">
        <f>HYPERLINK("https://klasma.github.io/Logging_0331/tillsyn/A 37076-2021 tillsynsbegäran.docx", "A 37076-2021")</f>
        <v/>
      </c>
      <c r="Y544">
        <f>HYPERLINK("https://klasma.github.io/Logging_0331/tillsynsmail/A 37076-2021 tillsynsbegäran mail.docx", "A 37076-2021")</f>
        <v/>
      </c>
    </row>
    <row r="545" ht="15" customHeight="1">
      <c r="A545" t="inlineStr">
        <is>
          <t>A 46417-2021</t>
        </is>
      </c>
      <c r="B545" s="1" t="n">
        <v>44445</v>
      </c>
      <c r="C545" s="1" t="n">
        <v>45846</v>
      </c>
      <c r="D545" t="inlineStr">
        <is>
          <t>UPPSALA LÄN</t>
        </is>
      </c>
      <c r="E545" t="inlineStr">
        <is>
          <t>ÖSTHAMMAR</t>
        </is>
      </c>
      <c r="F545" t="inlineStr">
        <is>
          <t>Övriga Aktiebolag</t>
        </is>
      </c>
      <c r="G545" t="n">
        <v>9.1</v>
      </c>
      <c r="H545" t="n">
        <v>0</v>
      </c>
      <c r="I545" t="n">
        <v>0</v>
      </c>
      <c r="J545" t="n">
        <v>1</v>
      </c>
      <c r="K545" t="n">
        <v>0</v>
      </c>
      <c r="L545" t="n">
        <v>0</v>
      </c>
      <c r="M545" t="n">
        <v>0</v>
      </c>
      <c r="N545" t="n">
        <v>0</v>
      </c>
      <c r="O545" t="n">
        <v>1</v>
      </c>
      <c r="P545" t="n">
        <v>0</v>
      </c>
      <c r="Q545" t="n">
        <v>1</v>
      </c>
      <c r="R545" s="2" t="inlineStr">
        <is>
          <t>Klasefibbla</t>
        </is>
      </c>
      <c r="S545">
        <f>HYPERLINK("https://klasma.github.io/Logging_0382/artfynd/A 46417-2021 artfynd.xlsx", "A 46417-2021")</f>
        <v/>
      </c>
      <c r="T545">
        <f>HYPERLINK("https://klasma.github.io/Logging_0382/kartor/A 46417-2021 karta.png", "A 46417-2021")</f>
        <v/>
      </c>
      <c r="V545">
        <f>HYPERLINK("https://klasma.github.io/Logging_0382/klagomål/A 46417-2021 FSC-klagomål.docx", "A 46417-2021")</f>
        <v/>
      </c>
      <c r="W545">
        <f>HYPERLINK("https://klasma.github.io/Logging_0382/klagomålsmail/A 46417-2021 FSC-klagomål mail.docx", "A 46417-2021")</f>
        <v/>
      </c>
      <c r="X545">
        <f>HYPERLINK("https://klasma.github.io/Logging_0382/tillsyn/A 46417-2021 tillsynsbegäran.docx", "A 46417-2021")</f>
        <v/>
      </c>
      <c r="Y545">
        <f>HYPERLINK("https://klasma.github.io/Logging_0382/tillsynsmail/A 46417-2021 tillsynsbegäran mail.docx", "A 46417-2021")</f>
        <v/>
      </c>
    </row>
    <row r="546" ht="15" customHeight="1">
      <c r="A546" t="inlineStr">
        <is>
          <t>A 49839-2021</t>
        </is>
      </c>
      <c r="B546" s="1" t="n">
        <v>44455</v>
      </c>
      <c r="C546" s="1" t="n">
        <v>45846</v>
      </c>
      <c r="D546" t="inlineStr">
        <is>
          <t>UPPSALA LÄN</t>
        </is>
      </c>
      <c r="E546" t="inlineStr">
        <is>
          <t>ÖSTHAMMAR</t>
        </is>
      </c>
      <c r="G546" t="n">
        <v>3.6</v>
      </c>
      <c r="H546" t="n">
        <v>0</v>
      </c>
      <c r="I546" t="n">
        <v>0</v>
      </c>
      <c r="J546" t="n">
        <v>0</v>
      </c>
      <c r="K546" t="n">
        <v>1</v>
      </c>
      <c r="L546" t="n">
        <v>0</v>
      </c>
      <c r="M546" t="n">
        <v>0</v>
      </c>
      <c r="N546" t="n">
        <v>0</v>
      </c>
      <c r="O546" t="n">
        <v>1</v>
      </c>
      <c r="P546" t="n">
        <v>1</v>
      </c>
      <c r="Q546" t="n">
        <v>1</v>
      </c>
      <c r="R546" s="2" t="inlineStr">
        <is>
          <t>Violgubbe</t>
        </is>
      </c>
      <c r="S546">
        <f>HYPERLINK("https://klasma.github.io/Logging_0382/artfynd/A 49839-2021 artfynd.xlsx", "A 49839-2021")</f>
        <v/>
      </c>
      <c r="T546">
        <f>HYPERLINK("https://klasma.github.io/Logging_0382/kartor/A 49839-2021 karta.png", "A 49839-2021")</f>
        <v/>
      </c>
      <c r="V546">
        <f>HYPERLINK("https://klasma.github.io/Logging_0382/klagomål/A 49839-2021 FSC-klagomål.docx", "A 49839-2021")</f>
        <v/>
      </c>
      <c r="W546">
        <f>HYPERLINK("https://klasma.github.io/Logging_0382/klagomålsmail/A 49839-2021 FSC-klagomål mail.docx", "A 49839-2021")</f>
        <v/>
      </c>
      <c r="X546">
        <f>HYPERLINK("https://klasma.github.io/Logging_0382/tillsyn/A 49839-2021 tillsynsbegäran.docx", "A 49839-2021")</f>
        <v/>
      </c>
      <c r="Y546">
        <f>HYPERLINK("https://klasma.github.io/Logging_0382/tillsynsmail/A 49839-2021 tillsynsbegäran mail.docx", "A 49839-2021")</f>
        <v/>
      </c>
    </row>
    <row r="547" ht="15" customHeight="1">
      <c r="A547" t="inlineStr">
        <is>
          <t>A 49871-2021</t>
        </is>
      </c>
      <c r="B547" s="1" t="n">
        <v>44455</v>
      </c>
      <c r="C547" s="1" t="n">
        <v>45846</v>
      </c>
      <c r="D547" t="inlineStr">
        <is>
          <t>UPPSALA LÄN</t>
        </is>
      </c>
      <c r="E547" t="inlineStr">
        <is>
          <t>ÖSTHAMMAR</t>
        </is>
      </c>
      <c r="G547" t="n">
        <v>0.5</v>
      </c>
      <c r="H547" t="n">
        <v>0</v>
      </c>
      <c r="I547" t="n">
        <v>1</v>
      </c>
      <c r="J547" t="n">
        <v>0</v>
      </c>
      <c r="K547" t="n">
        <v>0</v>
      </c>
      <c r="L547" t="n">
        <v>0</v>
      </c>
      <c r="M547" t="n">
        <v>0</v>
      </c>
      <c r="N547" t="n">
        <v>0</v>
      </c>
      <c r="O547" t="n">
        <v>0</v>
      </c>
      <c r="P547" t="n">
        <v>0</v>
      </c>
      <c r="Q547" t="n">
        <v>1</v>
      </c>
      <c r="R547" s="2" t="inlineStr">
        <is>
          <t>Anisspindling</t>
        </is>
      </c>
      <c r="S547">
        <f>HYPERLINK("https://klasma.github.io/Logging_0382/artfynd/A 49871-2021 artfynd.xlsx", "A 49871-2021")</f>
        <v/>
      </c>
      <c r="T547">
        <f>HYPERLINK("https://klasma.github.io/Logging_0382/kartor/A 49871-2021 karta.png", "A 49871-2021")</f>
        <v/>
      </c>
      <c r="V547">
        <f>HYPERLINK("https://klasma.github.io/Logging_0382/klagomål/A 49871-2021 FSC-klagomål.docx", "A 49871-2021")</f>
        <v/>
      </c>
      <c r="W547">
        <f>HYPERLINK("https://klasma.github.io/Logging_0382/klagomålsmail/A 49871-2021 FSC-klagomål mail.docx", "A 49871-2021")</f>
        <v/>
      </c>
      <c r="X547">
        <f>HYPERLINK("https://klasma.github.io/Logging_0382/tillsyn/A 49871-2021 tillsynsbegäran.docx", "A 49871-2021")</f>
        <v/>
      </c>
      <c r="Y547">
        <f>HYPERLINK("https://klasma.github.io/Logging_0382/tillsynsmail/A 49871-2021 tillsynsbegäran mail.docx", "A 49871-2021")</f>
        <v/>
      </c>
    </row>
    <row r="548" ht="15" customHeight="1">
      <c r="A548" t="inlineStr">
        <is>
          <t>A 50442-2021</t>
        </is>
      </c>
      <c r="B548" s="1" t="n">
        <v>44459</v>
      </c>
      <c r="C548" s="1" t="n">
        <v>45846</v>
      </c>
      <c r="D548" t="inlineStr">
        <is>
          <t>UPPSALA LÄN</t>
        </is>
      </c>
      <c r="E548" t="inlineStr">
        <is>
          <t>TIERP</t>
        </is>
      </c>
      <c r="F548" t="inlineStr">
        <is>
          <t>Bergvik skog öst AB</t>
        </is>
      </c>
      <c r="G548" t="n">
        <v>5.8</v>
      </c>
      <c r="H548" t="n">
        <v>1</v>
      </c>
      <c r="I548" t="n">
        <v>0</v>
      </c>
      <c r="J548" t="n">
        <v>0</v>
      </c>
      <c r="K548" t="n">
        <v>0</v>
      </c>
      <c r="L548" t="n">
        <v>0</v>
      </c>
      <c r="M548" t="n">
        <v>0</v>
      </c>
      <c r="N548" t="n">
        <v>0</v>
      </c>
      <c r="O548" t="n">
        <v>0</v>
      </c>
      <c r="P548" t="n">
        <v>0</v>
      </c>
      <c r="Q548" t="n">
        <v>1</v>
      </c>
      <c r="R548" s="2" t="inlineStr">
        <is>
          <t>Tjäder</t>
        </is>
      </c>
      <c r="S548">
        <f>HYPERLINK("https://klasma.github.io/Logging_0360/artfynd/A 50442-2021 artfynd.xlsx", "A 50442-2021")</f>
        <v/>
      </c>
      <c r="T548">
        <f>HYPERLINK("https://klasma.github.io/Logging_0360/kartor/A 50442-2021 karta.png", "A 50442-2021")</f>
        <v/>
      </c>
      <c r="V548">
        <f>HYPERLINK("https://klasma.github.io/Logging_0360/klagomål/A 50442-2021 FSC-klagomål.docx", "A 50442-2021")</f>
        <v/>
      </c>
      <c r="W548">
        <f>HYPERLINK("https://klasma.github.io/Logging_0360/klagomålsmail/A 50442-2021 FSC-klagomål mail.docx", "A 50442-2021")</f>
        <v/>
      </c>
      <c r="X548">
        <f>HYPERLINK("https://klasma.github.io/Logging_0360/tillsyn/A 50442-2021 tillsynsbegäran.docx", "A 50442-2021")</f>
        <v/>
      </c>
      <c r="Y548">
        <f>HYPERLINK("https://klasma.github.io/Logging_0360/tillsynsmail/A 50442-2021 tillsynsbegäran mail.docx", "A 50442-2021")</f>
        <v/>
      </c>
      <c r="Z548">
        <f>HYPERLINK("https://klasma.github.io/Logging_0360/fåglar/A 50442-2021 prioriterade fågelarter.docx", "A 50442-2021")</f>
        <v/>
      </c>
    </row>
    <row r="549" ht="15" customHeight="1">
      <c r="A549" t="inlineStr">
        <is>
          <t>A 50429-2021</t>
        </is>
      </c>
      <c r="B549" s="1" t="n">
        <v>44459</v>
      </c>
      <c r="C549" s="1" t="n">
        <v>45846</v>
      </c>
      <c r="D549" t="inlineStr">
        <is>
          <t>UPPSALA LÄN</t>
        </is>
      </c>
      <c r="E549" t="inlineStr">
        <is>
          <t>TIERP</t>
        </is>
      </c>
      <c r="F549" t="inlineStr">
        <is>
          <t>Bergvik skog öst AB</t>
        </is>
      </c>
      <c r="G549" t="n">
        <v>11.4</v>
      </c>
      <c r="H549" t="n">
        <v>1</v>
      </c>
      <c r="I549" t="n">
        <v>0</v>
      </c>
      <c r="J549" t="n">
        <v>0</v>
      </c>
      <c r="K549" t="n">
        <v>0</v>
      </c>
      <c r="L549" t="n">
        <v>0</v>
      </c>
      <c r="M549" t="n">
        <v>0</v>
      </c>
      <c r="N549" t="n">
        <v>0</v>
      </c>
      <c r="O549" t="n">
        <v>0</v>
      </c>
      <c r="P549" t="n">
        <v>0</v>
      </c>
      <c r="Q549" t="n">
        <v>1</v>
      </c>
      <c r="R549" s="2" t="inlineStr">
        <is>
          <t>Tjäder</t>
        </is>
      </c>
      <c r="S549">
        <f>HYPERLINK("https://klasma.github.io/Logging_0360/artfynd/A 50429-2021 artfynd.xlsx", "A 50429-2021")</f>
        <v/>
      </c>
      <c r="T549">
        <f>HYPERLINK("https://klasma.github.io/Logging_0360/kartor/A 50429-2021 karta.png", "A 50429-2021")</f>
        <v/>
      </c>
      <c r="V549">
        <f>HYPERLINK("https://klasma.github.io/Logging_0360/klagomål/A 50429-2021 FSC-klagomål.docx", "A 50429-2021")</f>
        <v/>
      </c>
      <c r="W549">
        <f>HYPERLINK("https://klasma.github.io/Logging_0360/klagomålsmail/A 50429-2021 FSC-klagomål mail.docx", "A 50429-2021")</f>
        <v/>
      </c>
      <c r="X549">
        <f>HYPERLINK("https://klasma.github.io/Logging_0360/tillsyn/A 50429-2021 tillsynsbegäran.docx", "A 50429-2021")</f>
        <v/>
      </c>
      <c r="Y549">
        <f>HYPERLINK("https://klasma.github.io/Logging_0360/tillsynsmail/A 50429-2021 tillsynsbegäran mail.docx", "A 50429-2021")</f>
        <v/>
      </c>
      <c r="Z549">
        <f>HYPERLINK("https://klasma.github.io/Logging_0360/fåglar/A 50429-2021 prioriterade fågelarter.docx", "A 50429-2021")</f>
        <v/>
      </c>
    </row>
    <row r="550" ht="15" customHeight="1">
      <c r="A550" t="inlineStr">
        <is>
          <t>A 52849-2021</t>
        </is>
      </c>
      <c r="B550" s="1" t="n">
        <v>44467</v>
      </c>
      <c r="C550" s="1" t="n">
        <v>45846</v>
      </c>
      <c r="D550" t="inlineStr">
        <is>
          <t>UPPSALA LÄN</t>
        </is>
      </c>
      <c r="E550" t="inlineStr">
        <is>
          <t>UPPSALA</t>
        </is>
      </c>
      <c r="F550" t="inlineStr">
        <is>
          <t>Övriga Aktiebolag</t>
        </is>
      </c>
      <c r="G550" t="n">
        <v>3.3</v>
      </c>
      <c r="H550" t="n">
        <v>0</v>
      </c>
      <c r="I550" t="n">
        <v>0</v>
      </c>
      <c r="J550" t="n">
        <v>1</v>
      </c>
      <c r="K550" t="n">
        <v>0</v>
      </c>
      <c r="L550" t="n">
        <v>0</v>
      </c>
      <c r="M550" t="n">
        <v>0</v>
      </c>
      <c r="N550" t="n">
        <v>0</v>
      </c>
      <c r="O550" t="n">
        <v>1</v>
      </c>
      <c r="P550" t="n">
        <v>0</v>
      </c>
      <c r="Q550" t="n">
        <v>1</v>
      </c>
      <c r="R550" s="2" t="inlineStr">
        <is>
          <t>Skogshare</t>
        </is>
      </c>
      <c r="S550">
        <f>HYPERLINK("https://klasma.github.io/Logging_0380/artfynd/A 52849-2021 artfynd.xlsx", "A 52849-2021")</f>
        <v/>
      </c>
      <c r="T550">
        <f>HYPERLINK("https://klasma.github.io/Logging_0380/kartor/A 52849-2021 karta.png", "A 52849-2021")</f>
        <v/>
      </c>
      <c r="V550">
        <f>HYPERLINK("https://klasma.github.io/Logging_0380/klagomål/A 52849-2021 FSC-klagomål.docx", "A 52849-2021")</f>
        <v/>
      </c>
      <c r="W550">
        <f>HYPERLINK("https://klasma.github.io/Logging_0380/klagomålsmail/A 52849-2021 FSC-klagomål mail.docx", "A 52849-2021")</f>
        <v/>
      </c>
      <c r="X550">
        <f>HYPERLINK("https://klasma.github.io/Logging_0380/tillsyn/A 52849-2021 tillsynsbegäran.docx", "A 52849-2021")</f>
        <v/>
      </c>
      <c r="Y550">
        <f>HYPERLINK("https://klasma.github.io/Logging_0380/tillsynsmail/A 52849-2021 tillsynsbegäran mail.docx", "A 52849-2021")</f>
        <v/>
      </c>
    </row>
    <row r="551" ht="15" customHeight="1">
      <c r="A551" t="inlineStr">
        <is>
          <t>A 58050-2021</t>
        </is>
      </c>
      <c r="B551" s="1" t="n">
        <v>44487</v>
      </c>
      <c r="C551" s="1" t="n">
        <v>45846</v>
      </c>
      <c r="D551" t="inlineStr">
        <is>
          <t>UPPSALA LÄN</t>
        </is>
      </c>
      <c r="E551" t="inlineStr">
        <is>
          <t>UPPSALA</t>
        </is>
      </c>
      <c r="G551" t="n">
        <v>4.4</v>
      </c>
      <c r="H551" t="n">
        <v>0</v>
      </c>
      <c r="I551" t="n">
        <v>0</v>
      </c>
      <c r="J551" t="n">
        <v>1</v>
      </c>
      <c r="K551" t="n">
        <v>0</v>
      </c>
      <c r="L551" t="n">
        <v>0</v>
      </c>
      <c r="M551" t="n">
        <v>0</v>
      </c>
      <c r="N551" t="n">
        <v>0</v>
      </c>
      <c r="O551" t="n">
        <v>1</v>
      </c>
      <c r="P551" t="n">
        <v>0</v>
      </c>
      <c r="Q551" t="n">
        <v>1</v>
      </c>
      <c r="R551" s="2" t="inlineStr">
        <is>
          <t>Ullticka</t>
        </is>
      </c>
      <c r="S551">
        <f>HYPERLINK("https://klasma.github.io/Logging_0380/artfynd/A 58050-2021 artfynd.xlsx", "A 58050-2021")</f>
        <v/>
      </c>
      <c r="T551">
        <f>HYPERLINK("https://klasma.github.io/Logging_0380/kartor/A 58050-2021 karta.png", "A 58050-2021")</f>
        <v/>
      </c>
      <c r="V551">
        <f>HYPERLINK("https://klasma.github.io/Logging_0380/klagomål/A 58050-2021 FSC-klagomål.docx", "A 58050-2021")</f>
        <v/>
      </c>
      <c r="W551">
        <f>HYPERLINK("https://klasma.github.io/Logging_0380/klagomålsmail/A 58050-2021 FSC-klagomål mail.docx", "A 58050-2021")</f>
        <v/>
      </c>
      <c r="X551">
        <f>HYPERLINK("https://klasma.github.io/Logging_0380/tillsyn/A 58050-2021 tillsynsbegäran.docx", "A 58050-2021")</f>
        <v/>
      </c>
      <c r="Y551">
        <f>HYPERLINK("https://klasma.github.io/Logging_0380/tillsynsmail/A 58050-2021 tillsynsbegäran mail.docx", "A 58050-2021")</f>
        <v/>
      </c>
    </row>
    <row r="552" ht="15" customHeight="1">
      <c r="A552" t="inlineStr">
        <is>
          <t>A 60855-2021</t>
        </is>
      </c>
      <c r="B552" s="1" t="n">
        <v>44497</v>
      </c>
      <c r="C552" s="1" t="n">
        <v>45846</v>
      </c>
      <c r="D552" t="inlineStr">
        <is>
          <t>UPPSALA LÄN</t>
        </is>
      </c>
      <c r="E552" t="inlineStr">
        <is>
          <t>ENKÖPING</t>
        </is>
      </c>
      <c r="G552" t="n">
        <v>1.2</v>
      </c>
      <c r="H552" t="n">
        <v>1</v>
      </c>
      <c r="I552" t="n">
        <v>0</v>
      </c>
      <c r="J552" t="n">
        <v>0</v>
      </c>
      <c r="K552" t="n">
        <v>1</v>
      </c>
      <c r="L552" t="n">
        <v>0</v>
      </c>
      <c r="M552" t="n">
        <v>0</v>
      </c>
      <c r="N552" t="n">
        <v>0</v>
      </c>
      <c r="O552" t="n">
        <v>1</v>
      </c>
      <c r="P552" t="n">
        <v>1</v>
      </c>
      <c r="Q552" t="n">
        <v>1</v>
      </c>
      <c r="R552" s="2" t="inlineStr">
        <is>
          <t>Knärot</t>
        </is>
      </c>
      <c r="S552">
        <f>HYPERLINK("https://klasma.github.io/Logging_0381/artfynd/A 60855-2021 artfynd.xlsx", "A 60855-2021")</f>
        <v/>
      </c>
      <c r="T552">
        <f>HYPERLINK("https://klasma.github.io/Logging_0381/kartor/A 60855-2021 karta.png", "A 60855-2021")</f>
        <v/>
      </c>
      <c r="U552">
        <f>HYPERLINK("https://klasma.github.io/Logging_0381/knärot/A 60855-2021 karta knärot.png", "A 60855-2021")</f>
        <v/>
      </c>
      <c r="V552">
        <f>HYPERLINK("https://klasma.github.io/Logging_0381/klagomål/A 60855-2021 FSC-klagomål.docx", "A 60855-2021")</f>
        <v/>
      </c>
      <c r="W552">
        <f>HYPERLINK("https://klasma.github.io/Logging_0381/klagomålsmail/A 60855-2021 FSC-klagomål mail.docx", "A 60855-2021")</f>
        <v/>
      </c>
      <c r="X552">
        <f>HYPERLINK("https://klasma.github.io/Logging_0381/tillsyn/A 60855-2021 tillsynsbegäran.docx", "A 60855-2021")</f>
        <v/>
      </c>
      <c r="Y552">
        <f>HYPERLINK("https://klasma.github.io/Logging_0381/tillsynsmail/A 60855-2021 tillsynsbegäran mail.docx", "A 60855-2021")</f>
        <v/>
      </c>
    </row>
    <row r="553" ht="15" customHeight="1">
      <c r="A553" t="inlineStr">
        <is>
          <t>A 61536-2021</t>
        </is>
      </c>
      <c r="B553" s="1" t="n">
        <v>44501</v>
      </c>
      <c r="C553" s="1" t="n">
        <v>45846</v>
      </c>
      <c r="D553" t="inlineStr">
        <is>
          <t>UPPSALA LÄN</t>
        </is>
      </c>
      <c r="E553" t="inlineStr">
        <is>
          <t>ÖSTHAMMAR</t>
        </is>
      </c>
      <c r="F553" t="inlineStr">
        <is>
          <t>Sveaskog</t>
        </is>
      </c>
      <c r="G553" t="n">
        <v>2.1</v>
      </c>
      <c r="H553" t="n">
        <v>0</v>
      </c>
      <c r="I553" t="n">
        <v>0</v>
      </c>
      <c r="J553" t="n">
        <v>1</v>
      </c>
      <c r="K553" t="n">
        <v>0</v>
      </c>
      <c r="L553" t="n">
        <v>0</v>
      </c>
      <c r="M553" t="n">
        <v>0</v>
      </c>
      <c r="N553" t="n">
        <v>0</v>
      </c>
      <c r="O553" t="n">
        <v>1</v>
      </c>
      <c r="P553" t="n">
        <v>0</v>
      </c>
      <c r="Q553" t="n">
        <v>1</v>
      </c>
      <c r="R553" s="2" t="inlineStr">
        <is>
          <t>Klasefibbla</t>
        </is>
      </c>
      <c r="S553">
        <f>HYPERLINK("https://klasma.github.io/Logging_0382/artfynd/A 61536-2021 artfynd.xlsx", "A 61536-2021")</f>
        <v/>
      </c>
      <c r="T553">
        <f>HYPERLINK("https://klasma.github.io/Logging_0382/kartor/A 61536-2021 karta.png", "A 61536-2021")</f>
        <v/>
      </c>
      <c r="V553">
        <f>HYPERLINK("https://klasma.github.io/Logging_0382/klagomål/A 61536-2021 FSC-klagomål.docx", "A 61536-2021")</f>
        <v/>
      </c>
      <c r="W553">
        <f>HYPERLINK("https://klasma.github.io/Logging_0382/klagomålsmail/A 61536-2021 FSC-klagomål mail.docx", "A 61536-2021")</f>
        <v/>
      </c>
      <c r="X553">
        <f>HYPERLINK("https://klasma.github.io/Logging_0382/tillsyn/A 61536-2021 tillsynsbegäran.docx", "A 61536-2021")</f>
        <v/>
      </c>
      <c r="Y553">
        <f>HYPERLINK("https://klasma.github.io/Logging_0382/tillsynsmail/A 61536-2021 tillsynsbegäran mail.docx", "A 61536-2021")</f>
        <v/>
      </c>
    </row>
    <row r="554" ht="15" customHeight="1">
      <c r="A554" t="inlineStr">
        <is>
          <t>A 61598-2021</t>
        </is>
      </c>
      <c r="B554" s="1" t="n">
        <v>44501</v>
      </c>
      <c r="C554" s="1" t="n">
        <v>45846</v>
      </c>
      <c r="D554" t="inlineStr">
        <is>
          <t>UPPSALA LÄN</t>
        </is>
      </c>
      <c r="E554" t="inlineStr">
        <is>
          <t>HEBY</t>
        </is>
      </c>
      <c r="G554" t="n">
        <v>1.5</v>
      </c>
      <c r="H554" t="n">
        <v>1</v>
      </c>
      <c r="I554" t="n">
        <v>0</v>
      </c>
      <c r="J554" t="n">
        <v>0</v>
      </c>
      <c r="K554" t="n">
        <v>0</v>
      </c>
      <c r="L554" t="n">
        <v>0</v>
      </c>
      <c r="M554" t="n">
        <v>0</v>
      </c>
      <c r="N554" t="n">
        <v>0</v>
      </c>
      <c r="O554" t="n">
        <v>0</v>
      </c>
      <c r="P554" t="n">
        <v>0</v>
      </c>
      <c r="Q554" t="n">
        <v>1</v>
      </c>
      <c r="R554" s="2" t="inlineStr">
        <is>
          <t>Trana</t>
        </is>
      </c>
      <c r="S554">
        <f>HYPERLINK("https://klasma.github.io/Logging_0331/artfynd/A 61598-2021 artfynd.xlsx", "A 61598-2021")</f>
        <v/>
      </c>
      <c r="T554">
        <f>HYPERLINK("https://klasma.github.io/Logging_0331/kartor/A 61598-2021 karta.png", "A 61598-2021")</f>
        <v/>
      </c>
      <c r="V554">
        <f>HYPERLINK("https://klasma.github.io/Logging_0331/klagomål/A 61598-2021 FSC-klagomål.docx", "A 61598-2021")</f>
        <v/>
      </c>
      <c r="W554">
        <f>HYPERLINK("https://klasma.github.io/Logging_0331/klagomålsmail/A 61598-2021 FSC-klagomål mail.docx", "A 61598-2021")</f>
        <v/>
      </c>
      <c r="X554">
        <f>HYPERLINK("https://klasma.github.io/Logging_0331/tillsyn/A 61598-2021 tillsynsbegäran.docx", "A 61598-2021")</f>
        <v/>
      </c>
      <c r="Y554">
        <f>HYPERLINK("https://klasma.github.io/Logging_0331/tillsynsmail/A 61598-2021 tillsynsbegäran mail.docx", "A 61598-2021")</f>
        <v/>
      </c>
      <c r="Z554">
        <f>HYPERLINK("https://klasma.github.io/Logging_0331/fåglar/A 61598-2021 prioriterade fågelarter.docx", "A 61598-2021")</f>
        <v/>
      </c>
    </row>
    <row r="555" ht="15" customHeight="1">
      <c r="A555" t="inlineStr">
        <is>
          <t>A 61559-2021</t>
        </is>
      </c>
      <c r="B555" s="1" t="n">
        <v>44501</v>
      </c>
      <c r="C555" s="1" t="n">
        <v>45846</v>
      </c>
      <c r="D555" t="inlineStr">
        <is>
          <t>UPPSALA LÄN</t>
        </is>
      </c>
      <c r="E555" t="inlineStr">
        <is>
          <t>ÖSTHAMMAR</t>
        </is>
      </c>
      <c r="F555" t="inlineStr">
        <is>
          <t>Sveaskog</t>
        </is>
      </c>
      <c r="G555" t="n">
        <v>2.3</v>
      </c>
      <c r="H555" t="n">
        <v>0</v>
      </c>
      <c r="I555" t="n">
        <v>0</v>
      </c>
      <c r="J555" t="n">
        <v>1</v>
      </c>
      <c r="K555" t="n">
        <v>0</v>
      </c>
      <c r="L555" t="n">
        <v>0</v>
      </c>
      <c r="M555" t="n">
        <v>0</v>
      </c>
      <c r="N555" t="n">
        <v>0</v>
      </c>
      <c r="O555" t="n">
        <v>1</v>
      </c>
      <c r="P555" t="n">
        <v>0</v>
      </c>
      <c r="Q555" t="n">
        <v>1</v>
      </c>
      <c r="R555" s="2" t="inlineStr">
        <is>
          <t>Backklöver</t>
        </is>
      </c>
      <c r="S555">
        <f>HYPERLINK("https://klasma.github.io/Logging_0382/artfynd/A 61559-2021 artfynd.xlsx", "A 61559-2021")</f>
        <v/>
      </c>
      <c r="T555">
        <f>HYPERLINK("https://klasma.github.io/Logging_0382/kartor/A 61559-2021 karta.png", "A 61559-2021")</f>
        <v/>
      </c>
      <c r="V555">
        <f>HYPERLINK("https://klasma.github.io/Logging_0382/klagomål/A 61559-2021 FSC-klagomål.docx", "A 61559-2021")</f>
        <v/>
      </c>
      <c r="W555">
        <f>HYPERLINK("https://klasma.github.io/Logging_0382/klagomålsmail/A 61559-2021 FSC-klagomål mail.docx", "A 61559-2021")</f>
        <v/>
      </c>
      <c r="X555">
        <f>HYPERLINK("https://klasma.github.io/Logging_0382/tillsyn/A 61559-2021 tillsynsbegäran.docx", "A 61559-2021")</f>
        <v/>
      </c>
      <c r="Y555">
        <f>HYPERLINK("https://klasma.github.io/Logging_0382/tillsynsmail/A 61559-2021 tillsynsbegäran mail.docx", "A 61559-2021")</f>
        <v/>
      </c>
    </row>
    <row r="556" ht="15" customHeight="1">
      <c r="A556" t="inlineStr">
        <is>
          <t>A 63615-2021</t>
        </is>
      </c>
      <c r="B556" s="1" t="n">
        <v>44509</v>
      </c>
      <c r="C556" s="1" t="n">
        <v>45846</v>
      </c>
      <c r="D556" t="inlineStr">
        <is>
          <t>UPPSALA LÄN</t>
        </is>
      </c>
      <c r="E556" t="inlineStr">
        <is>
          <t>ÖSTHAMMAR</t>
        </is>
      </c>
      <c r="G556" t="n">
        <v>1.9</v>
      </c>
      <c r="H556" t="n">
        <v>0</v>
      </c>
      <c r="I556" t="n">
        <v>0</v>
      </c>
      <c r="J556" t="n">
        <v>1</v>
      </c>
      <c r="K556" t="n">
        <v>0</v>
      </c>
      <c r="L556" t="n">
        <v>0</v>
      </c>
      <c r="M556" t="n">
        <v>0</v>
      </c>
      <c r="N556" t="n">
        <v>0</v>
      </c>
      <c r="O556" t="n">
        <v>1</v>
      </c>
      <c r="P556" t="n">
        <v>0</v>
      </c>
      <c r="Q556" t="n">
        <v>1</v>
      </c>
      <c r="R556" s="2" t="inlineStr">
        <is>
          <t>Gul taggsvamp</t>
        </is>
      </c>
      <c r="S556">
        <f>HYPERLINK("https://klasma.github.io/Logging_0382/artfynd/A 63615-2021 artfynd.xlsx", "A 63615-2021")</f>
        <v/>
      </c>
      <c r="T556">
        <f>HYPERLINK("https://klasma.github.io/Logging_0382/kartor/A 63615-2021 karta.png", "A 63615-2021")</f>
        <v/>
      </c>
      <c r="V556">
        <f>HYPERLINK("https://klasma.github.io/Logging_0382/klagomål/A 63615-2021 FSC-klagomål.docx", "A 63615-2021")</f>
        <v/>
      </c>
      <c r="W556">
        <f>HYPERLINK("https://klasma.github.io/Logging_0382/klagomålsmail/A 63615-2021 FSC-klagomål mail.docx", "A 63615-2021")</f>
        <v/>
      </c>
      <c r="X556">
        <f>HYPERLINK("https://klasma.github.io/Logging_0382/tillsyn/A 63615-2021 tillsynsbegäran.docx", "A 63615-2021")</f>
        <v/>
      </c>
      <c r="Y556">
        <f>HYPERLINK("https://klasma.github.io/Logging_0382/tillsynsmail/A 63615-2021 tillsynsbegäran mail.docx", "A 63615-2021")</f>
        <v/>
      </c>
    </row>
    <row r="557" ht="15" customHeight="1">
      <c r="A557" t="inlineStr">
        <is>
          <t>A 65989-2021</t>
        </is>
      </c>
      <c r="B557" s="1" t="n">
        <v>44517</v>
      </c>
      <c r="C557" s="1" t="n">
        <v>45846</v>
      </c>
      <c r="D557" t="inlineStr">
        <is>
          <t>UPPSALA LÄN</t>
        </is>
      </c>
      <c r="E557" t="inlineStr">
        <is>
          <t>ÖSTHAMMAR</t>
        </is>
      </c>
      <c r="G557" t="n">
        <v>6.9</v>
      </c>
      <c r="H557" t="n">
        <v>1</v>
      </c>
      <c r="I557" t="n">
        <v>1</v>
      </c>
      <c r="J557" t="n">
        <v>0</v>
      </c>
      <c r="K557" t="n">
        <v>0</v>
      </c>
      <c r="L557" t="n">
        <v>0</v>
      </c>
      <c r="M557" t="n">
        <v>0</v>
      </c>
      <c r="N557" t="n">
        <v>0</v>
      </c>
      <c r="O557" t="n">
        <v>0</v>
      </c>
      <c r="P557" t="n">
        <v>0</v>
      </c>
      <c r="Q557" t="n">
        <v>1</v>
      </c>
      <c r="R557" s="2" t="inlineStr">
        <is>
          <t>Skogsknipprot</t>
        </is>
      </c>
      <c r="S557">
        <f>HYPERLINK("https://klasma.github.io/Logging_0382/artfynd/A 65989-2021 artfynd.xlsx", "A 65989-2021")</f>
        <v/>
      </c>
      <c r="T557">
        <f>HYPERLINK("https://klasma.github.io/Logging_0382/kartor/A 65989-2021 karta.png", "A 65989-2021")</f>
        <v/>
      </c>
      <c r="V557">
        <f>HYPERLINK("https://klasma.github.io/Logging_0382/klagomål/A 65989-2021 FSC-klagomål.docx", "A 65989-2021")</f>
        <v/>
      </c>
      <c r="W557">
        <f>HYPERLINK("https://klasma.github.io/Logging_0382/klagomålsmail/A 65989-2021 FSC-klagomål mail.docx", "A 65989-2021")</f>
        <v/>
      </c>
      <c r="X557">
        <f>HYPERLINK("https://klasma.github.io/Logging_0382/tillsyn/A 65989-2021 tillsynsbegäran.docx", "A 65989-2021")</f>
        <v/>
      </c>
      <c r="Y557">
        <f>HYPERLINK("https://klasma.github.io/Logging_0382/tillsynsmail/A 65989-2021 tillsynsbegäran mail.docx", "A 65989-2021")</f>
        <v/>
      </c>
    </row>
    <row r="558" ht="15" customHeight="1">
      <c r="A558" t="inlineStr">
        <is>
          <t>A 69711-2021</t>
        </is>
      </c>
      <c r="B558" s="1" t="n">
        <v>44532</v>
      </c>
      <c r="C558" s="1" t="n">
        <v>45846</v>
      </c>
      <c r="D558" t="inlineStr">
        <is>
          <t>UPPSALA LÄN</t>
        </is>
      </c>
      <c r="E558" t="inlineStr">
        <is>
          <t>UPPSALA</t>
        </is>
      </c>
      <c r="G558" t="n">
        <v>10.2</v>
      </c>
      <c r="H558" t="n">
        <v>1</v>
      </c>
      <c r="I558" t="n">
        <v>0</v>
      </c>
      <c r="J558" t="n">
        <v>0</v>
      </c>
      <c r="K558" t="n">
        <v>0</v>
      </c>
      <c r="L558" t="n">
        <v>0</v>
      </c>
      <c r="M558" t="n">
        <v>0</v>
      </c>
      <c r="N558" t="n">
        <v>0</v>
      </c>
      <c r="O558" t="n">
        <v>0</v>
      </c>
      <c r="P558" t="n">
        <v>0</v>
      </c>
      <c r="Q558" t="n">
        <v>1</v>
      </c>
      <c r="R558" s="2" t="inlineStr">
        <is>
          <t>Tjäder</t>
        </is>
      </c>
      <c r="S558">
        <f>HYPERLINK("https://klasma.github.io/Logging_0380/artfynd/A 69711-2021 artfynd.xlsx", "A 69711-2021")</f>
        <v/>
      </c>
      <c r="T558">
        <f>HYPERLINK("https://klasma.github.io/Logging_0380/kartor/A 69711-2021 karta.png", "A 69711-2021")</f>
        <v/>
      </c>
      <c r="V558">
        <f>HYPERLINK("https://klasma.github.io/Logging_0380/klagomål/A 69711-2021 FSC-klagomål.docx", "A 69711-2021")</f>
        <v/>
      </c>
      <c r="W558">
        <f>HYPERLINK("https://klasma.github.io/Logging_0380/klagomålsmail/A 69711-2021 FSC-klagomål mail.docx", "A 69711-2021")</f>
        <v/>
      </c>
      <c r="X558">
        <f>HYPERLINK("https://klasma.github.io/Logging_0380/tillsyn/A 69711-2021 tillsynsbegäran.docx", "A 69711-2021")</f>
        <v/>
      </c>
      <c r="Y558">
        <f>HYPERLINK("https://klasma.github.io/Logging_0380/tillsynsmail/A 69711-2021 tillsynsbegäran mail.docx", "A 69711-2021")</f>
        <v/>
      </c>
      <c r="Z558">
        <f>HYPERLINK("https://klasma.github.io/Logging_0380/fåglar/A 69711-2021 prioriterade fågelarter.docx", "A 69711-2021")</f>
        <v/>
      </c>
    </row>
    <row r="559" ht="15" customHeight="1">
      <c r="A559" t="inlineStr">
        <is>
          <t>A 70495-2021</t>
        </is>
      </c>
      <c r="B559" s="1" t="n">
        <v>44536</v>
      </c>
      <c r="C559" s="1" t="n">
        <v>45846</v>
      </c>
      <c r="D559" t="inlineStr">
        <is>
          <t>UPPSALA LÄN</t>
        </is>
      </c>
      <c r="E559" t="inlineStr">
        <is>
          <t>ÖSTHAMMAR</t>
        </is>
      </c>
      <c r="G559" t="n">
        <v>1</v>
      </c>
      <c r="H559" t="n">
        <v>1</v>
      </c>
      <c r="I559" t="n">
        <v>0</v>
      </c>
      <c r="J559" t="n">
        <v>1</v>
      </c>
      <c r="K559" t="n">
        <v>0</v>
      </c>
      <c r="L559" t="n">
        <v>0</v>
      </c>
      <c r="M559" t="n">
        <v>0</v>
      </c>
      <c r="N559" t="n">
        <v>0</v>
      </c>
      <c r="O559" t="n">
        <v>1</v>
      </c>
      <c r="P559" t="n">
        <v>0</v>
      </c>
      <c r="Q559" t="n">
        <v>1</v>
      </c>
      <c r="R559" s="2" t="inlineStr">
        <is>
          <t>Slaguggla</t>
        </is>
      </c>
      <c r="S559">
        <f>HYPERLINK("https://klasma.github.io/Logging_0382/artfynd/A 70495-2021 artfynd.xlsx", "A 70495-2021")</f>
        <v/>
      </c>
      <c r="T559">
        <f>HYPERLINK("https://klasma.github.io/Logging_0382/kartor/A 70495-2021 karta.png", "A 70495-2021")</f>
        <v/>
      </c>
      <c r="V559">
        <f>HYPERLINK("https://klasma.github.io/Logging_0382/klagomål/A 70495-2021 FSC-klagomål.docx", "A 70495-2021")</f>
        <v/>
      </c>
      <c r="W559">
        <f>HYPERLINK("https://klasma.github.io/Logging_0382/klagomålsmail/A 70495-2021 FSC-klagomål mail.docx", "A 70495-2021")</f>
        <v/>
      </c>
      <c r="X559">
        <f>HYPERLINK("https://klasma.github.io/Logging_0382/tillsyn/A 70495-2021 tillsynsbegäran.docx", "A 70495-2021")</f>
        <v/>
      </c>
      <c r="Y559">
        <f>HYPERLINK("https://klasma.github.io/Logging_0382/tillsynsmail/A 70495-2021 tillsynsbegäran mail.docx", "A 70495-2021")</f>
        <v/>
      </c>
      <c r="Z559">
        <f>HYPERLINK("https://klasma.github.io/Logging_0382/fåglar/A 70495-2021 prioriterade fågelarter.docx", "A 70495-2021")</f>
        <v/>
      </c>
    </row>
    <row r="560" ht="15" customHeight="1">
      <c r="A560" t="inlineStr">
        <is>
          <t>A 73320-2021</t>
        </is>
      </c>
      <c r="B560" s="1" t="n">
        <v>44551</v>
      </c>
      <c r="C560" s="1" t="n">
        <v>45846</v>
      </c>
      <c r="D560" t="inlineStr">
        <is>
          <t>UPPSALA LÄN</t>
        </is>
      </c>
      <c r="E560" t="inlineStr">
        <is>
          <t>TIERP</t>
        </is>
      </c>
      <c r="G560" t="n">
        <v>8.699999999999999</v>
      </c>
      <c r="H560" t="n">
        <v>0</v>
      </c>
      <c r="I560" t="n">
        <v>1</v>
      </c>
      <c r="J560" t="n">
        <v>0</v>
      </c>
      <c r="K560" t="n">
        <v>0</v>
      </c>
      <c r="L560" t="n">
        <v>0</v>
      </c>
      <c r="M560" t="n">
        <v>0</v>
      </c>
      <c r="N560" t="n">
        <v>0</v>
      </c>
      <c r="O560" t="n">
        <v>0</v>
      </c>
      <c r="P560" t="n">
        <v>0</v>
      </c>
      <c r="Q560" t="n">
        <v>1</v>
      </c>
      <c r="R560" s="2" t="inlineStr">
        <is>
          <t>Rödgul trumpetsvamp</t>
        </is>
      </c>
      <c r="S560">
        <f>HYPERLINK("https://klasma.github.io/Logging_0360/artfynd/A 73320-2021 artfynd.xlsx", "A 73320-2021")</f>
        <v/>
      </c>
      <c r="T560">
        <f>HYPERLINK("https://klasma.github.io/Logging_0360/kartor/A 73320-2021 karta.png", "A 73320-2021")</f>
        <v/>
      </c>
      <c r="V560">
        <f>HYPERLINK("https://klasma.github.io/Logging_0360/klagomål/A 73320-2021 FSC-klagomål.docx", "A 73320-2021")</f>
        <v/>
      </c>
      <c r="W560">
        <f>HYPERLINK("https://klasma.github.io/Logging_0360/klagomålsmail/A 73320-2021 FSC-klagomål mail.docx", "A 73320-2021")</f>
        <v/>
      </c>
      <c r="X560">
        <f>HYPERLINK("https://klasma.github.io/Logging_0360/tillsyn/A 73320-2021 tillsynsbegäran.docx", "A 73320-2021")</f>
        <v/>
      </c>
      <c r="Y560">
        <f>HYPERLINK("https://klasma.github.io/Logging_0360/tillsynsmail/A 73320-2021 tillsynsbegäran mail.docx", "A 73320-2021")</f>
        <v/>
      </c>
    </row>
    <row r="561" ht="15" customHeight="1">
      <c r="A561" t="inlineStr">
        <is>
          <t>A 74028-2021</t>
        </is>
      </c>
      <c r="B561" s="1" t="n">
        <v>44557</v>
      </c>
      <c r="C561" s="1" t="n">
        <v>45846</v>
      </c>
      <c r="D561" t="inlineStr">
        <is>
          <t>UPPSALA LÄN</t>
        </is>
      </c>
      <c r="E561" t="inlineStr">
        <is>
          <t>ENKÖPING</t>
        </is>
      </c>
      <c r="G561" t="n">
        <v>7.3</v>
      </c>
      <c r="H561" t="n">
        <v>1</v>
      </c>
      <c r="I561" t="n">
        <v>0</v>
      </c>
      <c r="J561" t="n">
        <v>0</v>
      </c>
      <c r="K561" t="n">
        <v>0</v>
      </c>
      <c r="L561" t="n">
        <v>0</v>
      </c>
      <c r="M561" t="n">
        <v>0</v>
      </c>
      <c r="N561" t="n">
        <v>0</v>
      </c>
      <c r="O561" t="n">
        <v>0</v>
      </c>
      <c r="P561" t="n">
        <v>0</v>
      </c>
      <c r="Q561" t="n">
        <v>1</v>
      </c>
      <c r="R561" s="2" t="inlineStr">
        <is>
          <t>Tjäder</t>
        </is>
      </c>
      <c r="S561">
        <f>HYPERLINK("https://klasma.github.io/Logging_0381/artfynd/A 74028-2021 artfynd.xlsx", "A 74028-2021")</f>
        <v/>
      </c>
      <c r="T561">
        <f>HYPERLINK("https://klasma.github.io/Logging_0381/kartor/A 74028-2021 karta.png", "A 74028-2021")</f>
        <v/>
      </c>
      <c r="V561">
        <f>HYPERLINK("https://klasma.github.io/Logging_0381/klagomål/A 74028-2021 FSC-klagomål.docx", "A 74028-2021")</f>
        <v/>
      </c>
      <c r="W561">
        <f>HYPERLINK("https://klasma.github.io/Logging_0381/klagomålsmail/A 74028-2021 FSC-klagomål mail.docx", "A 74028-2021")</f>
        <v/>
      </c>
      <c r="X561">
        <f>HYPERLINK("https://klasma.github.io/Logging_0381/tillsyn/A 74028-2021 tillsynsbegäran.docx", "A 74028-2021")</f>
        <v/>
      </c>
      <c r="Y561">
        <f>HYPERLINK("https://klasma.github.io/Logging_0381/tillsynsmail/A 74028-2021 tillsynsbegäran mail.docx", "A 74028-2021")</f>
        <v/>
      </c>
      <c r="Z561">
        <f>HYPERLINK("https://klasma.github.io/Logging_0381/fåglar/A 74028-2021 prioriterade fågelarter.docx", "A 74028-2021")</f>
        <v/>
      </c>
    </row>
    <row r="562" ht="15" customHeight="1">
      <c r="A562" t="inlineStr">
        <is>
          <t>A 74472-2021</t>
        </is>
      </c>
      <c r="B562" s="1" t="n">
        <v>44560</v>
      </c>
      <c r="C562" s="1" t="n">
        <v>45846</v>
      </c>
      <c r="D562" t="inlineStr">
        <is>
          <t>UPPSALA LÄN</t>
        </is>
      </c>
      <c r="E562" t="inlineStr">
        <is>
          <t>TIERP</t>
        </is>
      </c>
      <c r="G562" t="n">
        <v>2.8</v>
      </c>
      <c r="H562" t="n">
        <v>0</v>
      </c>
      <c r="I562" t="n">
        <v>1</v>
      </c>
      <c r="J562" t="n">
        <v>0</v>
      </c>
      <c r="K562" t="n">
        <v>0</v>
      </c>
      <c r="L562" t="n">
        <v>0</v>
      </c>
      <c r="M562" t="n">
        <v>0</v>
      </c>
      <c r="N562" t="n">
        <v>0</v>
      </c>
      <c r="O562" t="n">
        <v>0</v>
      </c>
      <c r="P562" t="n">
        <v>0</v>
      </c>
      <c r="Q562" t="n">
        <v>1</v>
      </c>
      <c r="R562" s="2" t="inlineStr">
        <is>
          <t>Underviol</t>
        </is>
      </c>
      <c r="S562">
        <f>HYPERLINK("https://klasma.github.io/Logging_0360/artfynd/A 74472-2021 artfynd.xlsx", "A 74472-2021")</f>
        <v/>
      </c>
      <c r="T562">
        <f>HYPERLINK("https://klasma.github.io/Logging_0360/kartor/A 74472-2021 karta.png", "A 74472-2021")</f>
        <v/>
      </c>
      <c r="V562">
        <f>HYPERLINK("https://klasma.github.io/Logging_0360/klagomål/A 74472-2021 FSC-klagomål.docx", "A 74472-2021")</f>
        <v/>
      </c>
      <c r="W562">
        <f>HYPERLINK("https://klasma.github.io/Logging_0360/klagomålsmail/A 74472-2021 FSC-klagomål mail.docx", "A 74472-2021")</f>
        <v/>
      </c>
      <c r="X562">
        <f>HYPERLINK("https://klasma.github.io/Logging_0360/tillsyn/A 74472-2021 tillsynsbegäran.docx", "A 74472-2021")</f>
        <v/>
      </c>
      <c r="Y562">
        <f>HYPERLINK("https://klasma.github.io/Logging_0360/tillsynsmail/A 74472-2021 tillsynsbegäran mail.docx", "A 74472-2021")</f>
        <v/>
      </c>
    </row>
    <row r="563" ht="15" customHeight="1">
      <c r="A563" t="inlineStr">
        <is>
          <t>A 738-2022</t>
        </is>
      </c>
      <c r="B563" s="1" t="n">
        <v>44568</v>
      </c>
      <c r="C563" s="1" t="n">
        <v>45846</v>
      </c>
      <c r="D563" t="inlineStr">
        <is>
          <t>UPPSALA LÄN</t>
        </is>
      </c>
      <c r="E563" t="inlineStr">
        <is>
          <t>HEBY</t>
        </is>
      </c>
      <c r="G563" t="n">
        <v>10.6</v>
      </c>
      <c r="H563" t="n">
        <v>0</v>
      </c>
      <c r="I563" t="n">
        <v>0</v>
      </c>
      <c r="J563" t="n">
        <v>1</v>
      </c>
      <c r="K563" t="n">
        <v>0</v>
      </c>
      <c r="L563" t="n">
        <v>0</v>
      </c>
      <c r="M563" t="n">
        <v>0</v>
      </c>
      <c r="N563" t="n">
        <v>0</v>
      </c>
      <c r="O563" t="n">
        <v>1</v>
      </c>
      <c r="P563" t="n">
        <v>0</v>
      </c>
      <c r="Q563" t="n">
        <v>1</v>
      </c>
      <c r="R563" s="2" t="inlineStr">
        <is>
          <t>Mindre timmerman</t>
        </is>
      </c>
      <c r="S563">
        <f>HYPERLINK("https://klasma.github.io/Logging_0331/artfynd/A 738-2022 artfynd.xlsx", "A 738-2022")</f>
        <v/>
      </c>
      <c r="T563">
        <f>HYPERLINK("https://klasma.github.io/Logging_0331/kartor/A 738-2022 karta.png", "A 738-2022")</f>
        <v/>
      </c>
      <c r="V563">
        <f>HYPERLINK("https://klasma.github.io/Logging_0331/klagomål/A 738-2022 FSC-klagomål.docx", "A 738-2022")</f>
        <v/>
      </c>
      <c r="W563">
        <f>HYPERLINK("https://klasma.github.io/Logging_0331/klagomålsmail/A 738-2022 FSC-klagomål mail.docx", "A 738-2022")</f>
        <v/>
      </c>
      <c r="X563">
        <f>HYPERLINK("https://klasma.github.io/Logging_0331/tillsyn/A 738-2022 tillsynsbegäran.docx", "A 738-2022")</f>
        <v/>
      </c>
      <c r="Y563">
        <f>HYPERLINK("https://klasma.github.io/Logging_0331/tillsynsmail/A 738-2022 tillsynsbegäran mail.docx", "A 738-2022")</f>
        <v/>
      </c>
    </row>
    <row r="564" ht="15" customHeight="1">
      <c r="A564" t="inlineStr">
        <is>
          <t>A 938-2022</t>
        </is>
      </c>
      <c r="B564" s="1" t="n">
        <v>44571</v>
      </c>
      <c r="C564" s="1" t="n">
        <v>45846</v>
      </c>
      <c r="D564" t="inlineStr">
        <is>
          <t>UPPSALA LÄN</t>
        </is>
      </c>
      <c r="E564" t="inlineStr">
        <is>
          <t>ÖSTHAMMAR</t>
        </is>
      </c>
      <c r="G564" t="n">
        <v>3.2</v>
      </c>
      <c r="H564" t="n">
        <v>0</v>
      </c>
      <c r="I564" t="n">
        <v>0</v>
      </c>
      <c r="J564" t="n">
        <v>1</v>
      </c>
      <c r="K564" t="n">
        <v>0</v>
      </c>
      <c r="L564" t="n">
        <v>0</v>
      </c>
      <c r="M564" t="n">
        <v>0</v>
      </c>
      <c r="N564" t="n">
        <v>0</v>
      </c>
      <c r="O564" t="n">
        <v>1</v>
      </c>
      <c r="P564" t="n">
        <v>0</v>
      </c>
      <c r="Q564" t="n">
        <v>1</v>
      </c>
      <c r="R564" s="2" t="inlineStr">
        <is>
          <t>Vedtrappmossa</t>
        </is>
      </c>
      <c r="S564">
        <f>HYPERLINK("https://klasma.github.io/Logging_0382/artfynd/A 938-2022 artfynd.xlsx", "A 938-2022")</f>
        <v/>
      </c>
      <c r="T564">
        <f>HYPERLINK("https://klasma.github.io/Logging_0382/kartor/A 938-2022 karta.png", "A 938-2022")</f>
        <v/>
      </c>
      <c r="V564">
        <f>HYPERLINK("https://klasma.github.io/Logging_0382/klagomål/A 938-2022 FSC-klagomål.docx", "A 938-2022")</f>
        <v/>
      </c>
      <c r="W564">
        <f>HYPERLINK("https://klasma.github.io/Logging_0382/klagomålsmail/A 938-2022 FSC-klagomål mail.docx", "A 938-2022")</f>
        <v/>
      </c>
      <c r="X564">
        <f>HYPERLINK("https://klasma.github.io/Logging_0382/tillsyn/A 938-2022 tillsynsbegäran.docx", "A 938-2022")</f>
        <v/>
      </c>
      <c r="Y564">
        <f>HYPERLINK("https://klasma.github.io/Logging_0382/tillsynsmail/A 938-2022 tillsynsbegäran mail.docx", "A 938-2022")</f>
        <v/>
      </c>
    </row>
    <row r="565" ht="15" customHeight="1">
      <c r="A565" t="inlineStr">
        <is>
          <t>A 1227-2022</t>
        </is>
      </c>
      <c r="B565" s="1" t="n">
        <v>44572</v>
      </c>
      <c r="C565" s="1" t="n">
        <v>45846</v>
      </c>
      <c r="D565" t="inlineStr">
        <is>
          <t>UPPSALA LÄN</t>
        </is>
      </c>
      <c r="E565" t="inlineStr">
        <is>
          <t>ÖSTHAMMAR</t>
        </is>
      </c>
      <c r="G565" t="n">
        <v>1.7</v>
      </c>
      <c r="H565" t="n">
        <v>0</v>
      </c>
      <c r="I565" t="n">
        <v>1</v>
      </c>
      <c r="J565" t="n">
        <v>0</v>
      </c>
      <c r="K565" t="n">
        <v>0</v>
      </c>
      <c r="L565" t="n">
        <v>0</v>
      </c>
      <c r="M565" t="n">
        <v>0</v>
      </c>
      <c r="N565" t="n">
        <v>0</v>
      </c>
      <c r="O565" t="n">
        <v>0</v>
      </c>
      <c r="P565" t="n">
        <v>0</v>
      </c>
      <c r="Q565" t="n">
        <v>1</v>
      </c>
      <c r="R565" s="2" t="inlineStr">
        <is>
          <t>Guldkremla</t>
        </is>
      </c>
      <c r="S565">
        <f>HYPERLINK("https://klasma.github.io/Logging_0382/artfynd/A 1227-2022 artfynd.xlsx", "A 1227-2022")</f>
        <v/>
      </c>
      <c r="T565">
        <f>HYPERLINK("https://klasma.github.io/Logging_0382/kartor/A 1227-2022 karta.png", "A 1227-2022")</f>
        <v/>
      </c>
      <c r="V565">
        <f>HYPERLINK("https://klasma.github.io/Logging_0382/klagomål/A 1227-2022 FSC-klagomål.docx", "A 1227-2022")</f>
        <v/>
      </c>
      <c r="W565">
        <f>HYPERLINK("https://klasma.github.io/Logging_0382/klagomålsmail/A 1227-2022 FSC-klagomål mail.docx", "A 1227-2022")</f>
        <v/>
      </c>
      <c r="X565">
        <f>HYPERLINK("https://klasma.github.io/Logging_0382/tillsyn/A 1227-2022 tillsynsbegäran.docx", "A 1227-2022")</f>
        <v/>
      </c>
      <c r="Y565">
        <f>HYPERLINK("https://klasma.github.io/Logging_0382/tillsynsmail/A 1227-2022 tillsynsbegäran mail.docx", "A 1227-2022")</f>
        <v/>
      </c>
    </row>
    <row r="566" ht="15" customHeight="1">
      <c r="A566" t="inlineStr">
        <is>
          <t>A 3257-2022</t>
        </is>
      </c>
      <c r="B566" s="1" t="n">
        <v>44583</v>
      </c>
      <c r="C566" s="1" t="n">
        <v>45846</v>
      </c>
      <c r="D566" t="inlineStr">
        <is>
          <t>UPPSALA LÄN</t>
        </is>
      </c>
      <c r="E566" t="inlineStr">
        <is>
          <t>UPPSALA</t>
        </is>
      </c>
      <c r="F566" t="inlineStr">
        <is>
          <t>Holmen skog AB</t>
        </is>
      </c>
      <c r="G566" t="n">
        <v>1.9</v>
      </c>
      <c r="H566" t="n">
        <v>0</v>
      </c>
      <c r="I566" t="n">
        <v>1</v>
      </c>
      <c r="J566" t="n">
        <v>0</v>
      </c>
      <c r="K566" t="n">
        <v>0</v>
      </c>
      <c r="L566" t="n">
        <v>0</v>
      </c>
      <c r="M566" t="n">
        <v>0</v>
      </c>
      <c r="N566" t="n">
        <v>0</v>
      </c>
      <c r="O566" t="n">
        <v>0</v>
      </c>
      <c r="P566" t="n">
        <v>0</v>
      </c>
      <c r="Q566" t="n">
        <v>1</v>
      </c>
      <c r="R566" s="2" t="inlineStr">
        <is>
          <t>Gulpudrad spiklav</t>
        </is>
      </c>
      <c r="S566">
        <f>HYPERLINK("https://klasma.github.io/Logging_0380/artfynd/A 3257-2022 artfynd.xlsx", "A 3257-2022")</f>
        <v/>
      </c>
      <c r="T566">
        <f>HYPERLINK("https://klasma.github.io/Logging_0380/kartor/A 3257-2022 karta.png", "A 3257-2022")</f>
        <v/>
      </c>
      <c r="V566">
        <f>HYPERLINK("https://klasma.github.io/Logging_0380/klagomål/A 3257-2022 FSC-klagomål.docx", "A 3257-2022")</f>
        <v/>
      </c>
      <c r="W566">
        <f>HYPERLINK("https://klasma.github.io/Logging_0380/klagomålsmail/A 3257-2022 FSC-klagomål mail.docx", "A 3257-2022")</f>
        <v/>
      </c>
      <c r="X566">
        <f>HYPERLINK("https://klasma.github.io/Logging_0380/tillsyn/A 3257-2022 tillsynsbegäran.docx", "A 3257-2022")</f>
        <v/>
      </c>
      <c r="Y566">
        <f>HYPERLINK("https://klasma.github.io/Logging_0380/tillsynsmail/A 3257-2022 tillsynsbegäran mail.docx", "A 3257-2022")</f>
        <v/>
      </c>
    </row>
    <row r="567" ht="15" customHeight="1">
      <c r="A567" t="inlineStr">
        <is>
          <t>A 4449-2022</t>
        </is>
      </c>
      <c r="B567" s="1" t="n">
        <v>44589</v>
      </c>
      <c r="C567" s="1" t="n">
        <v>45846</v>
      </c>
      <c r="D567" t="inlineStr">
        <is>
          <t>UPPSALA LÄN</t>
        </is>
      </c>
      <c r="E567" t="inlineStr">
        <is>
          <t>UPPSALA</t>
        </is>
      </c>
      <c r="G567" t="n">
        <v>8.9</v>
      </c>
      <c r="H567" t="n">
        <v>0</v>
      </c>
      <c r="I567" t="n">
        <v>0</v>
      </c>
      <c r="J567" t="n">
        <v>1</v>
      </c>
      <c r="K567" t="n">
        <v>0</v>
      </c>
      <c r="L567" t="n">
        <v>0</v>
      </c>
      <c r="M567" t="n">
        <v>0</v>
      </c>
      <c r="N567" t="n">
        <v>0</v>
      </c>
      <c r="O567" t="n">
        <v>1</v>
      </c>
      <c r="P567" t="n">
        <v>0</v>
      </c>
      <c r="Q567" t="n">
        <v>1</v>
      </c>
      <c r="R567" s="2" t="inlineStr">
        <is>
          <t>Gul taggsvamp</t>
        </is>
      </c>
      <c r="S567">
        <f>HYPERLINK("https://klasma.github.io/Logging_0380/artfynd/A 4449-2022 artfynd.xlsx", "A 4449-2022")</f>
        <v/>
      </c>
      <c r="T567">
        <f>HYPERLINK("https://klasma.github.io/Logging_0380/kartor/A 4449-2022 karta.png", "A 4449-2022")</f>
        <v/>
      </c>
      <c r="V567">
        <f>HYPERLINK("https://klasma.github.io/Logging_0380/klagomål/A 4449-2022 FSC-klagomål.docx", "A 4449-2022")</f>
        <v/>
      </c>
      <c r="W567">
        <f>HYPERLINK("https://klasma.github.io/Logging_0380/klagomålsmail/A 4449-2022 FSC-klagomål mail.docx", "A 4449-2022")</f>
        <v/>
      </c>
      <c r="X567">
        <f>HYPERLINK("https://klasma.github.io/Logging_0380/tillsyn/A 4449-2022 tillsynsbegäran.docx", "A 4449-2022")</f>
        <v/>
      </c>
      <c r="Y567">
        <f>HYPERLINK("https://klasma.github.io/Logging_0380/tillsynsmail/A 4449-2022 tillsynsbegäran mail.docx", "A 4449-2022")</f>
        <v/>
      </c>
    </row>
    <row r="568" ht="15" customHeight="1">
      <c r="A568" t="inlineStr">
        <is>
          <t>A 5454-2022</t>
        </is>
      </c>
      <c r="B568" s="1" t="n">
        <v>44595</v>
      </c>
      <c r="C568" s="1" t="n">
        <v>45846</v>
      </c>
      <c r="D568" t="inlineStr">
        <is>
          <t>UPPSALA LÄN</t>
        </is>
      </c>
      <c r="E568" t="inlineStr">
        <is>
          <t>TIERP</t>
        </is>
      </c>
      <c r="G568" t="n">
        <v>2</v>
      </c>
      <c r="H568" t="n">
        <v>0</v>
      </c>
      <c r="I568" t="n">
        <v>1</v>
      </c>
      <c r="J568" t="n">
        <v>0</v>
      </c>
      <c r="K568" t="n">
        <v>0</v>
      </c>
      <c r="L568" t="n">
        <v>0</v>
      </c>
      <c r="M568" t="n">
        <v>0</v>
      </c>
      <c r="N568" t="n">
        <v>0</v>
      </c>
      <c r="O568" t="n">
        <v>0</v>
      </c>
      <c r="P568" t="n">
        <v>0</v>
      </c>
      <c r="Q568" t="n">
        <v>1</v>
      </c>
      <c r="R568" s="2" t="inlineStr">
        <is>
          <t>Anisspindling</t>
        </is>
      </c>
      <c r="S568">
        <f>HYPERLINK("https://klasma.github.io/Logging_0360/artfynd/A 5454-2022 artfynd.xlsx", "A 5454-2022")</f>
        <v/>
      </c>
      <c r="T568">
        <f>HYPERLINK("https://klasma.github.io/Logging_0360/kartor/A 5454-2022 karta.png", "A 5454-2022")</f>
        <v/>
      </c>
      <c r="U568">
        <f>HYPERLINK("https://klasma.github.io/Logging_0360/knärot/A 5454-2022 karta knärot.png", "A 5454-2022")</f>
        <v/>
      </c>
      <c r="V568">
        <f>HYPERLINK("https://klasma.github.io/Logging_0360/klagomål/A 5454-2022 FSC-klagomål.docx", "A 5454-2022")</f>
        <v/>
      </c>
      <c r="W568">
        <f>HYPERLINK("https://klasma.github.io/Logging_0360/klagomålsmail/A 5454-2022 FSC-klagomål mail.docx", "A 5454-2022")</f>
        <v/>
      </c>
      <c r="X568">
        <f>HYPERLINK("https://klasma.github.io/Logging_0360/tillsyn/A 5454-2022 tillsynsbegäran.docx", "A 5454-2022")</f>
        <v/>
      </c>
      <c r="Y568">
        <f>HYPERLINK("https://klasma.github.io/Logging_0360/tillsynsmail/A 5454-2022 tillsynsbegäran mail.docx", "A 5454-2022")</f>
        <v/>
      </c>
    </row>
    <row r="569" ht="15" customHeight="1">
      <c r="A569" t="inlineStr">
        <is>
          <t>A 7446-2022</t>
        </is>
      </c>
      <c r="B569" s="1" t="n">
        <v>44606</v>
      </c>
      <c r="C569" s="1" t="n">
        <v>45846</v>
      </c>
      <c r="D569" t="inlineStr">
        <is>
          <t>UPPSALA LÄN</t>
        </is>
      </c>
      <c r="E569" t="inlineStr">
        <is>
          <t>ÖSTHAMMAR</t>
        </is>
      </c>
      <c r="G569" t="n">
        <v>5</v>
      </c>
      <c r="H569" t="n">
        <v>1</v>
      </c>
      <c r="I569" t="n">
        <v>0</v>
      </c>
      <c r="J569" t="n">
        <v>0</v>
      </c>
      <c r="K569" t="n">
        <v>0</v>
      </c>
      <c r="L569" t="n">
        <v>0</v>
      </c>
      <c r="M569" t="n">
        <v>0</v>
      </c>
      <c r="N569" t="n">
        <v>0</v>
      </c>
      <c r="O569" t="n">
        <v>0</v>
      </c>
      <c r="P569" t="n">
        <v>0</v>
      </c>
      <c r="Q569" t="n">
        <v>1</v>
      </c>
      <c r="R569" s="2" t="inlineStr">
        <is>
          <t>Mattlummer</t>
        </is>
      </c>
      <c r="S569">
        <f>HYPERLINK("https://klasma.github.io/Logging_0382/artfynd/A 7446-2022 artfynd.xlsx", "A 7446-2022")</f>
        <v/>
      </c>
      <c r="T569">
        <f>HYPERLINK("https://klasma.github.io/Logging_0382/kartor/A 7446-2022 karta.png", "A 7446-2022")</f>
        <v/>
      </c>
      <c r="V569">
        <f>HYPERLINK("https://klasma.github.io/Logging_0382/klagomål/A 7446-2022 FSC-klagomål.docx", "A 7446-2022")</f>
        <v/>
      </c>
      <c r="W569">
        <f>HYPERLINK("https://klasma.github.io/Logging_0382/klagomålsmail/A 7446-2022 FSC-klagomål mail.docx", "A 7446-2022")</f>
        <v/>
      </c>
      <c r="X569">
        <f>HYPERLINK("https://klasma.github.io/Logging_0382/tillsyn/A 7446-2022 tillsynsbegäran.docx", "A 7446-2022")</f>
        <v/>
      </c>
      <c r="Y569">
        <f>HYPERLINK("https://klasma.github.io/Logging_0382/tillsynsmail/A 7446-2022 tillsynsbegäran mail.docx", "A 7446-2022")</f>
        <v/>
      </c>
    </row>
    <row r="570" ht="15" customHeight="1">
      <c r="A570" t="inlineStr">
        <is>
          <t>A 7470-2022</t>
        </is>
      </c>
      <c r="B570" s="1" t="n">
        <v>44607</v>
      </c>
      <c r="C570" s="1" t="n">
        <v>45846</v>
      </c>
      <c r="D570" t="inlineStr">
        <is>
          <t>UPPSALA LÄN</t>
        </is>
      </c>
      <c r="E570" t="inlineStr">
        <is>
          <t>ÖSTHAMMAR</t>
        </is>
      </c>
      <c r="G570" t="n">
        <v>2.6</v>
      </c>
      <c r="H570" t="n">
        <v>1</v>
      </c>
      <c r="I570" t="n">
        <v>1</v>
      </c>
      <c r="J570" t="n">
        <v>0</v>
      </c>
      <c r="K570" t="n">
        <v>0</v>
      </c>
      <c r="L570" t="n">
        <v>0</v>
      </c>
      <c r="M570" t="n">
        <v>0</v>
      </c>
      <c r="N570" t="n">
        <v>0</v>
      </c>
      <c r="O570" t="n">
        <v>0</v>
      </c>
      <c r="P570" t="n">
        <v>0</v>
      </c>
      <c r="Q570" t="n">
        <v>1</v>
      </c>
      <c r="R570" s="2" t="inlineStr">
        <is>
          <t>Grön sköldmossa</t>
        </is>
      </c>
      <c r="S570">
        <f>HYPERLINK("https://klasma.github.io/Logging_0382/artfynd/A 7470-2022 artfynd.xlsx", "A 7470-2022")</f>
        <v/>
      </c>
      <c r="T570">
        <f>HYPERLINK("https://klasma.github.io/Logging_0382/kartor/A 7470-2022 karta.png", "A 7470-2022")</f>
        <v/>
      </c>
      <c r="V570">
        <f>HYPERLINK("https://klasma.github.io/Logging_0382/klagomål/A 7470-2022 FSC-klagomål.docx", "A 7470-2022")</f>
        <v/>
      </c>
      <c r="W570">
        <f>HYPERLINK("https://klasma.github.io/Logging_0382/klagomålsmail/A 7470-2022 FSC-klagomål mail.docx", "A 7470-2022")</f>
        <v/>
      </c>
      <c r="X570">
        <f>HYPERLINK("https://klasma.github.io/Logging_0382/tillsyn/A 7470-2022 tillsynsbegäran.docx", "A 7470-2022")</f>
        <v/>
      </c>
      <c r="Y570">
        <f>HYPERLINK("https://klasma.github.io/Logging_0382/tillsynsmail/A 7470-2022 tillsynsbegäran mail.docx", "A 7470-2022")</f>
        <v/>
      </c>
    </row>
    <row r="571" ht="15" customHeight="1">
      <c r="A571" t="inlineStr">
        <is>
          <t>A 7505-2022</t>
        </is>
      </c>
      <c r="B571" s="1" t="n">
        <v>44607</v>
      </c>
      <c r="C571" s="1" t="n">
        <v>45846</v>
      </c>
      <c r="D571" t="inlineStr">
        <is>
          <t>UPPSALA LÄN</t>
        </is>
      </c>
      <c r="E571" t="inlineStr">
        <is>
          <t>TIERP</t>
        </is>
      </c>
      <c r="F571" t="inlineStr">
        <is>
          <t>Bergvik skog öst AB</t>
        </is>
      </c>
      <c r="G571" t="n">
        <v>3.8</v>
      </c>
      <c r="H571" t="n">
        <v>0</v>
      </c>
      <c r="I571" t="n">
        <v>0</v>
      </c>
      <c r="J571" t="n">
        <v>1</v>
      </c>
      <c r="K571" t="n">
        <v>0</v>
      </c>
      <c r="L571" t="n">
        <v>0</v>
      </c>
      <c r="M571" t="n">
        <v>0</v>
      </c>
      <c r="N571" t="n">
        <v>0</v>
      </c>
      <c r="O571" t="n">
        <v>1</v>
      </c>
      <c r="P571" t="n">
        <v>0</v>
      </c>
      <c r="Q571" t="n">
        <v>1</v>
      </c>
      <c r="R571" s="2" t="inlineStr">
        <is>
          <t>Grentaggsvamp</t>
        </is>
      </c>
      <c r="S571">
        <f>HYPERLINK("https://klasma.github.io/Logging_0360/artfynd/A 7505-2022 artfynd.xlsx", "A 7505-2022")</f>
        <v/>
      </c>
      <c r="T571">
        <f>HYPERLINK("https://klasma.github.io/Logging_0360/kartor/A 7505-2022 karta.png", "A 7505-2022")</f>
        <v/>
      </c>
      <c r="V571">
        <f>HYPERLINK("https://klasma.github.io/Logging_0360/klagomål/A 7505-2022 FSC-klagomål.docx", "A 7505-2022")</f>
        <v/>
      </c>
      <c r="W571">
        <f>HYPERLINK("https://klasma.github.io/Logging_0360/klagomålsmail/A 7505-2022 FSC-klagomål mail.docx", "A 7505-2022")</f>
        <v/>
      </c>
      <c r="X571">
        <f>HYPERLINK("https://klasma.github.io/Logging_0360/tillsyn/A 7505-2022 tillsynsbegäran.docx", "A 7505-2022")</f>
        <v/>
      </c>
      <c r="Y571">
        <f>HYPERLINK("https://klasma.github.io/Logging_0360/tillsynsmail/A 7505-2022 tillsynsbegäran mail.docx", "A 7505-2022")</f>
        <v/>
      </c>
    </row>
    <row r="572" ht="15" customHeight="1">
      <c r="A572" t="inlineStr">
        <is>
          <t>A 8181-2022</t>
        </is>
      </c>
      <c r="B572" s="1" t="n">
        <v>44609</v>
      </c>
      <c r="C572" s="1" t="n">
        <v>45846</v>
      </c>
      <c r="D572" t="inlineStr">
        <is>
          <t>UPPSALA LÄN</t>
        </is>
      </c>
      <c r="E572" t="inlineStr">
        <is>
          <t>HEBY</t>
        </is>
      </c>
      <c r="G572" t="n">
        <v>6.5</v>
      </c>
      <c r="H572" t="n">
        <v>1</v>
      </c>
      <c r="I572" t="n">
        <v>0</v>
      </c>
      <c r="J572" t="n">
        <v>0</v>
      </c>
      <c r="K572" t="n">
        <v>0</v>
      </c>
      <c r="L572" t="n">
        <v>0</v>
      </c>
      <c r="M572" t="n">
        <v>0</v>
      </c>
      <c r="N572" t="n">
        <v>0</v>
      </c>
      <c r="O572" t="n">
        <v>0</v>
      </c>
      <c r="P572" t="n">
        <v>0</v>
      </c>
      <c r="Q572" t="n">
        <v>1</v>
      </c>
      <c r="R572" s="2" t="inlineStr">
        <is>
          <t>Kopparödla</t>
        </is>
      </c>
      <c r="S572">
        <f>HYPERLINK("https://klasma.github.io/Logging_0331/artfynd/A 8181-2022 artfynd.xlsx", "A 8181-2022")</f>
        <v/>
      </c>
      <c r="T572">
        <f>HYPERLINK("https://klasma.github.io/Logging_0331/kartor/A 8181-2022 karta.png", "A 8181-2022")</f>
        <v/>
      </c>
      <c r="V572">
        <f>HYPERLINK("https://klasma.github.io/Logging_0331/klagomål/A 8181-2022 FSC-klagomål.docx", "A 8181-2022")</f>
        <v/>
      </c>
      <c r="W572">
        <f>HYPERLINK("https://klasma.github.io/Logging_0331/klagomålsmail/A 8181-2022 FSC-klagomål mail.docx", "A 8181-2022")</f>
        <v/>
      </c>
      <c r="X572">
        <f>HYPERLINK("https://klasma.github.io/Logging_0331/tillsyn/A 8181-2022 tillsynsbegäran.docx", "A 8181-2022")</f>
        <v/>
      </c>
      <c r="Y572">
        <f>HYPERLINK("https://klasma.github.io/Logging_0331/tillsynsmail/A 8181-2022 tillsynsbegäran mail.docx", "A 8181-2022")</f>
        <v/>
      </c>
    </row>
    <row r="573" ht="15" customHeight="1">
      <c r="A573" t="inlineStr">
        <is>
          <t>A 8865-2022</t>
        </is>
      </c>
      <c r="B573" s="1" t="n">
        <v>44614</v>
      </c>
      <c r="C573" s="1" t="n">
        <v>45846</v>
      </c>
      <c r="D573" t="inlineStr">
        <is>
          <t>UPPSALA LÄN</t>
        </is>
      </c>
      <c r="E573" t="inlineStr">
        <is>
          <t>UPPSALA</t>
        </is>
      </c>
      <c r="G573" t="n">
        <v>1.1</v>
      </c>
      <c r="H573" t="n">
        <v>0</v>
      </c>
      <c r="I573" t="n">
        <v>1</v>
      </c>
      <c r="J573" t="n">
        <v>0</v>
      </c>
      <c r="K573" t="n">
        <v>0</v>
      </c>
      <c r="L573" t="n">
        <v>0</v>
      </c>
      <c r="M573" t="n">
        <v>0</v>
      </c>
      <c r="N573" t="n">
        <v>0</v>
      </c>
      <c r="O573" t="n">
        <v>0</v>
      </c>
      <c r="P573" t="n">
        <v>0</v>
      </c>
      <c r="Q573" t="n">
        <v>1</v>
      </c>
      <c r="R573" s="2" t="inlineStr">
        <is>
          <t>Narrtagging</t>
        </is>
      </c>
      <c r="S573">
        <f>HYPERLINK("https://klasma.github.io/Logging_0380/artfynd/A 8865-2022 artfynd.xlsx", "A 8865-2022")</f>
        <v/>
      </c>
      <c r="T573">
        <f>HYPERLINK("https://klasma.github.io/Logging_0380/kartor/A 8865-2022 karta.png", "A 8865-2022")</f>
        <v/>
      </c>
      <c r="V573">
        <f>HYPERLINK("https://klasma.github.io/Logging_0380/klagomål/A 8865-2022 FSC-klagomål.docx", "A 8865-2022")</f>
        <v/>
      </c>
      <c r="W573">
        <f>HYPERLINK("https://klasma.github.io/Logging_0380/klagomålsmail/A 8865-2022 FSC-klagomål mail.docx", "A 8865-2022")</f>
        <v/>
      </c>
      <c r="X573">
        <f>HYPERLINK("https://klasma.github.io/Logging_0380/tillsyn/A 8865-2022 tillsynsbegäran.docx", "A 8865-2022")</f>
        <v/>
      </c>
      <c r="Y573">
        <f>HYPERLINK("https://klasma.github.io/Logging_0380/tillsynsmail/A 8865-2022 tillsynsbegäran mail.docx", "A 8865-2022")</f>
        <v/>
      </c>
    </row>
    <row r="574" ht="15" customHeight="1">
      <c r="A574" t="inlineStr">
        <is>
          <t>A 9396-2022</t>
        </is>
      </c>
      <c r="B574" s="1" t="n">
        <v>44616</v>
      </c>
      <c r="C574" s="1" t="n">
        <v>45846</v>
      </c>
      <c r="D574" t="inlineStr">
        <is>
          <t>UPPSALA LÄN</t>
        </is>
      </c>
      <c r="E574" t="inlineStr">
        <is>
          <t>KNIVSTA</t>
        </is>
      </c>
      <c r="F574" t="inlineStr">
        <is>
          <t>Holmen skog AB</t>
        </is>
      </c>
      <c r="G574" t="n">
        <v>5.2</v>
      </c>
      <c r="H574" t="n">
        <v>0</v>
      </c>
      <c r="I574" t="n">
        <v>0</v>
      </c>
      <c r="J574" t="n">
        <v>0</v>
      </c>
      <c r="K574" t="n">
        <v>1</v>
      </c>
      <c r="L574" t="n">
        <v>0</v>
      </c>
      <c r="M574" t="n">
        <v>0</v>
      </c>
      <c r="N574" t="n">
        <v>0</v>
      </c>
      <c r="O574" t="n">
        <v>1</v>
      </c>
      <c r="P574" t="n">
        <v>1</v>
      </c>
      <c r="Q574" t="n">
        <v>1</v>
      </c>
      <c r="R574" s="2" t="inlineStr">
        <is>
          <t>Korkmusslingsmal</t>
        </is>
      </c>
      <c r="S574">
        <f>HYPERLINK("https://klasma.github.io/Logging_0330/artfynd/A 9396-2022 artfynd.xlsx", "A 9396-2022")</f>
        <v/>
      </c>
      <c r="T574">
        <f>HYPERLINK("https://klasma.github.io/Logging_0330/kartor/A 9396-2022 karta.png", "A 9396-2022")</f>
        <v/>
      </c>
      <c r="V574">
        <f>HYPERLINK("https://klasma.github.io/Logging_0330/klagomål/A 9396-2022 FSC-klagomål.docx", "A 9396-2022")</f>
        <v/>
      </c>
      <c r="W574">
        <f>HYPERLINK("https://klasma.github.io/Logging_0330/klagomålsmail/A 9396-2022 FSC-klagomål mail.docx", "A 9396-2022")</f>
        <v/>
      </c>
      <c r="X574">
        <f>HYPERLINK("https://klasma.github.io/Logging_0330/tillsyn/A 9396-2022 tillsynsbegäran.docx", "A 9396-2022")</f>
        <v/>
      </c>
      <c r="Y574">
        <f>HYPERLINK("https://klasma.github.io/Logging_0330/tillsynsmail/A 9396-2022 tillsynsbegäran mail.docx", "A 9396-2022")</f>
        <v/>
      </c>
    </row>
    <row r="575" ht="15" customHeight="1">
      <c r="A575" t="inlineStr">
        <is>
          <t>A 10455-2022</t>
        </is>
      </c>
      <c r="B575" s="1" t="n">
        <v>44623</v>
      </c>
      <c r="C575" s="1" t="n">
        <v>45846</v>
      </c>
      <c r="D575" t="inlineStr">
        <is>
          <t>UPPSALA LÄN</t>
        </is>
      </c>
      <c r="E575" t="inlineStr">
        <is>
          <t>ÄLVKARLEBY</t>
        </is>
      </c>
      <c r="F575" t="inlineStr">
        <is>
          <t>Bergvik skog öst AB</t>
        </is>
      </c>
      <c r="G575" t="n">
        <v>1.1</v>
      </c>
      <c r="H575" t="n">
        <v>0</v>
      </c>
      <c r="I575" t="n">
        <v>0</v>
      </c>
      <c r="J575" t="n">
        <v>1</v>
      </c>
      <c r="K575" t="n">
        <v>0</v>
      </c>
      <c r="L575" t="n">
        <v>0</v>
      </c>
      <c r="M575" t="n">
        <v>0</v>
      </c>
      <c r="N575" t="n">
        <v>0</v>
      </c>
      <c r="O575" t="n">
        <v>1</v>
      </c>
      <c r="P575" t="n">
        <v>0</v>
      </c>
      <c r="Q575" t="n">
        <v>1</v>
      </c>
      <c r="R575" s="2" t="inlineStr">
        <is>
          <t>Sandviol</t>
        </is>
      </c>
      <c r="S575">
        <f>HYPERLINK("https://klasma.github.io/Logging_0319/artfynd/A 10455-2022 artfynd.xlsx", "A 10455-2022")</f>
        <v/>
      </c>
      <c r="T575">
        <f>HYPERLINK("https://klasma.github.io/Logging_0319/kartor/A 10455-2022 karta.png", "A 10455-2022")</f>
        <v/>
      </c>
      <c r="V575">
        <f>HYPERLINK("https://klasma.github.io/Logging_0319/klagomål/A 10455-2022 FSC-klagomål.docx", "A 10455-2022")</f>
        <v/>
      </c>
      <c r="W575">
        <f>HYPERLINK("https://klasma.github.io/Logging_0319/klagomålsmail/A 10455-2022 FSC-klagomål mail.docx", "A 10455-2022")</f>
        <v/>
      </c>
      <c r="X575">
        <f>HYPERLINK("https://klasma.github.io/Logging_0319/tillsyn/A 10455-2022 tillsynsbegäran.docx", "A 10455-2022")</f>
        <v/>
      </c>
      <c r="Y575">
        <f>HYPERLINK("https://klasma.github.io/Logging_0319/tillsynsmail/A 10455-2022 tillsynsbegäran mail.docx", "A 10455-2022")</f>
        <v/>
      </c>
    </row>
    <row r="576" ht="15" customHeight="1">
      <c r="A576" t="inlineStr">
        <is>
          <t>A 13363-2022</t>
        </is>
      </c>
      <c r="B576" s="1" t="n">
        <v>44645</v>
      </c>
      <c r="C576" s="1" t="n">
        <v>45846</v>
      </c>
      <c r="D576" t="inlineStr">
        <is>
          <t>UPPSALA LÄN</t>
        </is>
      </c>
      <c r="E576" t="inlineStr">
        <is>
          <t>UPPSALA</t>
        </is>
      </c>
      <c r="F576" t="inlineStr">
        <is>
          <t>Övriga Aktiebolag</t>
        </is>
      </c>
      <c r="G576" t="n">
        <v>9.4</v>
      </c>
      <c r="H576" t="n">
        <v>1</v>
      </c>
      <c r="I576" t="n">
        <v>0</v>
      </c>
      <c r="J576" t="n">
        <v>0</v>
      </c>
      <c r="K576" t="n">
        <v>0</v>
      </c>
      <c r="L576" t="n">
        <v>0</v>
      </c>
      <c r="M576" t="n">
        <v>0</v>
      </c>
      <c r="N576" t="n">
        <v>0</v>
      </c>
      <c r="O576" t="n">
        <v>0</v>
      </c>
      <c r="P576" t="n">
        <v>0</v>
      </c>
      <c r="Q576" t="n">
        <v>1</v>
      </c>
      <c r="R576" s="2" t="inlineStr">
        <is>
          <t>Huggorm</t>
        </is>
      </c>
      <c r="S576">
        <f>HYPERLINK("https://klasma.github.io/Logging_0380/artfynd/A 13363-2022 artfynd.xlsx", "A 13363-2022")</f>
        <v/>
      </c>
      <c r="T576">
        <f>HYPERLINK("https://klasma.github.io/Logging_0380/kartor/A 13363-2022 karta.png", "A 13363-2022")</f>
        <v/>
      </c>
      <c r="V576">
        <f>HYPERLINK("https://klasma.github.io/Logging_0380/klagomål/A 13363-2022 FSC-klagomål.docx", "A 13363-2022")</f>
        <v/>
      </c>
      <c r="W576">
        <f>HYPERLINK("https://klasma.github.io/Logging_0380/klagomålsmail/A 13363-2022 FSC-klagomål mail.docx", "A 13363-2022")</f>
        <v/>
      </c>
      <c r="X576">
        <f>HYPERLINK("https://klasma.github.io/Logging_0380/tillsyn/A 13363-2022 tillsynsbegäran.docx", "A 13363-2022")</f>
        <v/>
      </c>
      <c r="Y576">
        <f>HYPERLINK("https://klasma.github.io/Logging_0380/tillsynsmail/A 13363-2022 tillsynsbegäran mail.docx", "A 13363-2022")</f>
        <v/>
      </c>
    </row>
    <row r="577" ht="15" customHeight="1">
      <c r="A577" t="inlineStr">
        <is>
          <t>A 16761-2022</t>
        </is>
      </c>
      <c r="B577" s="1" t="n">
        <v>44673</v>
      </c>
      <c r="C577" s="1" t="n">
        <v>45846</v>
      </c>
      <c r="D577" t="inlineStr">
        <is>
          <t>UPPSALA LÄN</t>
        </is>
      </c>
      <c r="E577" t="inlineStr">
        <is>
          <t>UPPSALA</t>
        </is>
      </c>
      <c r="G577" t="n">
        <v>0.6</v>
      </c>
      <c r="H577" t="n">
        <v>1</v>
      </c>
      <c r="I577" t="n">
        <v>0</v>
      </c>
      <c r="J577" t="n">
        <v>0</v>
      </c>
      <c r="K577" t="n">
        <v>0</v>
      </c>
      <c r="L577" t="n">
        <v>0</v>
      </c>
      <c r="M577" t="n">
        <v>0</v>
      </c>
      <c r="N577" t="n">
        <v>0</v>
      </c>
      <c r="O577" t="n">
        <v>0</v>
      </c>
      <c r="P577" t="n">
        <v>0</v>
      </c>
      <c r="Q577" t="n">
        <v>1</v>
      </c>
      <c r="R577" s="2" t="inlineStr">
        <is>
          <t>Trädlärka</t>
        </is>
      </c>
      <c r="S577">
        <f>HYPERLINK("https://klasma.github.io/Logging_0380/artfynd/A 16761-2022 artfynd.xlsx", "A 16761-2022")</f>
        <v/>
      </c>
      <c r="T577">
        <f>HYPERLINK("https://klasma.github.io/Logging_0380/kartor/A 16761-2022 karta.png", "A 16761-2022")</f>
        <v/>
      </c>
      <c r="V577">
        <f>HYPERLINK("https://klasma.github.io/Logging_0380/klagomål/A 16761-2022 FSC-klagomål.docx", "A 16761-2022")</f>
        <v/>
      </c>
      <c r="W577">
        <f>HYPERLINK("https://klasma.github.io/Logging_0380/klagomålsmail/A 16761-2022 FSC-klagomål mail.docx", "A 16761-2022")</f>
        <v/>
      </c>
      <c r="X577">
        <f>HYPERLINK("https://klasma.github.io/Logging_0380/tillsyn/A 16761-2022 tillsynsbegäran.docx", "A 16761-2022")</f>
        <v/>
      </c>
      <c r="Y577">
        <f>HYPERLINK("https://klasma.github.io/Logging_0380/tillsynsmail/A 16761-2022 tillsynsbegäran mail.docx", "A 16761-2022")</f>
        <v/>
      </c>
      <c r="Z577">
        <f>HYPERLINK("https://klasma.github.io/Logging_0380/fåglar/A 16761-2022 prioriterade fågelarter.docx", "A 16761-2022")</f>
        <v/>
      </c>
    </row>
    <row r="578" ht="15" customHeight="1">
      <c r="A578" t="inlineStr">
        <is>
          <t>A 18588-2022</t>
        </is>
      </c>
      <c r="B578" s="1" t="n">
        <v>44687</v>
      </c>
      <c r="C578" s="1" t="n">
        <v>45846</v>
      </c>
      <c r="D578" t="inlineStr">
        <is>
          <t>UPPSALA LÄN</t>
        </is>
      </c>
      <c r="E578" t="inlineStr">
        <is>
          <t>ENKÖPING</t>
        </is>
      </c>
      <c r="G578" t="n">
        <v>6.7</v>
      </c>
      <c r="H578" t="n">
        <v>1</v>
      </c>
      <c r="I578" t="n">
        <v>0</v>
      </c>
      <c r="J578" t="n">
        <v>0</v>
      </c>
      <c r="K578" t="n">
        <v>1</v>
      </c>
      <c r="L578" t="n">
        <v>0</v>
      </c>
      <c r="M578" t="n">
        <v>0</v>
      </c>
      <c r="N578" t="n">
        <v>0</v>
      </c>
      <c r="O578" t="n">
        <v>1</v>
      </c>
      <c r="P578" t="n">
        <v>1</v>
      </c>
      <c r="Q578" t="n">
        <v>1</v>
      </c>
      <c r="R578" s="2" t="inlineStr">
        <is>
          <t>Bombmurkla</t>
        </is>
      </c>
      <c r="S578">
        <f>HYPERLINK("https://klasma.github.io/Logging_0381/artfynd/A 18588-2022 artfynd.xlsx", "A 18588-2022")</f>
        <v/>
      </c>
      <c r="T578">
        <f>HYPERLINK("https://klasma.github.io/Logging_0381/kartor/A 18588-2022 karta.png", "A 18588-2022")</f>
        <v/>
      </c>
      <c r="V578">
        <f>HYPERLINK("https://klasma.github.io/Logging_0381/klagomål/A 18588-2022 FSC-klagomål.docx", "A 18588-2022")</f>
        <v/>
      </c>
      <c r="W578">
        <f>HYPERLINK("https://klasma.github.io/Logging_0381/klagomålsmail/A 18588-2022 FSC-klagomål mail.docx", "A 18588-2022")</f>
        <v/>
      </c>
      <c r="X578">
        <f>HYPERLINK("https://klasma.github.io/Logging_0381/tillsyn/A 18588-2022 tillsynsbegäran.docx", "A 18588-2022")</f>
        <v/>
      </c>
      <c r="Y578">
        <f>HYPERLINK("https://klasma.github.io/Logging_0381/tillsynsmail/A 18588-2022 tillsynsbegäran mail.docx", "A 18588-2022")</f>
        <v/>
      </c>
    </row>
    <row r="579" ht="15" customHeight="1">
      <c r="A579" t="inlineStr">
        <is>
          <t>A 19376-2022</t>
        </is>
      </c>
      <c r="B579" s="1" t="n">
        <v>44692</v>
      </c>
      <c r="C579" s="1" t="n">
        <v>45846</v>
      </c>
      <c r="D579" t="inlineStr">
        <is>
          <t>UPPSALA LÄN</t>
        </is>
      </c>
      <c r="E579" t="inlineStr">
        <is>
          <t>UPPSALA</t>
        </is>
      </c>
      <c r="F579" t="inlineStr">
        <is>
          <t>Bergvik skog öst AB</t>
        </is>
      </c>
      <c r="G579" t="n">
        <v>6.8</v>
      </c>
      <c r="H579" t="n">
        <v>0</v>
      </c>
      <c r="I579" t="n">
        <v>1</v>
      </c>
      <c r="J579" t="n">
        <v>0</v>
      </c>
      <c r="K579" t="n">
        <v>0</v>
      </c>
      <c r="L579" t="n">
        <v>0</v>
      </c>
      <c r="M579" t="n">
        <v>0</v>
      </c>
      <c r="N579" t="n">
        <v>0</v>
      </c>
      <c r="O579" t="n">
        <v>0</v>
      </c>
      <c r="P579" t="n">
        <v>0</v>
      </c>
      <c r="Q579" t="n">
        <v>1</v>
      </c>
      <c r="R579" s="2" t="inlineStr">
        <is>
          <t>Vårärt</t>
        </is>
      </c>
      <c r="S579">
        <f>HYPERLINK("https://klasma.github.io/Logging_0380/artfynd/A 19376-2022 artfynd.xlsx", "A 19376-2022")</f>
        <v/>
      </c>
      <c r="T579">
        <f>HYPERLINK("https://klasma.github.io/Logging_0380/kartor/A 19376-2022 karta.png", "A 19376-2022")</f>
        <v/>
      </c>
      <c r="V579">
        <f>HYPERLINK("https://klasma.github.io/Logging_0380/klagomål/A 19376-2022 FSC-klagomål.docx", "A 19376-2022")</f>
        <v/>
      </c>
      <c r="W579">
        <f>HYPERLINK("https://klasma.github.io/Logging_0380/klagomålsmail/A 19376-2022 FSC-klagomål mail.docx", "A 19376-2022")</f>
        <v/>
      </c>
      <c r="X579">
        <f>HYPERLINK("https://klasma.github.io/Logging_0380/tillsyn/A 19376-2022 tillsynsbegäran.docx", "A 19376-2022")</f>
        <v/>
      </c>
      <c r="Y579">
        <f>HYPERLINK("https://klasma.github.io/Logging_0380/tillsynsmail/A 19376-2022 tillsynsbegäran mail.docx", "A 19376-2022")</f>
        <v/>
      </c>
    </row>
    <row r="580" ht="15" customHeight="1">
      <c r="A580" t="inlineStr">
        <is>
          <t>A 22209-2022</t>
        </is>
      </c>
      <c r="B580" s="1" t="n">
        <v>44712</v>
      </c>
      <c r="C580" s="1" t="n">
        <v>45846</v>
      </c>
      <c r="D580" t="inlineStr">
        <is>
          <t>UPPSALA LÄN</t>
        </is>
      </c>
      <c r="E580" t="inlineStr">
        <is>
          <t>ÖSTHAMMAR</t>
        </is>
      </c>
      <c r="F580" t="inlineStr">
        <is>
          <t>Bergvik skog öst AB</t>
        </is>
      </c>
      <c r="G580" t="n">
        <v>1.5</v>
      </c>
      <c r="H580" t="n">
        <v>1</v>
      </c>
      <c r="I580" t="n">
        <v>0</v>
      </c>
      <c r="J580" t="n">
        <v>0</v>
      </c>
      <c r="K580" t="n">
        <v>0</v>
      </c>
      <c r="L580" t="n">
        <v>0</v>
      </c>
      <c r="M580" t="n">
        <v>0</v>
      </c>
      <c r="N580" t="n">
        <v>0</v>
      </c>
      <c r="O580" t="n">
        <v>0</v>
      </c>
      <c r="P580" t="n">
        <v>0</v>
      </c>
      <c r="Q580" t="n">
        <v>1</v>
      </c>
      <c r="R580" s="2" t="inlineStr">
        <is>
          <t>Blåsippa</t>
        </is>
      </c>
      <c r="S580">
        <f>HYPERLINK("https://klasma.github.io/Logging_0382/artfynd/A 22209-2022 artfynd.xlsx", "A 22209-2022")</f>
        <v/>
      </c>
      <c r="T580">
        <f>HYPERLINK("https://klasma.github.io/Logging_0382/kartor/A 22209-2022 karta.png", "A 22209-2022")</f>
        <v/>
      </c>
      <c r="V580">
        <f>HYPERLINK("https://klasma.github.io/Logging_0382/klagomål/A 22209-2022 FSC-klagomål.docx", "A 22209-2022")</f>
        <v/>
      </c>
      <c r="W580">
        <f>HYPERLINK("https://klasma.github.io/Logging_0382/klagomålsmail/A 22209-2022 FSC-klagomål mail.docx", "A 22209-2022")</f>
        <v/>
      </c>
      <c r="X580">
        <f>HYPERLINK("https://klasma.github.io/Logging_0382/tillsyn/A 22209-2022 tillsynsbegäran.docx", "A 22209-2022")</f>
        <v/>
      </c>
      <c r="Y580">
        <f>HYPERLINK("https://klasma.github.io/Logging_0382/tillsynsmail/A 22209-2022 tillsynsbegäran mail.docx", "A 22209-2022")</f>
        <v/>
      </c>
    </row>
    <row r="581" ht="15" customHeight="1">
      <c r="A581" t="inlineStr">
        <is>
          <t>A 22467-2022</t>
        </is>
      </c>
      <c r="B581" s="1" t="n">
        <v>44713</v>
      </c>
      <c r="C581" s="1" t="n">
        <v>45846</v>
      </c>
      <c r="D581" t="inlineStr">
        <is>
          <t>UPPSALA LÄN</t>
        </is>
      </c>
      <c r="E581" t="inlineStr">
        <is>
          <t>KNIVSTA</t>
        </is>
      </c>
      <c r="G581" t="n">
        <v>2</v>
      </c>
      <c r="H581" t="n">
        <v>1</v>
      </c>
      <c r="I581" t="n">
        <v>0</v>
      </c>
      <c r="J581" t="n">
        <v>0</v>
      </c>
      <c r="K581" t="n">
        <v>0</v>
      </c>
      <c r="L581" t="n">
        <v>0</v>
      </c>
      <c r="M581" t="n">
        <v>0</v>
      </c>
      <c r="N581" t="n">
        <v>0</v>
      </c>
      <c r="O581" t="n">
        <v>0</v>
      </c>
      <c r="P581" t="n">
        <v>0</v>
      </c>
      <c r="Q581" t="n">
        <v>1</v>
      </c>
      <c r="R581" s="2" t="inlineStr">
        <is>
          <t>Gullviva</t>
        </is>
      </c>
      <c r="S581">
        <f>HYPERLINK("https://klasma.github.io/Logging_0330/artfynd/A 22467-2022 artfynd.xlsx", "A 22467-2022")</f>
        <v/>
      </c>
      <c r="T581">
        <f>HYPERLINK("https://klasma.github.io/Logging_0330/kartor/A 22467-2022 karta.png", "A 22467-2022")</f>
        <v/>
      </c>
      <c r="V581">
        <f>HYPERLINK("https://klasma.github.io/Logging_0330/klagomål/A 22467-2022 FSC-klagomål.docx", "A 22467-2022")</f>
        <v/>
      </c>
      <c r="W581">
        <f>HYPERLINK("https://klasma.github.io/Logging_0330/klagomålsmail/A 22467-2022 FSC-klagomål mail.docx", "A 22467-2022")</f>
        <v/>
      </c>
      <c r="X581">
        <f>HYPERLINK("https://klasma.github.io/Logging_0330/tillsyn/A 22467-2022 tillsynsbegäran.docx", "A 22467-2022")</f>
        <v/>
      </c>
      <c r="Y581">
        <f>HYPERLINK("https://klasma.github.io/Logging_0330/tillsynsmail/A 22467-2022 tillsynsbegäran mail.docx", "A 22467-2022")</f>
        <v/>
      </c>
    </row>
    <row r="582" ht="15" customHeight="1">
      <c r="A582" t="inlineStr">
        <is>
          <t>A 23141-2022</t>
        </is>
      </c>
      <c r="B582" s="1" t="n">
        <v>44719</v>
      </c>
      <c r="C582" s="1" t="n">
        <v>45846</v>
      </c>
      <c r="D582" t="inlineStr">
        <is>
          <t>UPPSALA LÄN</t>
        </is>
      </c>
      <c r="E582" t="inlineStr">
        <is>
          <t>UPPSALA</t>
        </is>
      </c>
      <c r="G582" t="n">
        <v>3.1</v>
      </c>
      <c r="H582" t="n">
        <v>1</v>
      </c>
      <c r="I582" t="n">
        <v>0</v>
      </c>
      <c r="J582" t="n">
        <v>0</v>
      </c>
      <c r="K582" t="n">
        <v>0</v>
      </c>
      <c r="L582" t="n">
        <v>0</v>
      </c>
      <c r="M582" t="n">
        <v>0</v>
      </c>
      <c r="N582" t="n">
        <v>0</v>
      </c>
      <c r="O582" t="n">
        <v>0</v>
      </c>
      <c r="P582" t="n">
        <v>0</v>
      </c>
      <c r="Q582" t="n">
        <v>1</v>
      </c>
      <c r="R582" s="2" t="inlineStr">
        <is>
          <t>Enkelbeckasin</t>
        </is>
      </c>
      <c r="S582">
        <f>HYPERLINK("https://klasma.github.io/Logging_0380/artfynd/A 23141-2022 artfynd.xlsx", "A 23141-2022")</f>
        <v/>
      </c>
      <c r="T582">
        <f>HYPERLINK("https://klasma.github.io/Logging_0380/kartor/A 23141-2022 karta.png", "A 23141-2022")</f>
        <v/>
      </c>
      <c r="V582">
        <f>HYPERLINK("https://klasma.github.io/Logging_0380/klagomål/A 23141-2022 FSC-klagomål.docx", "A 23141-2022")</f>
        <v/>
      </c>
      <c r="W582">
        <f>HYPERLINK("https://klasma.github.io/Logging_0380/klagomålsmail/A 23141-2022 FSC-klagomål mail.docx", "A 23141-2022")</f>
        <v/>
      </c>
      <c r="X582">
        <f>HYPERLINK("https://klasma.github.io/Logging_0380/tillsyn/A 23141-2022 tillsynsbegäran.docx", "A 23141-2022")</f>
        <v/>
      </c>
      <c r="Y582">
        <f>HYPERLINK("https://klasma.github.io/Logging_0380/tillsynsmail/A 23141-2022 tillsynsbegäran mail.docx", "A 23141-2022")</f>
        <v/>
      </c>
      <c r="Z582">
        <f>HYPERLINK("https://klasma.github.io/Logging_0380/fåglar/A 23141-2022 prioriterade fågelarter.docx", "A 23141-2022")</f>
        <v/>
      </c>
    </row>
    <row r="583" ht="15" customHeight="1">
      <c r="A583" t="inlineStr">
        <is>
          <t>A 23961-2022</t>
        </is>
      </c>
      <c r="B583" s="1" t="n">
        <v>44722</v>
      </c>
      <c r="C583" s="1" t="n">
        <v>45846</v>
      </c>
      <c r="D583" t="inlineStr">
        <is>
          <t>UPPSALA LÄN</t>
        </is>
      </c>
      <c r="E583" t="inlineStr">
        <is>
          <t>ENKÖPING</t>
        </is>
      </c>
      <c r="G583" t="n">
        <v>1.4</v>
      </c>
      <c r="H583" t="n">
        <v>1</v>
      </c>
      <c r="I583" t="n">
        <v>0</v>
      </c>
      <c r="J583" t="n">
        <v>0</v>
      </c>
      <c r="K583" t="n">
        <v>0</v>
      </c>
      <c r="L583" t="n">
        <v>0</v>
      </c>
      <c r="M583" t="n">
        <v>0</v>
      </c>
      <c r="N583" t="n">
        <v>0</v>
      </c>
      <c r="O583" t="n">
        <v>0</v>
      </c>
      <c r="P583" t="n">
        <v>0</v>
      </c>
      <c r="Q583" t="n">
        <v>1</v>
      </c>
      <c r="R583" s="2" t="inlineStr">
        <is>
          <t>Blåsippa</t>
        </is>
      </c>
      <c r="S583">
        <f>HYPERLINK("https://klasma.github.io/Logging_0381/artfynd/A 23961-2022 artfynd.xlsx", "A 23961-2022")</f>
        <v/>
      </c>
      <c r="T583">
        <f>HYPERLINK("https://klasma.github.io/Logging_0381/kartor/A 23961-2022 karta.png", "A 23961-2022")</f>
        <v/>
      </c>
      <c r="V583">
        <f>HYPERLINK("https://klasma.github.io/Logging_0381/klagomål/A 23961-2022 FSC-klagomål.docx", "A 23961-2022")</f>
        <v/>
      </c>
      <c r="W583">
        <f>HYPERLINK("https://klasma.github.io/Logging_0381/klagomålsmail/A 23961-2022 FSC-klagomål mail.docx", "A 23961-2022")</f>
        <v/>
      </c>
      <c r="X583">
        <f>HYPERLINK("https://klasma.github.io/Logging_0381/tillsyn/A 23961-2022 tillsynsbegäran.docx", "A 23961-2022")</f>
        <v/>
      </c>
      <c r="Y583">
        <f>HYPERLINK("https://klasma.github.io/Logging_0381/tillsynsmail/A 23961-2022 tillsynsbegäran mail.docx", "A 23961-2022")</f>
        <v/>
      </c>
    </row>
    <row r="584" ht="15" customHeight="1">
      <c r="A584" t="inlineStr">
        <is>
          <t>A 24797-2022</t>
        </is>
      </c>
      <c r="B584" s="1" t="n">
        <v>44728</v>
      </c>
      <c r="C584" s="1" t="n">
        <v>45846</v>
      </c>
      <c r="D584" t="inlineStr">
        <is>
          <t>UPPSALA LÄN</t>
        </is>
      </c>
      <c r="E584" t="inlineStr">
        <is>
          <t>ÖSTHAMMAR</t>
        </is>
      </c>
      <c r="F584" t="inlineStr">
        <is>
          <t>Sveaskog</t>
        </is>
      </c>
      <c r="G584" t="n">
        <v>1.7</v>
      </c>
      <c r="H584" t="n">
        <v>1</v>
      </c>
      <c r="I584" t="n">
        <v>0</v>
      </c>
      <c r="J584" t="n">
        <v>1</v>
      </c>
      <c r="K584" t="n">
        <v>0</v>
      </c>
      <c r="L584" t="n">
        <v>0</v>
      </c>
      <c r="M584" t="n">
        <v>0</v>
      </c>
      <c r="N584" t="n">
        <v>0</v>
      </c>
      <c r="O584" t="n">
        <v>1</v>
      </c>
      <c r="P584" t="n">
        <v>0</v>
      </c>
      <c r="Q584" t="n">
        <v>1</v>
      </c>
      <c r="R584" s="2" t="inlineStr">
        <is>
          <t>Gulsparv</t>
        </is>
      </c>
      <c r="S584">
        <f>HYPERLINK("https://klasma.github.io/Logging_0382/artfynd/A 24797-2022 artfynd.xlsx", "A 24797-2022")</f>
        <v/>
      </c>
      <c r="T584">
        <f>HYPERLINK("https://klasma.github.io/Logging_0382/kartor/A 24797-2022 karta.png", "A 24797-2022")</f>
        <v/>
      </c>
      <c r="V584">
        <f>HYPERLINK("https://klasma.github.io/Logging_0382/klagomål/A 24797-2022 FSC-klagomål.docx", "A 24797-2022")</f>
        <v/>
      </c>
      <c r="W584">
        <f>HYPERLINK("https://klasma.github.io/Logging_0382/klagomålsmail/A 24797-2022 FSC-klagomål mail.docx", "A 24797-2022")</f>
        <v/>
      </c>
      <c r="X584">
        <f>HYPERLINK("https://klasma.github.io/Logging_0382/tillsyn/A 24797-2022 tillsynsbegäran.docx", "A 24797-2022")</f>
        <v/>
      </c>
      <c r="Y584">
        <f>HYPERLINK("https://klasma.github.io/Logging_0382/tillsynsmail/A 24797-2022 tillsynsbegäran mail.docx", "A 24797-2022")</f>
        <v/>
      </c>
      <c r="Z584">
        <f>HYPERLINK("https://klasma.github.io/Logging_0382/fåglar/A 24797-2022 prioriterade fågelarter.docx", "A 24797-2022")</f>
        <v/>
      </c>
    </row>
    <row r="585" ht="15" customHeight="1">
      <c r="A585" t="inlineStr">
        <is>
          <t>A 25119-2022</t>
        </is>
      </c>
      <c r="B585" s="1" t="n">
        <v>44729</v>
      </c>
      <c r="C585" s="1" t="n">
        <v>45846</v>
      </c>
      <c r="D585" t="inlineStr">
        <is>
          <t>UPPSALA LÄN</t>
        </is>
      </c>
      <c r="E585" t="inlineStr">
        <is>
          <t>UPPSALA</t>
        </is>
      </c>
      <c r="F585" t="inlineStr">
        <is>
          <t>Kommuner</t>
        </is>
      </c>
      <c r="G585" t="n">
        <v>0.9</v>
      </c>
      <c r="H585" t="n">
        <v>0</v>
      </c>
      <c r="I585" t="n">
        <v>1</v>
      </c>
      <c r="J585" t="n">
        <v>0</v>
      </c>
      <c r="K585" t="n">
        <v>0</v>
      </c>
      <c r="L585" t="n">
        <v>0</v>
      </c>
      <c r="M585" t="n">
        <v>0</v>
      </c>
      <c r="N585" t="n">
        <v>0</v>
      </c>
      <c r="O585" t="n">
        <v>0</v>
      </c>
      <c r="P585" t="n">
        <v>0</v>
      </c>
      <c r="Q585" t="n">
        <v>1</v>
      </c>
      <c r="R585" s="2" t="inlineStr">
        <is>
          <t>Stor aspticka</t>
        </is>
      </c>
      <c r="S585">
        <f>HYPERLINK("https://klasma.github.io/Logging_0380/artfynd/A 25119-2022 artfynd.xlsx", "A 25119-2022")</f>
        <v/>
      </c>
      <c r="T585">
        <f>HYPERLINK("https://klasma.github.io/Logging_0380/kartor/A 25119-2022 karta.png", "A 25119-2022")</f>
        <v/>
      </c>
      <c r="V585">
        <f>HYPERLINK("https://klasma.github.io/Logging_0380/klagomål/A 25119-2022 FSC-klagomål.docx", "A 25119-2022")</f>
        <v/>
      </c>
      <c r="W585">
        <f>HYPERLINK("https://klasma.github.io/Logging_0380/klagomålsmail/A 25119-2022 FSC-klagomål mail.docx", "A 25119-2022")</f>
        <v/>
      </c>
      <c r="X585">
        <f>HYPERLINK("https://klasma.github.io/Logging_0380/tillsyn/A 25119-2022 tillsynsbegäran.docx", "A 25119-2022")</f>
        <v/>
      </c>
      <c r="Y585">
        <f>HYPERLINK("https://klasma.github.io/Logging_0380/tillsynsmail/A 25119-2022 tillsynsbegäran mail.docx", "A 25119-2022")</f>
        <v/>
      </c>
    </row>
    <row r="586" ht="15" customHeight="1">
      <c r="A586" t="inlineStr">
        <is>
          <t>A 27451-2022</t>
        </is>
      </c>
      <c r="B586" s="1" t="n">
        <v>44742</v>
      </c>
      <c r="C586" s="1" t="n">
        <v>45846</v>
      </c>
      <c r="D586" t="inlineStr">
        <is>
          <t>UPPSALA LÄN</t>
        </is>
      </c>
      <c r="E586" t="inlineStr">
        <is>
          <t>ÖSTHAMMAR</t>
        </is>
      </c>
      <c r="G586" t="n">
        <v>6.4</v>
      </c>
      <c r="H586" t="n">
        <v>0</v>
      </c>
      <c r="I586" t="n">
        <v>0</v>
      </c>
      <c r="J586" t="n">
        <v>1</v>
      </c>
      <c r="K586" t="n">
        <v>0</v>
      </c>
      <c r="L586" t="n">
        <v>0</v>
      </c>
      <c r="M586" t="n">
        <v>0</v>
      </c>
      <c r="N586" t="n">
        <v>0</v>
      </c>
      <c r="O586" t="n">
        <v>1</v>
      </c>
      <c r="P586" t="n">
        <v>0</v>
      </c>
      <c r="Q586" t="n">
        <v>1</v>
      </c>
      <c r="R586" s="2" t="inlineStr">
        <is>
          <t>Skogsklocka</t>
        </is>
      </c>
      <c r="S586">
        <f>HYPERLINK("https://klasma.github.io/Logging_0382/artfynd/A 27451-2022 artfynd.xlsx", "A 27451-2022")</f>
        <v/>
      </c>
      <c r="T586">
        <f>HYPERLINK("https://klasma.github.io/Logging_0382/kartor/A 27451-2022 karta.png", "A 27451-2022")</f>
        <v/>
      </c>
      <c r="V586">
        <f>HYPERLINK("https://klasma.github.io/Logging_0382/klagomål/A 27451-2022 FSC-klagomål.docx", "A 27451-2022")</f>
        <v/>
      </c>
      <c r="W586">
        <f>HYPERLINK("https://klasma.github.io/Logging_0382/klagomålsmail/A 27451-2022 FSC-klagomål mail.docx", "A 27451-2022")</f>
        <v/>
      </c>
      <c r="X586">
        <f>HYPERLINK("https://klasma.github.io/Logging_0382/tillsyn/A 27451-2022 tillsynsbegäran.docx", "A 27451-2022")</f>
        <v/>
      </c>
      <c r="Y586">
        <f>HYPERLINK("https://klasma.github.io/Logging_0382/tillsynsmail/A 27451-2022 tillsynsbegäran mail.docx", "A 27451-2022")</f>
        <v/>
      </c>
    </row>
    <row r="587" ht="15" customHeight="1">
      <c r="A587" t="inlineStr">
        <is>
          <t>A 29748-2022</t>
        </is>
      </c>
      <c r="B587" s="1" t="n">
        <v>44755</v>
      </c>
      <c r="C587" s="1" t="n">
        <v>45846</v>
      </c>
      <c r="D587" t="inlineStr">
        <is>
          <t>UPPSALA LÄN</t>
        </is>
      </c>
      <c r="E587" t="inlineStr">
        <is>
          <t>ÄLVKARLEBY</t>
        </is>
      </c>
      <c r="F587" t="inlineStr">
        <is>
          <t>Bergvik skog väst AB</t>
        </is>
      </c>
      <c r="G587" t="n">
        <v>2</v>
      </c>
      <c r="H587" t="n">
        <v>0</v>
      </c>
      <c r="I587" t="n">
        <v>0</v>
      </c>
      <c r="J587" t="n">
        <v>0</v>
      </c>
      <c r="K587" t="n">
        <v>0</v>
      </c>
      <c r="L587" t="n">
        <v>1</v>
      </c>
      <c r="M587" t="n">
        <v>0</v>
      </c>
      <c r="N587" t="n">
        <v>0</v>
      </c>
      <c r="O587" t="n">
        <v>1</v>
      </c>
      <c r="P587" t="n">
        <v>1</v>
      </c>
      <c r="Q587" t="n">
        <v>1</v>
      </c>
      <c r="R587" s="2" t="inlineStr">
        <is>
          <t>Stor bockrot</t>
        </is>
      </c>
      <c r="S587">
        <f>HYPERLINK("https://klasma.github.io/Logging_0319/artfynd/A 29748-2022 artfynd.xlsx", "A 29748-2022")</f>
        <v/>
      </c>
      <c r="T587">
        <f>HYPERLINK("https://klasma.github.io/Logging_0319/kartor/A 29748-2022 karta.png", "A 29748-2022")</f>
        <v/>
      </c>
      <c r="V587">
        <f>HYPERLINK("https://klasma.github.io/Logging_0319/klagomål/A 29748-2022 FSC-klagomål.docx", "A 29748-2022")</f>
        <v/>
      </c>
      <c r="W587">
        <f>HYPERLINK("https://klasma.github.io/Logging_0319/klagomålsmail/A 29748-2022 FSC-klagomål mail.docx", "A 29748-2022")</f>
        <v/>
      </c>
      <c r="X587">
        <f>HYPERLINK("https://klasma.github.io/Logging_0319/tillsyn/A 29748-2022 tillsynsbegäran.docx", "A 29748-2022")</f>
        <v/>
      </c>
      <c r="Y587">
        <f>HYPERLINK("https://klasma.github.io/Logging_0319/tillsynsmail/A 29748-2022 tillsynsbegäran mail.docx", "A 29748-2022")</f>
        <v/>
      </c>
    </row>
    <row r="588" ht="15" customHeight="1">
      <c r="A588" t="inlineStr">
        <is>
          <t>A 33375-2022</t>
        </is>
      </c>
      <c r="B588" s="1" t="n">
        <v>44788</v>
      </c>
      <c r="C588" s="1" t="n">
        <v>45846</v>
      </c>
      <c r="D588" t="inlineStr">
        <is>
          <t>UPPSALA LÄN</t>
        </is>
      </c>
      <c r="E588" t="inlineStr">
        <is>
          <t>TIERP</t>
        </is>
      </c>
      <c r="G588" t="n">
        <v>4.7</v>
      </c>
      <c r="H588" t="n">
        <v>0</v>
      </c>
      <c r="I588" t="n">
        <v>0</v>
      </c>
      <c r="J588" t="n">
        <v>0</v>
      </c>
      <c r="K588" t="n">
        <v>0</v>
      </c>
      <c r="L588" t="n">
        <v>1</v>
      </c>
      <c r="M588" t="n">
        <v>0</v>
      </c>
      <c r="N588" t="n">
        <v>0</v>
      </c>
      <c r="O588" t="n">
        <v>1</v>
      </c>
      <c r="P588" t="n">
        <v>1</v>
      </c>
      <c r="Q588" t="n">
        <v>1</v>
      </c>
      <c r="R588" s="2" t="inlineStr">
        <is>
          <t>Fältgentiana</t>
        </is>
      </c>
      <c r="S588">
        <f>HYPERLINK("https://klasma.github.io/Logging_0360/artfynd/A 33375-2022 artfynd.xlsx", "A 33375-2022")</f>
        <v/>
      </c>
      <c r="T588">
        <f>HYPERLINK("https://klasma.github.io/Logging_0360/kartor/A 33375-2022 karta.png", "A 33375-2022")</f>
        <v/>
      </c>
      <c r="V588">
        <f>HYPERLINK("https://klasma.github.io/Logging_0360/klagomål/A 33375-2022 FSC-klagomål.docx", "A 33375-2022")</f>
        <v/>
      </c>
      <c r="W588">
        <f>HYPERLINK("https://klasma.github.io/Logging_0360/klagomålsmail/A 33375-2022 FSC-klagomål mail.docx", "A 33375-2022")</f>
        <v/>
      </c>
      <c r="X588">
        <f>HYPERLINK("https://klasma.github.io/Logging_0360/tillsyn/A 33375-2022 tillsynsbegäran.docx", "A 33375-2022")</f>
        <v/>
      </c>
      <c r="Y588">
        <f>HYPERLINK("https://klasma.github.io/Logging_0360/tillsynsmail/A 33375-2022 tillsynsbegäran mail.docx", "A 33375-2022")</f>
        <v/>
      </c>
    </row>
    <row r="589" ht="15" customHeight="1">
      <c r="A589" t="inlineStr">
        <is>
          <t>A 34974-2022</t>
        </is>
      </c>
      <c r="B589" s="1" t="n">
        <v>44796</v>
      </c>
      <c r="C589" s="1" t="n">
        <v>45846</v>
      </c>
      <c r="D589" t="inlineStr">
        <is>
          <t>UPPSALA LÄN</t>
        </is>
      </c>
      <c r="E589" t="inlineStr">
        <is>
          <t>ÖSTHAMMAR</t>
        </is>
      </c>
      <c r="F589" t="inlineStr">
        <is>
          <t>Bergvik skog öst AB</t>
        </is>
      </c>
      <c r="G589" t="n">
        <v>19.4</v>
      </c>
      <c r="H589" t="n">
        <v>1</v>
      </c>
      <c r="I589" t="n">
        <v>0</v>
      </c>
      <c r="J589" t="n">
        <v>0</v>
      </c>
      <c r="K589" t="n">
        <v>0</v>
      </c>
      <c r="L589" t="n">
        <v>0</v>
      </c>
      <c r="M589" t="n">
        <v>0</v>
      </c>
      <c r="N589" t="n">
        <v>0</v>
      </c>
      <c r="O589" t="n">
        <v>0</v>
      </c>
      <c r="P589" t="n">
        <v>0</v>
      </c>
      <c r="Q589" t="n">
        <v>1</v>
      </c>
      <c r="R589" s="2" t="inlineStr">
        <is>
          <t>Kopparödla</t>
        </is>
      </c>
      <c r="S589">
        <f>HYPERLINK("https://klasma.github.io/Logging_0382/artfynd/A 34974-2022 artfynd.xlsx", "A 34974-2022")</f>
        <v/>
      </c>
      <c r="T589">
        <f>HYPERLINK("https://klasma.github.io/Logging_0382/kartor/A 34974-2022 karta.png", "A 34974-2022")</f>
        <v/>
      </c>
      <c r="V589">
        <f>HYPERLINK("https://klasma.github.io/Logging_0382/klagomål/A 34974-2022 FSC-klagomål.docx", "A 34974-2022")</f>
        <v/>
      </c>
      <c r="W589">
        <f>HYPERLINK("https://klasma.github.io/Logging_0382/klagomålsmail/A 34974-2022 FSC-klagomål mail.docx", "A 34974-2022")</f>
        <v/>
      </c>
      <c r="X589">
        <f>HYPERLINK("https://klasma.github.io/Logging_0382/tillsyn/A 34974-2022 tillsynsbegäran.docx", "A 34974-2022")</f>
        <v/>
      </c>
      <c r="Y589">
        <f>HYPERLINK("https://klasma.github.io/Logging_0382/tillsynsmail/A 34974-2022 tillsynsbegäran mail.docx", "A 34974-2022")</f>
        <v/>
      </c>
    </row>
    <row r="590" ht="15" customHeight="1">
      <c r="A590" t="inlineStr">
        <is>
          <t>A 36849-2022</t>
        </is>
      </c>
      <c r="B590" s="1" t="n">
        <v>44805</v>
      </c>
      <c r="C590" s="1" t="n">
        <v>45846</v>
      </c>
      <c r="D590" t="inlineStr">
        <is>
          <t>UPPSALA LÄN</t>
        </is>
      </c>
      <c r="E590" t="inlineStr">
        <is>
          <t>HEBY</t>
        </is>
      </c>
      <c r="G590" t="n">
        <v>3.5</v>
      </c>
      <c r="H590" t="n">
        <v>0</v>
      </c>
      <c r="I590" t="n">
        <v>1</v>
      </c>
      <c r="J590" t="n">
        <v>0</v>
      </c>
      <c r="K590" t="n">
        <v>0</v>
      </c>
      <c r="L590" t="n">
        <v>0</v>
      </c>
      <c r="M590" t="n">
        <v>0</v>
      </c>
      <c r="N590" t="n">
        <v>0</v>
      </c>
      <c r="O590" t="n">
        <v>0</v>
      </c>
      <c r="P590" t="n">
        <v>0</v>
      </c>
      <c r="Q590" t="n">
        <v>1</v>
      </c>
      <c r="R590" s="2" t="inlineStr">
        <is>
          <t>Granbarkgnagare</t>
        </is>
      </c>
      <c r="S590">
        <f>HYPERLINK("https://klasma.github.io/Logging_0331/artfynd/A 36849-2022 artfynd.xlsx", "A 36849-2022")</f>
        <v/>
      </c>
      <c r="T590">
        <f>HYPERLINK("https://klasma.github.io/Logging_0331/kartor/A 36849-2022 karta.png", "A 36849-2022")</f>
        <v/>
      </c>
      <c r="V590">
        <f>HYPERLINK("https://klasma.github.io/Logging_0331/klagomål/A 36849-2022 FSC-klagomål.docx", "A 36849-2022")</f>
        <v/>
      </c>
      <c r="W590">
        <f>HYPERLINK("https://klasma.github.io/Logging_0331/klagomålsmail/A 36849-2022 FSC-klagomål mail.docx", "A 36849-2022")</f>
        <v/>
      </c>
      <c r="X590">
        <f>HYPERLINK("https://klasma.github.io/Logging_0331/tillsyn/A 36849-2022 tillsynsbegäran.docx", "A 36849-2022")</f>
        <v/>
      </c>
      <c r="Y590">
        <f>HYPERLINK("https://klasma.github.io/Logging_0331/tillsynsmail/A 36849-2022 tillsynsbegäran mail.docx", "A 36849-2022")</f>
        <v/>
      </c>
    </row>
    <row r="591" ht="15" customHeight="1">
      <c r="A591" t="inlineStr">
        <is>
          <t>A 38442-2022</t>
        </is>
      </c>
      <c r="B591" s="1" t="n">
        <v>44813</v>
      </c>
      <c r="C591" s="1" t="n">
        <v>45846</v>
      </c>
      <c r="D591" t="inlineStr">
        <is>
          <t>UPPSALA LÄN</t>
        </is>
      </c>
      <c r="E591" t="inlineStr">
        <is>
          <t>ÖSTHAMMAR</t>
        </is>
      </c>
      <c r="F591" t="inlineStr">
        <is>
          <t>Kyrkan</t>
        </is>
      </c>
      <c r="G591" t="n">
        <v>2.9</v>
      </c>
      <c r="H591" t="n">
        <v>0</v>
      </c>
      <c r="I591" t="n">
        <v>0</v>
      </c>
      <c r="J591" t="n">
        <v>1</v>
      </c>
      <c r="K591" t="n">
        <v>0</v>
      </c>
      <c r="L591" t="n">
        <v>0</v>
      </c>
      <c r="M591" t="n">
        <v>0</v>
      </c>
      <c r="N591" t="n">
        <v>0</v>
      </c>
      <c r="O591" t="n">
        <v>1</v>
      </c>
      <c r="P591" t="n">
        <v>0</v>
      </c>
      <c r="Q591" t="n">
        <v>1</v>
      </c>
      <c r="R591" s="2" t="inlineStr">
        <is>
          <t>Slåtterfibbla</t>
        </is>
      </c>
      <c r="S591">
        <f>HYPERLINK("https://klasma.github.io/Logging_0382/artfynd/A 38442-2022 artfynd.xlsx", "A 38442-2022")</f>
        <v/>
      </c>
      <c r="T591">
        <f>HYPERLINK("https://klasma.github.io/Logging_0382/kartor/A 38442-2022 karta.png", "A 38442-2022")</f>
        <v/>
      </c>
      <c r="V591">
        <f>HYPERLINK("https://klasma.github.io/Logging_0382/klagomål/A 38442-2022 FSC-klagomål.docx", "A 38442-2022")</f>
        <v/>
      </c>
      <c r="W591">
        <f>HYPERLINK("https://klasma.github.io/Logging_0382/klagomålsmail/A 38442-2022 FSC-klagomål mail.docx", "A 38442-2022")</f>
        <v/>
      </c>
      <c r="X591">
        <f>HYPERLINK("https://klasma.github.io/Logging_0382/tillsyn/A 38442-2022 tillsynsbegäran.docx", "A 38442-2022")</f>
        <v/>
      </c>
      <c r="Y591">
        <f>HYPERLINK("https://klasma.github.io/Logging_0382/tillsynsmail/A 38442-2022 tillsynsbegäran mail.docx", "A 38442-2022")</f>
        <v/>
      </c>
    </row>
    <row r="592" ht="15" customHeight="1">
      <c r="A592" t="inlineStr">
        <is>
          <t>A 40362-2022</t>
        </is>
      </c>
      <c r="B592" s="1" t="n">
        <v>44823</v>
      </c>
      <c r="C592" s="1" t="n">
        <v>45846</v>
      </c>
      <c r="D592" t="inlineStr">
        <is>
          <t>UPPSALA LÄN</t>
        </is>
      </c>
      <c r="E592" t="inlineStr">
        <is>
          <t>TIERP</t>
        </is>
      </c>
      <c r="F592" t="inlineStr">
        <is>
          <t>Bergvik skog väst AB</t>
        </is>
      </c>
      <c r="G592" t="n">
        <v>18.5</v>
      </c>
      <c r="H592" t="n">
        <v>1</v>
      </c>
      <c r="I592" t="n">
        <v>0</v>
      </c>
      <c r="J592" t="n">
        <v>0</v>
      </c>
      <c r="K592" t="n">
        <v>0</v>
      </c>
      <c r="L592" t="n">
        <v>0</v>
      </c>
      <c r="M592" t="n">
        <v>0</v>
      </c>
      <c r="N592" t="n">
        <v>0</v>
      </c>
      <c r="O592" t="n">
        <v>0</v>
      </c>
      <c r="P592" t="n">
        <v>0</v>
      </c>
      <c r="Q592" t="n">
        <v>1</v>
      </c>
      <c r="R592" s="2" t="inlineStr">
        <is>
          <t>Fläcknycklar</t>
        </is>
      </c>
      <c r="S592">
        <f>HYPERLINK("https://klasma.github.io/Logging_0360/artfynd/A 40362-2022 artfynd.xlsx", "A 40362-2022")</f>
        <v/>
      </c>
      <c r="T592">
        <f>HYPERLINK("https://klasma.github.io/Logging_0360/kartor/A 40362-2022 karta.png", "A 40362-2022")</f>
        <v/>
      </c>
      <c r="V592">
        <f>HYPERLINK("https://klasma.github.io/Logging_0360/klagomål/A 40362-2022 FSC-klagomål.docx", "A 40362-2022")</f>
        <v/>
      </c>
      <c r="W592">
        <f>HYPERLINK("https://klasma.github.io/Logging_0360/klagomålsmail/A 40362-2022 FSC-klagomål mail.docx", "A 40362-2022")</f>
        <v/>
      </c>
      <c r="X592">
        <f>HYPERLINK("https://klasma.github.io/Logging_0360/tillsyn/A 40362-2022 tillsynsbegäran.docx", "A 40362-2022")</f>
        <v/>
      </c>
      <c r="Y592">
        <f>HYPERLINK("https://klasma.github.io/Logging_0360/tillsynsmail/A 40362-2022 tillsynsbegäran mail.docx", "A 40362-2022")</f>
        <v/>
      </c>
    </row>
    <row r="593" ht="15" customHeight="1">
      <c r="A593" t="inlineStr">
        <is>
          <t>A 41382-2022</t>
        </is>
      </c>
      <c r="B593" s="1" t="n">
        <v>44826</v>
      </c>
      <c r="C593" s="1" t="n">
        <v>45846</v>
      </c>
      <c r="D593" t="inlineStr">
        <is>
          <t>UPPSALA LÄN</t>
        </is>
      </c>
      <c r="E593" t="inlineStr">
        <is>
          <t>HEBY</t>
        </is>
      </c>
      <c r="G593" t="n">
        <v>2.2</v>
      </c>
      <c r="H593" t="n">
        <v>1</v>
      </c>
      <c r="I593" t="n">
        <v>0</v>
      </c>
      <c r="J593" t="n">
        <v>0</v>
      </c>
      <c r="K593" t="n">
        <v>0</v>
      </c>
      <c r="L593" t="n">
        <v>0</v>
      </c>
      <c r="M593" t="n">
        <v>0</v>
      </c>
      <c r="N593" t="n">
        <v>0</v>
      </c>
      <c r="O593" t="n">
        <v>0</v>
      </c>
      <c r="P593" t="n">
        <v>0</v>
      </c>
      <c r="Q593" t="n">
        <v>1</v>
      </c>
      <c r="R593" s="2" t="inlineStr">
        <is>
          <t>Nattviol</t>
        </is>
      </c>
      <c r="S593">
        <f>HYPERLINK("https://klasma.github.io/Logging_0331/artfynd/A 41382-2022 artfynd.xlsx", "A 41382-2022")</f>
        <v/>
      </c>
      <c r="T593">
        <f>HYPERLINK("https://klasma.github.io/Logging_0331/kartor/A 41382-2022 karta.png", "A 41382-2022")</f>
        <v/>
      </c>
      <c r="V593">
        <f>HYPERLINK("https://klasma.github.io/Logging_0331/klagomål/A 41382-2022 FSC-klagomål.docx", "A 41382-2022")</f>
        <v/>
      </c>
      <c r="W593">
        <f>HYPERLINK("https://klasma.github.io/Logging_0331/klagomålsmail/A 41382-2022 FSC-klagomål mail.docx", "A 41382-2022")</f>
        <v/>
      </c>
      <c r="X593">
        <f>HYPERLINK("https://klasma.github.io/Logging_0331/tillsyn/A 41382-2022 tillsynsbegäran.docx", "A 41382-2022")</f>
        <v/>
      </c>
      <c r="Y593">
        <f>HYPERLINK("https://klasma.github.io/Logging_0331/tillsynsmail/A 41382-2022 tillsynsbegäran mail.docx", "A 41382-2022")</f>
        <v/>
      </c>
    </row>
    <row r="594" ht="15" customHeight="1">
      <c r="A594" t="inlineStr">
        <is>
          <t>A 45536-2022</t>
        </is>
      </c>
      <c r="B594" s="1" t="n">
        <v>44845</v>
      </c>
      <c r="C594" s="1" t="n">
        <v>45846</v>
      </c>
      <c r="D594" t="inlineStr">
        <is>
          <t>UPPSALA LÄN</t>
        </is>
      </c>
      <c r="E594" t="inlineStr">
        <is>
          <t>TIERP</t>
        </is>
      </c>
      <c r="F594" t="inlineStr">
        <is>
          <t>Bergvik skog öst AB</t>
        </is>
      </c>
      <c r="G594" t="n">
        <v>0.5</v>
      </c>
      <c r="H594" t="n">
        <v>0</v>
      </c>
      <c r="I594" t="n">
        <v>1</v>
      </c>
      <c r="J594" t="n">
        <v>0</v>
      </c>
      <c r="K594" t="n">
        <v>0</v>
      </c>
      <c r="L594" t="n">
        <v>0</v>
      </c>
      <c r="M594" t="n">
        <v>0</v>
      </c>
      <c r="N594" t="n">
        <v>0</v>
      </c>
      <c r="O594" t="n">
        <v>0</v>
      </c>
      <c r="P594" t="n">
        <v>0</v>
      </c>
      <c r="Q594" t="n">
        <v>1</v>
      </c>
      <c r="R594" s="2" t="inlineStr">
        <is>
          <t>Ögonpyrola</t>
        </is>
      </c>
      <c r="S594">
        <f>HYPERLINK("https://klasma.github.io/Logging_0360/artfynd/A 45536-2022 artfynd.xlsx", "A 45536-2022")</f>
        <v/>
      </c>
      <c r="T594">
        <f>HYPERLINK("https://klasma.github.io/Logging_0360/kartor/A 45536-2022 karta.png", "A 45536-2022")</f>
        <v/>
      </c>
      <c r="V594">
        <f>HYPERLINK("https://klasma.github.io/Logging_0360/klagomål/A 45536-2022 FSC-klagomål.docx", "A 45536-2022")</f>
        <v/>
      </c>
      <c r="W594">
        <f>HYPERLINK("https://klasma.github.io/Logging_0360/klagomålsmail/A 45536-2022 FSC-klagomål mail.docx", "A 45536-2022")</f>
        <v/>
      </c>
      <c r="X594">
        <f>HYPERLINK("https://klasma.github.io/Logging_0360/tillsyn/A 45536-2022 tillsynsbegäran.docx", "A 45536-2022")</f>
        <v/>
      </c>
      <c r="Y594">
        <f>HYPERLINK("https://klasma.github.io/Logging_0360/tillsynsmail/A 45536-2022 tillsynsbegäran mail.docx", "A 45536-2022")</f>
        <v/>
      </c>
    </row>
    <row r="595" ht="15" customHeight="1">
      <c r="A595" t="inlineStr">
        <is>
          <t>A 46086-2022</t>
        </is>
      </c>
      <c r="B595" s="1" t="n">
        <v>44847</v>
      </c>
      <c r="C595" s="1" t="n">
        <v>45846</v>
      </c>
      <c r="D595" t="inlineStr">
        <is>
          <t>UPPSALA LÄN</t>
        </is>
      </c>
      <c r="E595" t="inlineStr">
        <is>
          <t>HEBY</t>
        </is>
      </c>
      <c r="G595" t="n">
        <v>3.3</v>
      </c>
      <c r="H595" t="n">
        <v>0</v>
      </c>
      <c r="I595" t="n">
        <v>0</v>
      </c>
      <c r="J595" t="n">
        <v>1</v>
      </c>
      <c r="K595" t="n">
        <v>0</v>
      </c>
      <c r="L595" t="n">
        <v>0</v>
      </c>
      <c r="M595" t="n">
        <v>0</v>
      </c>
      <c r="N595" t="n">
        <v>0</v>
      </c>
      <c r="O595" t="n">
        <v>1</v>
      </c>
      <c r="P595" t="n">
        <v>0</v>
      </c>
      <c r="Q595" t="n">
        <v>1</v>
      </c>
      <c r="R595" s="2" t="inlineStr">
        <is>
          <t>Garnlav</t>
        </is>
      </c>
      <c r="S595">
        <f>HYPERLINK("https://klasma.github.io/Logging_0331/artfynd/A 46086-2022 artfynd.xlsx", "A 46086-2022")</f>
        <v/>
      </c>
      <c r="T595">
        <f>HYPERLINK("https://klasma.github.io/Logging_0331/kartor/A 46086-2022 karta.png", "A 46086-2022")</f>
        <v/>
      </c>
      <c r="U595">
        <f>HYPERLINK("https://klasma.github.io/Logging_0331/knärot/A 46086-2022 karta knärot.png", "A 46086-2022")</f>
        <v/>
      </c>
      <c r="V595">
        <f>HYPERLINK("https://klasma.github.io/Logging_0331/klagomål/A 46086-2022 FSC-klagomål.docx", "A 46086-2022")</f>
        <v/>
      </c>
      <c r="W595">
        <f>HYPERLINK("https://klasma.github.io/Logging_0331/klagomålsmail/A 46086-2022 FSC-klagomål mail.docx", "A 46086-2022")</f>
        <v/>
      </c>
      <c r="X595">
        <f>HYPERLINK("https://klasma.github.io/Logging_0331/tillsyn/A 46086-2022 tillsynsbegäran.docx", "A 46086-2022")</f>
        <v/>
      </c>
      <c r="Y595">
        <f>HYPERLINK("https://klasma.github.io/Logging_0331/tillsynsmail/A 46086-2022 tillsynsbegäran mail.docx", "A 46086-2022")</f>
        <v/>
      </c>
    </row>
    <row r="596" ht="15" customHeight="1">
      <c r="A596" t="inlineStr">
        <is>
          <t>A 46634-2022</t>
        </is>
      </c>
      <c r="B596" s="1" t="n">
        <v>44849</v>
      </c>
      <c r="C596" s="1" t="n">
        <v>45846</v>
      </c>
      <c r="D596" t="inlineStr">
        <is>
          <t>UPPSALA LÄN</t>
        </is>
      </c>
      <c r="E596" t="inlineStr">
        <is>
          <t>UPPSALA</t>
        </is>
      </c>
      <c r="G596" t="n">
        <v>2.9</v>
      </c>
      <c r="H596" t="n">
        <v>0</v>
      </c>
      <c r="I596" t="n">
        <v>1</v>
      </c>
      <c r="J596" t="n">
        <v>0</v>
      </c>
      <c r="K596" t="n">
        <v>0</v>
      </c>
      <c r="L596" t="n">
        <v>0</v>
      </c>
      <c r="M596" t="n">
        <v>0</v>
      </c>
      <c r="N596" t="n">
        <v>0</v>
      </c>
      <c r="O596" t="n">
        <v>0</v>
      </c>
      <c r="P596" t="n">
        <v>0</v>
      </c>
      <c r="Q596" t="n">
        <v>1</v>
      </c>
      <c r="R596" s="2" t="inlineStr">
        <is>
          <t>Fjällig taggsvamp s.str.</t>
        </is>
      </c>
      <c r="S596">
        <f>HYPERLINK("https://klasma.github.io/Logging_0380/artfynd/A 46634-2022 artfynd.xlsx", "A 46634-2022")</f>
        <v/>
      </c>
      <c r="T596">
        <f>HYPERLINK("https://klasma.github.io/Logging_0380/kartor/A 46634-2022 karta.png", "A 46634-2022")</f>
        <v/>
      </c>
      <c r="V596">
        <f>HYPERLINK("https://klasma.github.io/Logging_0380/klagomål/A 46634-2022 FSC-klagomål.docx", "A 46634-2022")</f>
        <v/>
      </c>
      <c r="W596">
        <f>HYPERLINK("https://klasma.github.io/Logging_0380/klagomålsmail/A 46634-2022 FSC-klagomål mail.docx", "A 46634-2022")</f>
        <v/>
      </c>
      <c r="X596">
        <f>HYPERLINK("https://klasma.github.io/Logging_0380/tillsyn/A 46634-2022 tillsynsbegäran.docx", "A 46634-2022")</f>
        <v/>
      </c>
      <c r="Y596">
        <f>HYPERLINK("https://klasma.github.io/Logging_0380/tillsynsmail/A 46634-2022 tillsynsbegäran mail.docx", "A 46634-2022")</f>
        <v/>
      </c>
    </row>
    <row r="597" ht="15" customHeight="1">
      <c r="A597" t="inlineStr">
        <is>
          <t>A 47425-2022</t>
        </is>
      </c>
      <c r="B597" s="1" t="n">
        <v>44851</v>
      </c>
      <c r="C597" s="1" t="n">
        <v>45846</v>
      </c>
      <c r="D597" t="inlineStr">
        <is>
          <t>UPPSALA LÄN</t>
        </is>
      </c>
      <c r="E597" t="inlineStr">
        <is>
          <t>HÅBO</t>
        </is>
      </c>
      <c r="G597" t="n">
        <v>1.7</v>
      </c>
      <c r="H597" t="n">
        <v>0</v>
      </c>
      <c r="I597" t="n">
        <v>1</v>
      </c>
      <c r="J597" t="n">
        <v>0</v>
      </c>
      <c r="K597" t="n">
        <v>0</v>
      </c>
      <c r="L597" t="n">
        <v>0</v>
      </c>
      <c r="M597" t="n">
        <v>0</v>
      </c>
      <c r="N597" t="n">
        <v>0</v>
      </c>
      <c r="O597" t="n">
        <v>0</v>
      </c>
      <c r="P597" t="n">
        <v>0</v>
      </c>
      <c r="Q597" t="n">
        <v>1</v>
      </c>
      <c r="R597" s="2" t="inlineStr">
        <is>
          <t>Strimspindling</t>
        </is>
      </c>
      <c r="S597">
        <f>HYPERLINK("https://klasma.github.io/Logging_0305/artfynd/A 47425-2022 artfynd.xlsx", "A 47425-2022")</f>
        <v/>
      </c>
      <c r="T597">
        <f>HYPERLINK("https://klasma.github.io/Logging_0305/kartor/A 47425-2022 karta.png", "A 47425-2022")</f>
        <v/>
      </c>
      <c r="V597">
        <f>HYPERLINK("https://klasma.github.io/Logging_0305/klagomål/A 47425-2022 FSC-klagomål.docx", "A 47425-2022")</f>
        <v/>
      </c>
      <c r="W597">
        <f>HYPERLINK("https://klasma.github.io/Logging_0305/klagomålsmail/A 47425-2022 FSC-klagomål mail.docx", "A 47425-2022")</f>
        <v/>
      </c>
      <c r="X597">
        <f>HYPERLINK("https://klasma.github.io/Logging_0305/tillsyn/A 47425-2022 tillsynsbegäran.docx", "A 47425-2022")</f>
        <v/>
      </c>
      <c r="Y597">
        <f>HYPERLINK("https://klasma.github.io/Logging_0305/tillsynsmail/A 47425-2022 tillsynsbegäran mail.docx", "A 47425-2022")</f>
        <v/>
      </c>
    </row>
    <row r="598" ht="15" customHeight="1">
      <c r="A598" t="inlineStr">
        <is>
          <t>A 47227-2022</t>
        </is>
      </c>
      <c r="B598" s="1" t="n">
        <v>44852</v>
      </c>
      <c r="C598" s="1" t="n">
        <v>45846</v>
      </c>
      <c r="D598" t="inlineStr">
        <is>
          <t>UPPSALA LÄN</t>
        </is>
      </c>
      <c r="E598" t="inlineStr">
        <is>
          <t>TIERP</t>
        </is>
      </c>
      <c r="G598" t="n">
        <v>5.9</v>
      </c>
      <c r="H598" t="n">
        <v>1</v>
      </c>
      <c r="I598" t="n">
        <v>1</v>
      </c>
      <c r="J598" t="n">
        <v>0</v>
      </c>
      <c r="K598" t="n">
        <v>0</v>
      </c>
      <c r="L598" t="n">
        <v>0</v>
      </c>
      <c r="M598" t="n">
        <v>0</v>
      </c>
      <c r="N598" t="n">
        <v>0</v>
      </c>
      <c r="O598" t="n">
        <v>0</v>
      </c>
      <c r="P598" t="n">
        <v>0</v>
      </c>
      <c r="Q598" t="n">
        <v>1</v>
      </c>
      <c r="R598" s="2" t="inlineStr">
        <is>
          <t>Nästrot</t>
        </is>
      </c>
      <c r="S598">
        <f>HYPERLINK("https://klasma.github.io/Logging_0360/artfynd/A 47227-2022 artfynd.xlsx", "A 47227-2022")</f>
        <v/>
      </c>
      <c r="T598">
        <f>HYPERLINK("https://klasma.github.io/Logging_0360/kartor/A 47227-2022 karta.png", "A 47227-2022")</f>
        <v/>
      </c>
      <c r="V598">
        <f>HYPERLINK("https://klasma.github.io/Logging_0360/klagomål/A 47227-2022 FSC-klagomål.docx", "A 47227-2022")</f>
        <v/>
      </c>
      <c r="W598">
        <f>HYPERLINK("https://klasma.github.io/Logging_0360/klagomålsmail/A 47227-2022 FSC-klagomål mail.docx", "A 47227-2022")</f>
        <v/>
      </c>
      <c r="X598">
        <f>HYPERLINK("https://klasma.github.io/Logging_0360/tillsyn/A 47227-2022 tillsynsbegäran.docx", "A 47227-2022")</f>
        <v/>
      </c>
      <c r="Y598">
        <f>HYPERLINK("https://klasma.github.io/Logging_0360/tillsynsmail/A 47227-2022 tillsynsbegäran mail.docx", "A 47227-2022")</f>
        <v/>
      </c>
    </row>
    <row r="599" ht="15" customHeight="1">
      <c r="A599" t="inlineStr">
        <is>
          <t>A 49015-2022</t>
        </is>
      </c>
      <c r="B599" s="1" t="n">
        <v>44855</v>
      </c>
      <c r="C599" s="1" t="n">
        <v>45846</v>
      </c>
      <c r="D599" t="inlineStr">
        <is>
          <t>UPPSALA LÄN</t>
        </is>
      </c>
      <c r="E599" t="inlineStr">
        <is>
          <t>UPPSALA</t>
        </is>
      </c>
      <c r="F599" t="inlineStr">
        <is>
          <t>Kommuner</t>
        </is>
      </c>
      <c r="G599" t="n">
        <v>4.5</v>
      </c>
      <c r="H599" t="n">
        <v>0</v>
      </c>
      <c r="I599" t="n">
        <v>0</v>
      </c>
      <c r="J599" t="n">
        <v>1</v>
      </c>
      <c r="K599" t="n">
        <v>0</v>
      </c>
      <c r="L599" t="n">
        <v>0</v>
      </c>
      <c r="M599" t="n">
        <v>0</v>
      </c>
      <c r="N599" t="n">
        <v>0</v>
      </c>
      <c r="O599" t="n">
        <v>1</v>
      </c>
      <c r="P599" t="n">
        <v>0</v>
      </c>
      <c r="Q599" t="n">
        <v>1</v>
      </c>
      <c r="R599" s="2" t="inlineStr">
        <is>
          <t>Harticka</t>
        </is>
      </c>
      <c r="S599">
        <f>HYPERLINK("https://klasma.github.io/Logging_0380/artfynd/A 49015-2022 artfynd.xlsx", "A 49015-2022")</f>
        <v/>
      </c>
      <c r="T599">
        <f>HYPERLINK("https://klasma.github.io/Logging_0380/kartor/A 49015-2022 karta.png", "A 49015-2022")</f>
        <v/>
      </c>
      <c r="V599">
        <f>HYPERLINK("https://klasma.github.io/Logging_0380/klagomål/A 49015-2022 FSC-klagomål.docx", "A 49015-2022")</f>
        <v/>
      </c>
      <c r="W599">
        <f>HYPERLINK("https://klasma.github.io/Logging_0380/klagomålsmail/A 49015-2022 FSC-klagomål mail.docx", "A 49015-2022")</f>
        <v/>
      </c>
      <c r="X599">
        <f>HYPERLINK("https://klasma.github.io/Logging_0380/tillsyn/A 49015-2022 tillsynsbegäran.docx", "A 49015-2022")</f>
        <v/>
      </c>
      <c r="Y599">
        <f>HYPERLINK("https://klasma.github.io/Logging_0380/tillsynsmail/A 49015-2022 tillsynsbegäran mail.docx", "A 49015-2022")</f>
        <v/>
      </c>
    </row>
    <row r="600" ht="15" customHeight="1">
      <c r="A600" t="inlineStr">
        <is>
          <t>A 48167-2022</t>
        </is>
      </c>
      <c r="B600" s="1" t="n">
        <v>44858</v>
      </c>
      <c r="C600" s="1" t="n">
        <v>45846</v>
      </c>
      <c r="D600" t="inlineStr">
        <is>
          <t>UPPSALA LÄN</t>
        </is>
      </c>
      <c r="E600" t="inlineStr">
        <is>
          <t>HEBY</t>
        </is>
      </c>
      <c r="G600" t="n">
        <v>3.5</v>
      </c>
      <c r="H600" t="n">
        <v>1</v>
      </c>
      <c r="I600" t="n">
        <v>0</v>
      </c>
      <c r="J600" t="n">
        <v>0</v>
      </c>
      <c r="K600" t="n">
        <v>0</v>
      </c>
      <c r="L600" t="n">
        <v>0</v>
      </c>
      <c r="M600" t="n">
        <v>0</v>
      </c>
      <c r="N600" t="n">
        <v>0</v>
      </c>
      <c r="O600" t="n">
        <v>0</v>
      </c>
      <c r="P600" t="n">
        <v>0</v>
      </c>
      <c r="Q600" t="n">
        <v>1</v>
      </c>
      <c r="R600" s="2" t="inlineStr">
        <is>
          <t>Tjäder</t>
        </is>
      </c>
      <c r="S600">
        <f>HYPERLINK("https://klasma.github.io/Logging_0331/artfynd/A 48167-2022 artfynd.xlsx", "A 48167-2022")</f>
        <v/>
      </c>
      <c r="T600">
        <f>HYPERLINK("https://klasma.github.io/Logging_0331/kartor/A 48167-2022 karta.png", "A 48167-2022")</f>
        <v/>
      </c>
      <c r="V600">
        <f>HYPERLINK("https://klasma.github.io/Logging_0331/klagomål/A 48167-2022 FSC-klagomål.docx", "A 48167-2022")</f>
        <v/>
      </c>
      <c r="W600">
        <f>HYPERLINK("https://klasma.github.io/Logging_0331/klagomålsmail/A 48167-2022 FSC-klagomål mail.docx", "A 48167-2022")</f>
        <v/>
      </c>
      <c r="X600">
        <f>HYPERLINK("https://klasma.github.io/Logging_0331/tillsyn/A 48167-2022 tillsynsbegäran.docx", "A 48167-2022")</f>
        <v/>
      </c>
      <c r="Y600">
        <f>HYPERLINK("https://klasma.github.io/Logging_0331/tillsynsmail/A 48167-2022 tillsynsbegäran mail.docx", "A 48167-2022")</f>
        <v/>
      </c>
      <c r="Z600">
        <f>HYPERLINK("https://klasma.github.io/Logging_0331/fåglar/A 48167-2022 prioriterade fågelarter.docx", "A 48167-2022")</f>
        <v/>
      </c>
    </row>
    <row r="601" ht="15" customHeight="1">
      <c r="A601" t="inlineStr">
        <is>
          <t>A 52648-2022</t>
        </is>
      </c>
      <c r="B601" s="1" t="n">
        <v>44874</v>
      </c>
      <c r="C601" s="1" t="n">
        <v>45846</v>
      </c>
      <c r="D601" t="inlineStr">
        <is>
          <t>UPPSALA LÄN</t>
        </is>
      </c>
      <c r="E601" t="inlineStr">
        <is>
          <t>ÖSTHAMMAR</t>
        </is>
      </c>
      <c r="F601" t="inlineStr">
        <is>
          <t>Bergvik skog öst AB</t>
        </is>
      </c>
      <c r="G601" t="n">
        <v>2.3</v>
      </c>
      <c r="H601" t="n">
        <v>1</v>
      </c>
      <c r="I601" t="n">
        <v>0</v>
      </c>
      <c r="J601" t="n">
        <v>1</v>
      </c>
      <c r="K601" t="n">
        <v>0</v>
      </c>
      <c r="L601" t="n">
        <v>0</v>
      </c>
      <c r="M601" t="n">
        <v>0</v>
      </c>
      <c r="N601" t="n">
        <v>0</v>
      </c>
      <c r="O601" t="n">
        <v>1</v>
      </c>
      <c r="P601" t="n">
        <v>0</v>
      </c>
      <c r="Q601" t="n">
        <v>1</v>
      </c>
      <c r="R601" s="2" t="inlineStr">
        <is>
          <t>Buskskvätta</t>
        </is>
      </c>
      <c r="S601">
        <f>HYPERLINK("https://klasma.github.io/Logging_0382/artfynd/A 52648-2022 artfynd.xlsx", "A 52648-2022")</f>
        <v/>
      </c>
      <c r="T601">
        <f>HYPERLINK("https://klasma.github.io/Logging_0382/kartor/A 52648-2022 karta.png", "A 52648-2022")</f>
        <v/>
      </c>
      <c r="V601">
        <f>HYPERLINK("https://klasma.github.io/Logging_0382/klagomål/A 52648-2022 FSC-klagomål.docx", "A 52648-2022")</f>
        <v/>
      </c>
      <c r="W601">
        <f>HYPERLINK("https://klasma.github.io/Logging_0382/klagomålsmail/A 52648-2022 FSC-klagomål mail.docx", "A 52648-2022")</f>
        <v/>
      </c>
      <c r="X601">
        <f>HYPERLINK("https://klasma.github.io/Logging_0382/tillsyn/A 52648-2022 tillsynsbegäran.docx", "A 52648-2022")</f>
        <v/>
      </c>
      <c r="Y601">
        <f>HYPERLINK("https://klasma.github.io/Logging_0382/tillsynsmail/A 52648-2022 tillsynsbegäran mail.docx", "A 52648-2022")</f>
        <v/>
      </c>
      <c r="Z601">
        <f>HYPERLINK("https://klasma.github.io/Logging_0382/fåglar/A 52648-2022 prioriterade fågelarter.docx", "A 52648-2022")</f>
        <v/>
      </c>
    </row>
    <row r="602" ht="15" customHeight="1">
      <c r="A602" t="inlineStr">
        <is>
          <t>A 52651-2022</t>
        </is>
      </c>
      <c r="B602" s="1" t="n">
        <v>44874</v>
      </c>
      <c r="C602" s="1" t="n">
        <v>45846</v>
      </c>
      <c r="D602" t="inlineStr">
        <is>
          <t>UPPSALA LÄN</t>
        </is>
      </c>
      <c r="E602" t="inlineStr">
        <is>
          <t>ÖSTHAMMAR</t>
        </is>
      </c>
      <c r="F602" t="inlineStr">
        <is>
          <t>Bergvik skog öst AB</t>
        </is>
      </c>
      <c r="G602" t="n">
        <v>0.6</v>
      </c>
      <c r="H602" t="n">
        <v>1</v>
      </c>
      <c r="I602" t="n">
        <v>0</v>
      </c>
      <c r="J602" t="n">
        <v>1</v>
      </c>
      <c r="K602" t="n">
        <v>0</v>
      </c>
      <c r="L602" t="n">
        <v>0</v>
      </c>
      <c r="M602" t="n">
        <v>0</v>
      </c>
      <c r="N602" t="n">
        <v>0</v>
      </c>
      <c r="O602" t="n">
        <v>1</v>
      </c>
      <c r="P602" t="n">
        <v>0</v>
      </c>
      <c r="Q602" t="n">
        <v>1</v>
      </c>
      <c r="R602" s="2" t="inlineStr">
        <is>
          <t>Svartvit flugsnappare</t>
        </is>
      </c>
      <c r="S602">
        <f>HYPERLINK("https://klasma.github.io/Logging_0382/artfynd/A 52651-2022 artfynd.xlsx", "A 52651-2022")</f>
        <v/>
      </c>
      <c r="T602">
        <f>HYPERLINK("https://klasma.github.io/Logging_0382/kartor/A 52651-2022 karta.png", "A 52651-2022")</f>
        <v/>
      </c>
      <c r="V602">
        <f>HYPERLINK("https://klasma.github.io/Logging_0382/klagomål/A 52651-2022 FSC-klagomål.docx", "A 52651-2022")</f>
        <v/>
      </c>
      <c r="W602">
        <f>HYPERLINK("https://klasma.github.io/Logging_0382/klagomålsmail/A 52651-2022 FSC-klagomål mail.docx", "A 52651-2022")</f>
        <v/>
      </c>
      <c r="X602">
        <f>HYPERLINK("https://klasma.github.io/Logging_0382/tillsyn/A 52651-2022 tillsynsbegäran.docx", "A 52651-2022")</f>
        <v/>
      </c>
      <c r="Y602">
        <f>HYPERLINK("https://klasma.github.io/Logging_0382/tillsynsmail/A 52651-2022 tillsynsbegäran mail.docx", "A 52651-2022")</f>
        <v/>
      </c>
      <c r="Z602">
        <f>HYPERLINK("https://klasma.github.io/Logging_0382/fåglar/A 52651-2022 prioriterade fågelarter.docx", "A 52651-2022")</f>
        <v/>
      </c>
    </row>
    <row r="603" ht="15" customHeight="1">
      <c r="A603" t="inlineStr">
        <is>
          <t>A 52818-2022</t>
        </is>
      </c>
      <c r="B603" s="1" t="n">
        <v>44875</v>
      </c>
      <c r="C603" s="1" t="n">
        <v>45846</v>
      </c>
      <c r="D603" t="inlineStr">
        <is>
          <t>UPPSALA LÄN</t>
        </is>
      </c>
      <c r="E603" t="inlineStr">
        <is>
          <t>ÖSTHAMMAR</t>
        </is>
      </c>
      <c r="G603" t="n">
        <v>0.9</v>
      </c>
      <c r="H603" t="n">
        <v>1</v>
      </c>
      <c r="I603" t="n">
        <v>1</v>
      </c>
      <c r="J603" t="n">
        <v>0</v>
      </c>
      <c r="K603" t="n">
        <v>0</v>
      </c>
      <c r="L603" t="n">
        <v>0</v>
      </c>
      <c r="M603" t="n">
        <v>0</v>
      </c>
      <c r="N603" t="n">
        <v>0</v>
      </c>
      <c r="O603" t="n">
        <v>0</v>
      </c>
      <c r="P603" t="n">
        <v>0</v>
      </c>
      <c r="Q603" t="n">
        <v>1</v>
      </c>
      <c r="R603" s="2" t="inlineStr">
        <is>
          <t>Guckusko</t>
        </is>
      </c>
      <c r="S603">
        <f>HYPERLINK("https://klasma.github.io/Logging_0382/artfynd/A 52818-2022 artfynd.xlsx", "A 52818-2022")</f>
        <v/>
      </c>
      <c r="T603">
        <f>HYPERLINK("https://klasma.github.io/Logging_0382/kartor/A 52818-2022 karta.png", "A 52818-2022")</f>
        <v/>
      </c>
      <c r="V603">
        <f>HYPERLINK("https://klasma.github.io/Logging_0382/klagomål/A 52818-2022 FSC-klagomål.docx", "A 52818-2022")</f>
        <v/>
      </c>
      <c r="W603">
        <f>HYPERLINK("https://klasma.github.io/Logging_0382/klagomålsmail/A 52818-2022 FSC-klagomål mail.docx", "A 52818-2022")</f>
        <v/>
      </c>
      <c r="X603">
        <f>HYPERLINK("https://klasma.github.io/Logging_0382/tillsyn/A 52818-2022 tillsynsbegäran.docx", "A 52818-2022")</f>
        <v/>
      </c>
      <c r="Y603">
        <f>HYPERLINK("https://klasma.github.io/Logging_0382/tillsynsmail/A 52818-2022 tillsynsbegäran mail.docx", "A 52818-2022")</f>
        <v/>
      </c>
    </row>
    <row r="604" ht="15" customHeight="1">
      <c r="A604" t="inlineStr">
        <is>
          <t>A 56968-2022</t>
        </is>
      </c>
      <c r="B604" s="1" t="n">
        <v>44894</v>
      </c>
      <c r="C604" s="1" t="n">
        <v>45846</v>
      </c>
      <c r="D604" t="inlineStr">
        <is>
          <t>UPPSALA LÄN</t>
        </is>
      </c>
      <c r="E604" t="inlineStr">
        <is>
          <t>TIERP</t>
        </is>
      </c>
      <c r="G604" t="n">
        <v>2.8</v>
      </c>
      <c r="H604" t="n">
        <v>0</v>
      </c>
      <c r="I604" t="n">
        <v>1</v>
      </c>
      <c r="J604" t="n">
        <v>0</v>
      </c>
      <c r="K604" t="n">
        <v>0</v>
      </c>
      <c r="L604" t="n">
        <v>0</v>
      </c>
      <c r="M604" t="n">
        <v>0</v>
      </c>
      <c r="N604" t="n">
        <v>0</v>
      </c>
      <c r="O604" t="n">
        <v>0</v>
      </c>
      <c r="P604" t="n">
        <v>0</v>
      </c>
      <c r="Q604" t="n">
        <v>1</v>
      </c>
      <c r="R604" s="2" t="inlineStr">
        <is>
          <t>Olivspindling</t>
        </is>
      </c>
      <c r="S604">
        <f>HYPERLINK("https://klasma.github.io/Logging_0360/artfynd/A 56968-2022 artfynd.xlsx", "A 56968-2022")</f>
        <v/>
      </c>
      <c r="T604">
        <f>HYPERLINK("https://klasma.github.io/Logging_0360/kartor/A 56968-2022 karta.png", "A 56968-2022")</f>
        <v/>
      </c>
      <c r="V604">
        <f>HYPERLINK("https://klasma.github.io/Logging_0360/klagomål/A 56968-2022 FSC-klagomål.docx", "A 56968-2022")</f>
        <v/>
      </c>
      <c r="W604">
        <f>HYPERLINK("https://klasma.github.io/Logging_0360/klagomålsmail/A 56968-2022 FSC-klagomål mail.docx", "A 56968-2022")</f>
        <v/>
      </c>
      <c r="X604">
        <f>HYPERLINK("https://klasma.github.io/Logging_0360/tillsyn/A 56968-2022 tillsynsbegäran.docx", "A 56968-2022")</f>
        <v/>
      </c>
      <c r="Y604">
        <f>HYPERLINK("https://klasma.github.io/Logging_0360/tillsynsmail/A 56968-2022 tillsynsbegäran mail.docx", "A 56968-2022")</f>
        <v/>
      </c>
    </row>
    <row r="605" ht="15" customHeight="1">
      <c r="A605" t="inlineStr">
        <is>
          <t>A 57793-2022</t>
        </is>
      </c>
      <c r="B605" s="1" t="n">
        <v>44897</v>
      </c>
      <c r="C605" s="1" t="n">
        <v>45846</v>
      </c>
      <c r="D605" t="inlineStr">
        <is>
          <t>UPPSALA LÄN</t>
        </is>
      </c>
      <c r="E605" t="inlineStr">
        <is>
          <t>UPPSALA</t>
        </is>
      </c>
      <c r="G605" t="n">
        <v>2.9</v>
      </c>
      <c r="H605" t="n">
        <v>1</v>
      </c>
      <c r="I605" t="n">
        <v>0</v>
      </c>
      <c r="J605" t="n">
        <v>1</v>
      </c>
      <c r="K605" t="n">
        <v>0</v>
      </c>
      <c r="L605" t="n">
        <v>0</v>
      </c>
      <c r="M605" t="n">
        <v>0</v>
      </c>
      <c r="N605" t="n">
        <v>0</v>
      </c>
      <c r="O605" t="n">
        <v>1</v>
      </c>
      <c r="P605" t="n">
        <v>0</v>
      </c>
      <c r="Q605" t="n">
        <v>1</v>
      </c>
      <c r="R605" s="2" t="inlineStr">
        <is>
          <t>Talltita</t>
        </is>
      </c>
      <c r="S605">
        <f>HYPERLINK("https://klasma.github.io/Logging_0380/artfynd/A 57793-2022 artfynd.xlsx", "A 57793-2022")</f>
        <v/>
      </c>
      <c r="T605">
        <f>HYPERLINK("https://klasma.github.io/Logging_0380/kartor/A 57793-2022 karta.png", "A 57793-2022")</f>
        <v/>
      </c>
      <c r="V605">
        <f>HYPERLINK("https://klasma.github.io/Logging_0380/klagomål/A 57793-2022 FSC-klagomål.docx", "A 57793-2022")</f>
        <v/>
      </c>
      <c r="W605">
        <f>HYPERLINK("https://klasma.github.io/Logging_0380/klagomålsmail/A 57793-2022 FSC-klagomål mail.docx", "A 57793-2022")</f>
        <v/>
      </c>
      <c r="X605">
        <f>HYPERLINK("https://klasma.github.io/Logging_0380/tillsyn/A 57793-2022 tillsynsbegäran.docx", "A 57793-2022")</f>
        <v/>
      </c>
      <c r="Y605">
        <f>HYPERLINK("https://klasma.github.io/Logging_0380/tillsynsmail/A 57793-2022 tillsynsbegäran mail.docx", "A 57793-2022")</f>
        <v/>
      </c>
      <c r="Z605">
        <f>HYPERLINK("https://klasma.github.io/Logging_0380/fåglar/A 57793-2022 prioriterade fågelarter.docx", "A 57793-2022")</f>
        <v/>
      </c>
    </row>
    <row r="606" ht="15" customHeight="1">
      <c r="A606" t="inlineStr">
        <is>
          <t>A 60055-2022</t>
        </is>
      </c>
      <c r="B606" s="1" t="n">
        <v>44909</v>
      </c>
      <c r="C606" s="1" t="n">
        <v>45846</v>
      </c>
      <c r="D606" t="inlineStr">
        <is>
          <t>UPPSALA LÄN</t>
        </is>
      </c>
      <c r="E606" t="inlineStr">
        <is>
          <t>UPPSALA</t>
        </is>
      </c>
      <c r="G606" t="n">
        <v>11.4</v>
      </c>
      <c r="H606" t="n">
        <v>1</v>
      </c>
      <c r="I606" t="n">
        <v>0</v>
      </c>
      <c r="J606" t="n">
        <v>0</v>
      </c>
      <c r="K606" t="n">
        <v>0</v>
      </c>
      <c r="L606" t="n">
        <v>0</v>
      </c>
      <c r="M606" t="n">
        <v>0</v>
      </c>
      <c r="N606" t="n">
        <v>0</v>
      </c>
      <c r="O606" t="n">
        <v>0</v>
      </c>
      <c r="P606" t="n">
        <v>0</v>
      </c>
      <c r="Q606" t="n">
        <v>1</v>
      </c>
      <c r="R606" s="2" t="inlineStr">
        <is>
          <t>Tjäder</t>
        </is>
      </c>
      <c r="S606">
        <f>HYPERLINK("https://klasma.github.io/Logging_0380/artfynd/A 60055-2022 artfynd.xlsx", "A 60055-2022")</f>
        <v/>
      </c>
      <c r="T606">
        <f>HYPERLINK("https://klasma.github.io/Logging_0380/kartor/A 60055-2022 karta.png", "A 60055-2022")</f>
        <v/>
      </c>
      <c r="V606">
        <f>HYPERLINK("https://klasma.github.io/Logging_0380/klagomål/A 60055-2022 FSC-klagomål.docx", "A 60055-2022")</f>
        <v/>
      </c>
      <c r="W606">
        <f>HYPERLINK("https://klasma.github.io/Logging_0380/klagomålsmail/A 60055-2022 FSC-klagomål mail.docx", "A 60055-2022")</f>
        <v/>
      </c>
      <c r="X606">
        <f>HYPERLINK("https://klasma.github.io/Logging_0380/tillsyn/A 60055-2022 tillsynsbegäran.docx", "A 60055-2022")</f>
        <v/>
      </c>
      <c r="Y606">
        <f>HYPERLINK("https://klasma.github.io/Logging_0380/tillsynsmail/A 60055-2022 tillsynsbegäran mail.docx", "A 60055-2022")</f>
        <v/>
      </c>
      <c r="Z606">
        <f>HYPERLINK("https://klasma.github.io/Logging_0380/fåglar/A 60055-2022 prioriterade fågelarter.docx", "A 60055-2022")</f>
        <v/>
      </c>
    </row>
    <row r="607" ht="15" customHeight="1">
      <c r="A607" t="inlineStr">
        <is>
          <t>A 60555-2022</t>
        </is>
      </c>
      <c r="B607" s="1" t="n">
        <v>44911</v>
      </c>
      <c r="C607" s="1" t="n">
        <v>45846</v>
      </c>
      <c r="D607" t="inlineStr">
        <is>
          <t>UPPSALA LÄN</t>
        </is>
      </c>
      <c r="E607" t="inlineStr">
        <is>
          <t>TIERP</t>
        </is>
      </c>
      <c r="F607" t="inlineStr">
        <is>
          <t>Bergvik skog väst AB</t>
        </is>
      </c>
      <c r="G607" t="n">
        <v>4.5</v>
      </c>
      <c r="H607" t="n">
        <v>0</v>
      </c>
      <c r="I607" t="n">
        <v>0</v>
      </c>
      <c r="J607" t="n">
        <v>1</v>
      </c>
      <c r="K607" t="n">
        <v>0</v>
      </c>
      <c r="L607" t="n">
        <v>0</v>
      </c>
      <c r="M607" t="n">
        <v>0</v>
      </c>
      <c r="N607" t="n">
        <v>0</v>
      </c>
      <c r="O607" t="n">
        <v>1</v>
      </c>
      <c r="P607" t="n">
        <v>0</v>
      </c>
      <c r="Q607" t="n">
        <v>1</v>
      </c>
      <c r="R607" s="2" t="inlineStr">
        <is>
          <t>Skogsklocka</t>
        </is>
      </c>
      <c r="S607">
        <f>HYPERLINK("https://klasma.github.io/Logging_0360/artfynd/A 60555-2022 artfynd.xlsx", "A 60555-2022")</f>
        <v/>
      </c>
      <c r="T607">
        <f>HYPERLINK("https://klasma.github.io/Logging_0360/kartor/A 60555-2022 karta.png", "A 60555-2022")</f>
        <v/>
      </c>
      <c r="V607">
        <f>HYPERLINK("https://klasma.github.io/Logging_0360/klagomål/A 60555-2022 FSC-klagomål.docx", "A 60555-2022")</f>
        <v/>
      </c>
      <c r="W607">
        <f>HYPERLINK("https://klasma.github.io/Logging_0360/klagomålsmail/A 60555-2022 FSC-klagomål mail.docx", "A 60555-2022")</f>
        <v/>
      </c>
      <c r="X607">
        <f>HYPERLINK("https://klasma.github.io/Logging_0360/tillsyn/A 60555-2022 tillsynsbegäran.docx", "A 60555-2022")</f>
        <v/>
      </c>
      <c r="Y607">
        <f>HYPERLINK("https://klasma.github.io/Logging_0360/tillsynsmail/A 60555-2022 tillsynsbegäran mail.docx", "A 60555-2022")</f>
        <v/>
      </c>
    </row>
    <row r="608" ht="15" customHeight="1">
      <c r="A608" t="inlineStr">
        <is>
          <t>A 62311-2022</t>
        </is>
      </c>
      <c r="B608" s="1" t="n">
        <v>44916</v>
      </c>
      <c r="C608" s="1" t="n">
        <v>45846</v>
      </c>
      <c r="D608" t="inlineStr">
        <is>
          <t>UPPSALA LÄN</t>
        </is>
      </c>
      <c r="E608" t="inlineStr">
        <is>
          <t>UPPSALA</t>
        </is>
      </c>
      <c r="G608" t="n">
        <v>7.6</v>
      </c>
      <c r="H608" t="n">
        <v>1</v>
      </c>
      <c r="I608" t="n">
        <v>0</v>
      </c>
      <c r="J608" t="n">
        <v>0</v>
      </c>
      <c r="K608" t="n">
        <v>0</v>
      </c>
      <c r="L608" t="n">
        <v>0</v>
      </c>
      <c r="M608" t="n">
        <v>0</v>
      </c>
      <c r="N608" t="n">
        <v>0</v>
      </c>
      <c r="O608" t="n">
        <v>0</v>
      </c>
      <c r="P608" t="n">
        <v>0</v>
      </c>
      <c r="Q608" t="n">
        <v>1</v>
      </c>
      <c r="R608" s="2" t="inlineStr">
        <is>
          <t>Nattviol</t>
        </is>
      </c>
      <c r="S608">
        <f>HYPERLINK("https://klasma.github.io/Logging_0380/artfynd/A 62311-2022 artfynd.xlsx", "A 62311-2022")</f>
        <v/>
      </c>
      <c r="T608">
        <f>HYPERLINK("https://klasma.github.io/Logging_0380/kartor/A 62311-2022 karta.png", "A 62311-2022")</f>
        <v/>
      </c>
      <c r="V608">
        <f>HYPERLINK("https://klasma.github.io/Logging_0380/klagomål/A 62311-2022 FSC-klagomål.docx", "A 62311-2022")</f>
        <v/>
      </c>
      <c r="W608">
        <f>HYPERLINK("https://klasma.github.io/Logging_0380/klagomålsmail/A 62311-2022 FSC-klagomål mail.docx", "A 62311-2022")</f>
        <v/>
      </c>
      <c r="X608">
        <f>HYPERLINK("https://klasma.github.io/Logging_0380/tillsyn/A 62311-2022 tillsynsbegäran.docx", "A 62311-2022")</f>
        <v/>
      </c>
      <c r="Y608">
        <f>HYPERLINK("https://klasma.github.io/Logging_0380/tillsynsmail/A 62311-2022 tillsynsbegäran mail.docx", "A 62311-2022")</f>
        <v/>
      </c>
    </row>
    <row r="609" ht="15" customHeight="1">
      <c r="A609" t="inlineStr">
        <is>
          <t>A 61818-2022</t>
        </is>
      </c>
      <c r="B609" s="1" t="n">
        <v>44917</v>
      </c>
      <c r="C609" s="1" t="n">
        <v>45846</v>
      </c>
      <c r="D609" t="inlineStr">
        <is>
          <t>UPPSALA LÄN</t>
        </is>
      </c>
      <c r="E609" t="inlineStr">
        <is>
          <t>UPPSALA</t>
        </is>
      </c>
      <c r="F609" t="inlineStr">
        <is>
          <t>Holmen skog AB</t>
        </is>
      </c>
      <c r="G609" t="n">
        <v>0.8</v>
      </c>
      <c r="H609" t="n">
        <v>0</v>
      </c>
      <c r="I609" t="n">
        <v>0</v>
      </c>
      <c r="J609" t="n">
        <v>1</v>
      </c>
      <c r="K609" t="n">
        <v>0</v>
      </c>
      <c r="L609" t="n">
        <v>0</v>
      </c>
      <c r="M609" t="n">
        <v>0</v>
      </c>
      <c r="N609" t="n">
        <v>0</v>
      </c>
      <c r="O609" t="n">
        <v>1</v>
      </c>
      <c r="P609" t="n">
        <v>0</v>
      </c>
      <c r="Q609" t="n">
        <v>1</v>
      </c>
      <c r="R609" s="2" t="inlineStr">
        <is>
          <t>Blekticka</t>
        </is>
      </c>
      <c r="S609">
        <f>HYPERLINK("https://klasma.github.io/Logging_0380/artfynd/A 61818-2022 artfynd.xlsx", "A 61818-2022")</f>
        <v/>
      </c>
      <c r="T609">
        <f>HYPERLINK("https://klasma.github.io/Logging_0380/kartor/A 61818-2022 karta.png", "A 61818-2022")</f>
        <v/>
      </c>
      <c r="V609">
        <f>HYPERLINK("https://klasma.github.io/Logging_0380/klagomål/A 61818-2022 FSC-klagomål.docx", "A 61818-2022")</f>
        <v/>
      </c>
      <c r="W609">
        <f>HYPERLINK("https://klasma.github.io/Logging_0380/klagomålsmail/A 61818-2022 FSC-klagomål mail.docx", "A 61818-2022")</f>
        <v/>
      </c>
      <c r="X609">
        <f>HYPERLINK("https://klasma.github.io/Logging_0380/tillsyn/A 61818-2022 tillsynsbegäran.docx", "A 61818-2022")</f>
        <v/>
      </c>
      <c r="Y609">
        <f>HYPERLINK("https://klasma.github.io/Logging_0380/tillsynsmail/A 61818-2022 tillsynsbegäran mail.docx", "A 61818-2022")</f>
        <v/>
      </c>
    </row>
    <row r="610" ht="15" customHeight="1">
      <c r="A610" t="inlineStr">
        <is>
          <t>A 61830-2022</t>
        </is>
      </c>
      <c r="B610" s="1" t="n">
        <v>44917</v>
      </c>
      <c r="C610" s="1" t="n">
        <v>45846</v>
      </c>
      <c r="D610" t="inlineStr">
        <is>
          <t>UPPSALA LÄN</t>
        </is>
      </c>
      <c r="E610" t="inlineStr">
        <is>
          <t>UPPSALA</t>
        </is>
      </c>
      <c r="F610" t="inlineStr">
        <is>
          <t>Holmen skog AB</t>
        </is>
      </c>
      <c r="G610" t="n">
        <v>1.1</v>
      </c>
      <c r="H610" t="n">
        <v>0</v>
      </c>
      <c r="I610" t="n">
        <v>0</v>
      </c>
      <c r="J610" t="n">
        <v>1</v>
      </c>
      <c r="K610" t="n">
        <v>0</v>
      </c>
      <c r="L610" t="n">
        <v>0</v>
      </c>
      <c r="M610" t="n">
        <v>0</v>
      </c>
      <c r="N610" t="n">
        <v>0</v>
      </c>
      <c r="O610" t="n">
        <v>1</v>
      </c>
      <c r="P610" t="n">
        <v>0</v>
      </c>
      <c r="Q610" t="n">
        <v>1</v>
      </c>
      <c r="R610" s="2" t="inlineStr">
        <is>
          <t>Rödbrun blekspik</t>
        </is>
      </c>
      <c r="S610">
        <f>HYPERLINK("https://klasma.github.io/Logging_0380/artfynd/A 61830-2022 artfynd.xlsx", "A 61830-2022")</f>
        <v/>
      </c>
      <c r="T610">
        <f>HYPERLINK("https://klasma.github.io/Logging_0380/kartor/A 61830-2022 karta.png", "A 61830-2022")</f>
        <v/>
      </c>
      <c r="V610">
        <f>HYPERLINK("https://klasma.github.io/Logging_0380/klagomål/A 61830-2022 FSC-klagomål.docx", "A 61830-2022")</f>
        <v/>
      </c>
      <c r="W610">
        <f>HYPERLINK("https://klasma.github.io/Logging_0380/klagomålsmail/A 61830-2022 FSC-klagomål mail.docx", "A 61830-2022")</f>
        <v/>
      </c>
      <c r="X610">
        <f>HYPERLINK("https://klasma.github.io/Logging_0380/tillsyn/A 61830-2022 tillsynsbegäran.docx", "A 61830-2022")</f>
        <v/>
      </c>
      <c r="Y610">
        <f>HYPERLINK("https://klasma.github.io/Logging_0380/tillsynsmail/A 61830-2022 tillsynsbegäran mail.docx", "A 61830-2022")</f>
        <v/>
      </c>
    </row>
    <row r="611" ht="15" customHeight="1">
      <c r="A611" t="inlineStr">
        <is>
          <t>A 1524-2023</t>
        </is>
      </c>
      <c r="B611" s="1" t="n">
        <v>44935</v>
      </c>
      <c r="C611" s="1" t="n">
        <v>45846</v>
      </c>
      <c r="D611" t="inlineStr">
        <is>
          <t>UPPSALA LÄN</t>
        </is>
      </c>
      <c r="E611" t="inlineStr">
        <is>
          <t>ENKÖPING</t>
        </is>
      </c>
      <c r="G611" t="n">
        <v>1.4</v>
      </c>
      <c r="H611" t="n">
        <v>1</v>
      </c>
      <c r="I611" t="n">
        <v>0</v>
      </c>
      <c r="J611" t="n">
        <v>0</v>
      </c>
      <c r="K611" t="n">
        <v>0</v>
      </c>
      <c r="L611" t="n">
        <v>0</v>
      </c>
      <c r="M611" t="n">
        <v>0</v>
      </c>
      <c r="N611" t="n">
        <v>0</v>
      </c>
      <c r="O611" t="n">
        <v>0</v>
      </c>
      <c r="P611" t="n">
        <v>0</v>
      </c>
      <c r="Q611" t="n">
        <v>1</v>
      </c>
      <c r="R611" s="2" t="inlineStr">
        <is>
          <t>Skogsduva</t>
        </is>
      </c>
      <c r="S611">
        <f>HYPERLINK("https://klasma.github.io/Logging_0381/artfynd/A 1524-2023 artfynd.xlsx", "A 1524-2023")</f>
        <v/>
      </c>
      <c r="T611">
        <f>HYPERLINK("https://klasma.github.io/Logging_0381/kartor/A 1524-2023 karta.png", "A 1524-2023")</f>
        <v/>
      </c>
      <c r="V611">
        <f>HYPERLINK("https://klasma.github.io/Logging_0381/klagomål/A 1524-2023 FSC-klagomål.docx", "A 1524-2023")</f>
        <v/>
      </c>
      <c r="W611">
        <f>HYPERLINK("https://klasma.github.io/Logging_0381/klagomålsmail/A 1524-2023 FSC-klagomål mail.docx", "A 1524-2023")</f>
        <v/>
      </c>
      <c r="X611">
        <f>HYPERLINK("https://klasma.github.io/Logging_0381/tillsyn/A 1524-2023 tillsynsbegäran.docx", "A 1524-2023")</f>
        <v/>
      </c>
      <c r="Y611">
        <f>HYPERLINK("https://klasma.github.io/Logging_0381/tillsynsmail/A 1524-2023 tillsynsbegäran mail.docx", "A 1524-2023")</f>
        <v/>
      </c>
      <c r="Z611">
        <f>HYPERLINK("https://klasma.github.io/Logging_0381/fåglar/A 1524-2023 prioriterade fågelarter.docx", "A 1524-2023")</f>
        <v/>
      </c>
    </row>
    <row r="612" ht="15" customHeight="1">
      <c r="A612" t="inlineStr">
        <is>
          <t>A 1390-2023</t>
        </is>
      </c>
      <c r="B612" s="1" t="n">
        <v>44936</v>
      </c>
      <c r="C612" s="1" t="n">
        <v>45846</v>
      </c>
      <c r="D612" t="inlineStr">
        <is>
          <t>UPPSALA LÄN</t>
        </is>
      </c>
      <c r="E612" t="inlineStr">
        <is>
          <t>ÖSTHAMMAR</t>
        </is>
      </c>
      <c r="G612" t="n">
        <v>1.9</v>
      </c>
      <c r="H612" t="n">
        <v>1</v>
      </c>
      <c r="I612" t="n">
        <v>0</v>
      </c>
      <c r="J612" t="n">
        <v>0</v>
      </c>
      <c r="K612" t="n">
        <v>1</v>
      </c>
      <c r="L612" t="n">
        <v>0</v>
      </c>
      <c r="M612" t="n">
        <v>0</v>
      </c>
      <c r="N612" t="n">
        <v>0</v>
      </c>
      <c r="O612" t="n">
        <v>1</v>
      </c>
      <c r="P612" t="n">
        <v>1</v>
      </c>
      <c r="Q612" t="n">
        <v>1</v>
      </c>
      <c r="R612" s="2" t="inlineStr">
        <is>
          <t>Tallbit</t>
        </is>
      </c>
      <c r="S612">
        <f>HYPERLINK("https://klasma.github.io/Logging_0382/artfynd/A 1390-2023 artfynd.xlsx", "A 1390-2023")</f>
        <v/>
      </c>
      <c r="T612">
        <f>HYPERLINK("https://klasma.github.io/Logging_0382/kartor/A 1390-2023 karta.png", "A 1390-2023")</f>
        <v/>
      </c>
      <c r="V612">
        <f>HYPERLINK("https://klasma.github.io/Logging_0382/klagomål/A 1390-2023 FSC-klagomål.docx", "A 1390-2023")</f>
        <v/>
      </c>
      <c r="W612">
        <f>HYPERLINK("https://klasma.github.io/Logging_0382/klagomålsmail/A 1390-2023 FSC-klagomål mail.docx", "A 1390-2023")</f>
        <v/>
      </c>
      <c r="X612">
        <f>HYPERLINK("https://klasma.github.io/Logging_0382/tillsyn/A 1390-2023 tillsynsbegäran.docx", "A 1390-2023")</f>
        <v/>
      </c>
      <c r="Y612">
        <f>HYPERLINK("https://klasma.github.io/Logging_0382/tillsynsmail/A 1390-2023 tillsynsbegäran mail.docx", "A 1390-2023")</f>
        <v/>
      </c>
      <c r="Z612">
        <f>HYPERLINK("https://klasma.github.io/Logging_0382/fåglar/A 1390-2023 prioriterade fågelarter.docx", "A 1390-2023")</f>
        <v/>
      </c>
    </row>
    <row r="613" ht="15" customHeight="1">
      <c r="A613" t="inlineStr">
        <is>
          <t>A 4544-2023</t>
        </is>
      </c>
      <c r="B613" s="1" t="n">
        <v>44956</v>
      </c>
      <c r="C613" s="1" t="n">
        <v>45846</v>
      </c>
      <c r="D613" t="inlineStr">
        <is>
          <t>UPPSALA LÄN</t>
        </is>
      </c>
      <c r="E613" t="inlineStr">
        <is>
          <t>TIERP</t>
        </is>
      </c>
      <c r="F613" t="inlineStr">
        <is>
          <t>Bergvik skog öst AB</t>
        </is>
      </c>
      <c r="G613" t="n">
        <v>11.5</v>
      </c>
      <c r="H613" t="n">
        <v>1</v>
      </c>
      <c r="I613" t="n">
        <v>0</v>
      </c>
      <c r="J613" t="n">
        <v>0</v>
      </c>
      <c r="K613" t="n">
        <v>0</v>
      </c>
      <c r="L613" t="n">
        <v>0</v>
      </c>
      <c r="M613" t="n">
        <v>0</v>
      </c>
      <c r="N613" t="n">
        <v>0</v>
      </c>
      <c r="O613" t="n">
        <v>0</v>
      </c>
      <c r="P613" t="n">
        <v>0</v>
      </c>
      <c r="Q613" t="n">
        <v>1</v>
      </c>
      <c r="R613" s="2" t="inlineStr">
        <is>
          <t>Blåsippa</t>
        </is>
      </c>
      <c r="S613">
        <f>HYPERLINK("https://klasma.github.io/Logging_0360/artfynd/A 4544-2023 artfynd.xlsx", "A 4544-2023")</f>
        <v/>
      </c>
      <c r="T613">
        <f>HYPERLINK("https://klasma.github.io/Logging_0360/kartor/A 4544-2023 karta.png", "A 4544-2023")</f>
        <v/>
      </c>
      <c r="V613">
        <f>HYPERLINK("https://klasma.github.io/Logging_0360/klagomål/A 4544-2023 FSC-klagomål.docx", "A 4544-2023")</f>
        <v/>
      </c>
      <c r="W613">
        <f>HYPERLINK("https://klasma.github.io/Logging_0360/klagomålsmail/A 4544-2023 FSC-klagomål mail.docx", "A 4544-2023")</f>
        <v/>
      </c>
      <c r="X613">
        <f>HYPERLINK("https://klasma.github.io/Logging_0360/tillsyn/A 4544-2023 tillsynsbegäran.docx", "A 4544-2023")</f>
        <v/>
      </c>
      <c r="Y613">
        <f>HYPERLINK("https://klasma.github.io/Logging_0360/tillsynsmail/A 4544-2023 tillsynsbegäran mail.docx", "A 4544-2023")</f>
        <v/>
      </c>
    </row>
    <row r="614" ht="15" customHeight="1">
      <c r="A614" t="inlineStr">
        <is>
          <t>A 5009-2023</t>
        </is>
      </c>
      <c r="B614" s="1" t="n">
        <v>44958</v>
      </c>
      <c r="C614" s="1" t="n">
        <v>45846</v>
      </c>
      <c r="D614" t="inlineStr">
        <is>
          <t>UPPSALA LÄN</t>
        </is>
      </c>
      <c r="E614" t="inlineStr">
        <is>
          <t>UPPSALA</t>
        </is>
      </c>
      <c r="G614" t="n">
        <v>4.7</v>
      </c>
      <c r="H614" t="n">
        <v>1</v>
      </c>
      <c r="I614" t="n">
        <v>0</v>
      </c>
      <c r="J614" t="n">
        <v>0</v>
      </c>
      <c r="K614" t="n">
        <v>0</v>
      </c>
      <c r="L614" t="n">
        <v>0</v>
      </c>
      <c r="M614" t="n">
        <v>0</v>
      </c>
      <c r="N614" t="n">
        <v>0</v>
      </c>
      <c r="O614" t="n">
        <v>0</v>
      </c>
      <c r="P614" t="n">
        <v>0</v>
      </c>
      <c r="Q614" t="n">
        <v>1</v>
      </c>
      <c r="R614" s="2" t="inlineStr">
        <is>
          <t>Blåsippa</t>
        </is>
      </c>
      <c r="S614">
        <f>HYPERLINK("https://klasma.github.io/Logging_0380/artfynd/A 5009-2023 artfynd.xlsx", "A 5009-2023")</f>
        <v/>
      </c>
      <c r="T614">
        <f>HYPERLINK("https://klasma.github.io/Logging_0380/kartor/A 5009-2023 karta.png", "A 5009-2023")</f>
        <v/>
      </c>
      <c r="V614">
        <f>HYPERLINK("https://klasma.github.io/Logging_0380/klagomål/A 5009-2023 FSC-klagomål.docx", "A 5009-2023")</f>
        <v/>
      </c>
      <c r="W614">
        <f>HYPERLINK("https://klasma.github.io/Logging_0380/klagomålsmail/A 5009-2023 FSC-klagomål mail.docx", "A 5009-2023")</f>
        <v/>
      </c>
      <c r="X614">
        <f>HYPERLINK("https://klasma.github.io/Logging_0380/tillsyn/A 5009-2023 tillsynsbegäran.docx", "A 5009-2023")</f>
        <v/>
      </c>
      <c r="Y614">
        <f>HYPERLINK("https://klasma.github.io/Logging_0380/tillsynsmail/A 5009-2023 tillsynsbegäran mail.docx", "A 5009-2023")</f>
        <v/>
      </c>
    </row>
    <row r="615" ht="15" customHeight="1">
      <c r="A615" t="inlineStr">
        <is>
          <t>A 5472-2023</t>
        </is>
      </c>
      <c r="B615" s="1" t="n">
        <v>44960</v>
      </c>
      <c r="C615" s="1" t="n">
        <v>45846</v>
      </c>
      <c r="D615" t="inlineStr">
        <is>
          <t>UPPSALA LÄN</t>
        </is>
      </c>
      <c r="E615" t="inlineStr">
        <is>
          <t>TIERP</t>
        </is>
      </c>
      <c r="F615" t="inlineStr">
        <is>
          <t>Bergvik skog öst AB</t>
        </is>
      </c>
      <c r="G615" t="n">
        <v>7.8</v>
      </c>
      <c r="H615" t="n">
        <v>1</v>
      </c>
      <c r="I615" t="n">
        <v>0</v>
      </c>
      <c r="J615" t="n">
        <v>0</v>
      </c>
      <c r="K615" t="n">
        <v>0</v>
      </c>
      <c r="L615" t="n">
        <v>0</v>
      </c>
      <c r="M615" t="n">
        <v>0</v>
      </c>
      <c r="N615" t="n">
        <v>0</v>
      </c>
      <c r="O615" t="n">
        <v>0</v>
      </c>
      <c r="P615" t="n">
        <v>0</v>
      </c>
      <c r="Q615" t="n">
        <v>1</v>
      </c>
      <c r="R615" s="2" t="inlineStr">
        <is>
          <t>Blåsippa</t>
        </is>
      </c>
      <c r="S615">
        <f>HYPERLINK("https://klasma.github.io/Logging_0360/artfynd/A 5472-2023 artfynd.xlsx", "A 5472-2023")</f>
        <v/>
      </c>
      <c r="T615">
        <f>HYPERLINK("https://klasma.github.io/Logging_0360/kartor/A 5472-2023 karta.png", "A 5472-2023")</f>
        <v/>
      </c>
      <c r="V615">
        <f>HYPERLINK("https://klasma.github.io/Logging_0360/klagomål/A 5472-2023 FSC-klagomål.docx", "A 5472-2023")</f>
        <v/>
      </c>
      <c r="W615">
        <f>HYPERLINK("https://klasma.github.io/Logging_0360/klagomålsmail/A 5472-2023 FSC-klagomål mail.docx", "A 5472-2023")</f>
        <v/>
      </c>
      <c r="X615">
        <f>HYPERLINK("https://klasma.github.io/Logging_0360/tillsyn/A 5472-2023 tillsynsbegäran.docx", "A 5472-2023")</f>
        <v/>
      </c>
      <c r="Y615">
        <f>HYPERLINK("https://klasma.github.io/Logging_0360/tillsynsmail/A 5472-2023 tillsynsbegäran mail.docx", "A 5472-2023")</f>
        <v/>
      </c>
    </row>
    <row r="616" ht="15" customHeight="1">
      <c r="A616" t="inlineStr">
        <is>
          <t>A 5750-2023</t>
        </is>
      </c>
      <c r="B616" s="1" t="n">
        <v>44963</v>
      </c>
      <c r="C616" s="1" t="n">
        <v>45846</v>
      </c>
      <c r="D616" t="inlineStr">
        <is>
          <t>UPPSALA LÄN</t>
        </is>
      </c>
      <c r="E616" t="inlineStr">
        <is>
          <t>UPPSALA</t>
        </is>
      </c>
      <c r="G616" t="n">
        <v>13.8</v>
      </c>
      <c r="H616" t="n">
        <v>0</v>
      </c>
      <c r="I616" t="n">
        <v>0</v>
      </c>
      <c r="J616" t="n">
        <v>0</v>
      </c>
      <c r="K616" t="n">
        <v>1</v>
      </c>
      <c r="L616" t="n">
        <v>0</v>
      </c>
      <c r="M616" t="n">
        <v>0</v>
      </c>
      <c r="N616" t="n">
        <v>0</v>
      </c>
      <c r="O616" t="n">
        <v>1</v>
      </c>
      <c r="P616" t="n">
        <v>1</v>
      </c>
      <c r="Q616" t="n">
        <v>1</v>
      </c>
      <c r="R616" s="2" t="inlineStr">
        <is>
          <t>Raggbock</t>
        </is>
      </c>
      <c r="S616">
        <f>HYPERLINK("https://klasma.github.io/Logging_0380/artfynd/A 5750-2023 artfynd.xlsx", "A 5750-2023")</f>
        <v/>
      </c>
      <c r="T616">
        <f>HYPERLINK("https://klasma.github.io/Logging_0380/kartor/A 5750-2023 karta.png", "A 5750-2023")</f>
        <v/>
      </c>
      <c r="V616">
        <f>HYPERLINK("https://klasma.github.io/Logging_0380/klagomål/A 5750-2023 FSC-klagomål.docx", "A 5750-2023")</f>
        <v/>
      </c>
      <c r="W616">
        <f>HYPERLINK("https://klasma.github.io/Logging_0380/klagomålsmail/A 5750-2023 FSC-klagomål mail.docx", "A 5750-2023")</f>
        <v/>
      </c>
      <c r="X616">
        <f>HYPERLINK("https://klasma.github.io/Logging_0380/tillsyn/A 5750-2023 tillsynsbegäran.docx", "A 5750-2023")</f>
        <v/>
      </c>
      <c r="Y616">
        <f>HYPERLINK("https://klasma.github.io/Logging_0380/tillsynsmail/A 5750-2023 tillsynsbegäran mail.docx", "A 5750-2023")</f>
        <v/>
      </c>
    </row>
    <row r="617" ht="15" customHeight="1">
      <c r="A617" t="inlineStr">
        <is>
          <t>A 6834-2023</t>
        </is>
      </c>
      <c r="B617" s="1" t="n">
        <v>44967</v>
      </c>
      <c r="C617" s="1" t="n">
        <v>45846</v>
      </c>
      <c r="D617" t="inlineStr">
        <is>
          <t>UPPSALA LÄN</t>
        </is>
      </c>
      <c r="E617" t="inlineStr">
        <is>
          <t>ÄLVKARLEBY</t>
        </is>
      </c>
      <c r="F617" t="inlineStr">
        <is>
          <t>Bergvik skog väst AB</t>
        </is>
      </c>
      <c r="G617" t="n">
        <v>8.1</v>
      </c>
      <c r="H617" t="n">
        <v>1</v>
      </c>
      <c r="I617" t="n">
        <v>0</v>
      </c>
      <c r="J617" t="n">
        <v>0</v>
      </c>
      <c r="K617" t="n">
        <v>0</v>
      </c>
      <c r="L617" t="n">
        <v>0</v>
      </c>
      <c r="M617" t="n">
        <v>0</v>
      </c>
      <c r="N617" t="n">
        <v>0</v>
      </c>
      <c r="O617" t="n">
        <v>0</v>
      </c>
      <c r="P617" t="n">
        <v>0</v>
      </c>
      <c r="Q617" t="n">
        <v>1</v>
      </c>
      <c r="R617" s="2" t="inlineStr">
        <is>
          <t>Kopparödla</t>
        </is>
      </c>
      <c r="S617">
        <f>HYPERLINK("https://klasma.github.io/Logging_0319/artfynd/A 6834-2023 artfynd.xlsx", "A 6834-2023")</f>
        <v/>
      </c>
      <c r="T617">
        <f>HYPERLINK("https://klasma.github.io/Logging_0319/kartor/A 6834-2023 karta.png", "A 6834-2023")</f>
        <v/>
      </c>
      <c r="V617">
        <f>HYPERLINK("https://klasma.github.io/Logging_0319/klagomål/A 6834-2023 FSC-klagomål.docx", "A 6834-2023")</f>
        <v/>
      </c>
      <c r="W617">
        <f>HYPERLINK("https://klasma.github.io/Logging_0319/klagomålsmail/A 6834-2023 FSC-klagomål mail.docx", "A 6834-2023")</f>
        <v/>
      </c>
      <c r="X617">
        <f>HYPERLINK("https://klasma.github.io/Logging_0319/tillsyn/A 6834-2023 tillsynsbegäran.docx", "A 6834-2023")</f>
        <v/>
      </c>
      <c r="Y617">
        <f>HYPERLINK("https://klasma.github.io/Logging_0319/tillsynsmail/A 6834-2023 tillsynsbegäran mail.docx", "A 6834-2023")</f>
        <v/>
      </c>
    </row>
    <row r="618" ht="15" customHeight="1">
      <c r="A618" t="inlineStr">
        <is>
          <t>A 9264-2023</t>
        </is>
      </c>
      <c r="B618" s="1" t="n">
        <v>44980</v>
      </c>
      <c r="C618" s="1" t="n">
        <v>45846</v>
      </c>
      <c r="D618" t="inlineStr">
        <is>
          <t>UPPSALA LÄN</t>
        </is>
      </c>
      <c r="E618" t="inlineStr">
        <is>
          <t>ÖSTHAMMAR</t>
        </is>
      </c>
      <c r="F618" t="inlineStr">
        <is>
          <t>Övriga Aktiebolag</t>
        </is>
      </c>
      <c r="G618" t="n">
        <v>2.1</v>
      </c>
      <c r="H618" t="n">
        <v>1</v>
      </c>
      <c r="I618" t="n">
        <v>0</v>
      </c>
      <c r="J618" t="n">
        <v>0</v>
      </c>
      <c r="K618" t="n">
        <v>0</v>
      </c>
      <c r="L618" t="n">
        <v>1</v>
      </c>
      <c r="M618" t="n">
        <v>0</v>
      </c>
      <c r="N618" t="n">
        <v>0</v>
      </c>
      <c r="O618" t="n">
        <v>1</v>
      </c>
      <c r="P618" t="n">
        <v>1</v>
      </c>
      <c r="Q618" t="n">
        <v>1</v>
      </c>
      <c r="R618" s="2" t="inlineStr">
        <is>
          <t>Asknätfjäril</t>
        </is>
      </c>
      <c r="S618">
        <f>HYPERLINK("https://klasma.github.io/Logging_0382/artfynd/A 9264-2023 artfynd.xlsx", "A 9264-2023")</f>
        <v/>
      </c>
      <c r="T618">
        <f>HYPERLINK("https://klasma.github.io/Logging_0382/kartor/A 9264-2023 karta.png", "A 9264-2023")</f>
        <v/>
      </c>
      <c r="V618">
        <f>HYPERLINK("https://klasma.github.io/Logging_0382/klagomål/A 9264-2023 FSC-klagomål.docx", "A 9264-2023")</f>
        <v/>
      </c>
      <c r="W618">
        <f>HYPERLINK("https://klasma.github.io/Logging_0382/klagomålsmail/A 9264-2023 FSC-klagomål mail.docx", "A 9264-2023")</f>
        <v/>
      </c>
      <c r="X618">
        <f>HYPERLINK("https://klasma.github.io/Logging_0382/tillsyn/A 9264-2023 tillsynsbegäran.docx", "A 9264-2023")</f>
        <v/>
      </c>
      <c r="Y618">
        <f>HYPERLINK("https://klasma.github.io/Logging_0382/tillsynsmail/A 9264-2023 tillsynsbegäran mail.docx", "A 9264-2023")</f>
        <v/>
      </c>
    </row>
    <row r="619" ht="15" customHeight="1">
      <c r="A619" t="inlineStr">
        <is>
          <t>A 10034-2023</t>
        </is>
      </c>
      <c r="B619" s="1" t="n">
        <v>44985</v>
      </c>
      <c r="C619" s="1" t="n">
        <v>45846</v>
      </c>
      <c r="D619" t="inlineStr">
        <is>
          <t>UPPSALA LÄN</t>
        </is>
      </c>
      <c r="E619" t="inlineStr">
        <is>
          <t>ÖSTHAMMAR</t>
        </is>
      </c>
      <c r="G619" t="n">
        <v>2.1</v>
      </c>
      <c r="H619" t="n">
        <v>1</v>
      </c>
      <c r="I619" t="n">
        <v>0</v>
      </c>
      <c r="J619" t="n">
        <v>0</v>
      </c>
      <c r="K619" t="n">
        <v>0</v>
      </c>
      <c r="L619" t="n">
        <v>0</v>
      </c>
      <c r="M619" t="n">
        <v>0</v>
      </c>
      <c r="N619" t="n">
        <v>0</v>
      </c>
      <c r="O619" t="n">
        <v>0</v>
      </c>
      <c r="P619" t="n">
        <v>0</v>
      </c>
      <c r="Q619" t="n">
        <v>1</v>
      </c>
      <c r="R619" s="2" t="inlineStr">
        <is>
          <t>Blåsippa</t>
        </is>
      </c>
      <c r="S619">
        <f>HYPERLINK("https://klasma.github.io/Logging_0382/artfynd/A 10034-2023 artfynd.xlsx", "A 10034-2023")</f>
        <v/>
      </c>
      <c r="T619">
        <f>HYPERLINK("https://klasma.github.io/Logging_0382/kartor/A 10034-2023 karta.png", "A 10034-2023")</f>
        <v/>
      </c>
      <c r="V619">
        <f>HYPERLINK("https://klasma.github.io/Logging_0382/klagomål/A 10034-2023 FSC-klagomål.docx", "A 10034-2023")</f>
        <v/>
      </c>
      <c r="W619">
        <f>HYPERLINK("https://klasma.github.io/Logging_0382/klagomålsmail/A 10034-2023 FSC-klagomål mail.docx", "A 10034-2023")</f>
        <v/>
      </c>
      <c r="X619">
        <f>HYPERLINK("https://klasma.github.io/Logging_0382/tillsyn/A 10034-2023 tillsynsbegäran.docx", "A 10034-2023")</f>
        <v/>
      </c>
      <c r="Y619">
        <f>HYPERLINK("https://klasma.github.io/Logging_0382/tillsynsmail/A 10034-2023 tillsynsbegäran mail.docx", "A 10034-2023")</f>
        <v/>
      </c>
    </row>
    <row r="620" ht="15" customHeight="1">
      <c r="A620" t="inlineStr">
        <is>
          <t>A 10973-2023</t>
        </is>
      </c>
      <c r="B620" s="1" t="n">
        <v>44991</v>
      </c>
      <c r="C620" s="1" t="n">
        <v>45846</v>
      </c>
      <c r="D620" t="inlineStr">
        <is>
          <t>UPPSALA LÄN</t>
        </is>
      </c>
      <c r="E620" t="inlineStr">
        <is>
          <t>KNIVSTA</t>
        </is>
      </c>
      <c r="F620" t="inlineStr">
        <is>
          <t>Holmen skog AB</t>
        </is>
      </c>
      <c r="G620" t="n">
        <v>3.2</v>
      </c>
      <c r="H620" t="n">
        <v>1</v>
      </c>
      <c r="I620" t="n">
        <v>0</v>
      </c>
      <c r="J620" t="n">
        <v>0</v>
      </c>
      <c r="K620" t="n">
        <v>0</v>
      </c>
      <c r="L620" t="n">
        <v>0</v>
      </c>
      <c r="M620" t="n">
        <v>0</v>
      </c>
      <c r="N620" t="n">
        <v>0</v>
      </c>
      <c r="O620" t="n">
        <v>0</v>
      </c>
      <c r="P620" t="n">
        <v>0</v>
      </c>
      <c r="Q620" t="n">
        <v>1</v>
      </c>
      <c r="R620" s="2" t="inlineStr">
        <is>
          <t>Blåsippa</t>
        </is>
      </c>
      <c r="S620">
        <f>HYPERLINK("https://klasma.github.io/Logging_0330/artfynd/A 10973-2023 artfynd.xlsx", "A 10973-2023")</f>
        <v/>
      </c>
      <c r="T620">
        <f>HYPERLINK("https://klasma.github.io/Logging_0330/kartor/A 10973-2023 karta.png", "A 10973-2023")</f>
        <v/>
      </c>
      <c r="V620">
        <f>HYPERLINK("https://klasma.github.io/Logging_0330/klagomål/A 10973-2023 FSC-klagomål.docx", "A 10973-2023")</f>
        <v/>
      </c>
      <c r="W620">
        <f>HYPERLINK("https://klasma.github.io/Logging_0330/klagomålsmail/A 10973-2023 FSC-klagomål mail.docx", "A 10973-2023")</f>
        <v/>
      </c>
      <c r="X620">
        <f>HYPERLINK("https://klasma.github.io/Logging_0330/tillsyn/A 10973-2023 tillsynsbegäran.docx", "A 10973-2023")</f>
        <v/>
      </c>
      <c r="Y620">
        <f>HYPERLINK("https://klasma.github.io/Logging_0330/tillsynsmail/A 10973-2023 tillsynsbegäran mail.docx", "A 10973-2023")</f>
        <v/>
      </c>
    </row>
    <row r="621" ht="15" customHeight="1">
      <c r="A621" t="inlineStr">
        <is>
          <t>A 11017-2023</t>
        </is>
      </c>
      <c r="B621" s="1" t="n">
        <v>44991</v>
      </c>
      <c r="C621" s="1" t="n">
        <v>45846</v>
      </c>
      <c r="D621" t="inlineStr">
        <is>
          <t>UPPSALA LÄN</t>
        </is>
      </c>
      <c r="E621" t="inlineStr">
        <is>
          <t>ÖSTHAMMAR</t>
        </is>
      </c>
      <c r="G621" t="n">
        <v>1.9</v>
      </c>
      <c r="H621" t="n">
        <v>1</v>
      </c>
      <c r="I621" t="n">
        <v>0</v>
      </c>
      <c r="J621" t="n">
        <v>1</v>
      </c>
      <c r="K621" t="n">
        <v>0</v>
      </c>
      <c r="L621" t="n">
        <v>0</v>
      </c>
      <c r="M621" t="n">
        <v>0</v>
      </c>
      <c r="N621" t="n">
        <v>0</v>
      </c>
      <c r="O621" t="n">
        <v>1</v>
      </c>
      <c r="P621" t="n">
        <v>0</v>
      </c>
      <c r="Q621" t="n">
        <v>1</v>
      </c>
      <c r="R621" s="2" t="inlineStr">
        <is>
          <t>Kornknarr</t>
        </is>
      </c>
      <c r="S621">
        <f>HYPERLINK("https://klasma.github.io/Logging_0382/artfynd/A 11017-2023 artfynd.xlsx", "A 11017-2023")</f>
        <v/>
      </c>
      <c r="T621">
        <f>HYPERLINK("https://klasma.github.io/Logging_0382/kartor/A 11017-2023 karta.png", "A 11017-2023")</f>
        <v/>
      </c>
      <c r="V621">
        <f>HYPERLINK("https://klasma.github.io/Logging_0382/klagomål/A 11017-2023 FSC-klagomål.docx", "A 11017-2023")</f>
        <v/>
      </c>
      <c r="W621">
        <f>HYPERLINK("https://klasma.github.io/Logging_0382/klagomålsmail/A 11017-2023 FSC-klagomål mail.docx", "A 11017-2023")</f>
        <v/>
      </c>
      <c r="X621">
        <f>HYPERLINK("https://klasma.github.io/Logging_0382/tillsyn/A 11017-2023 tillsynsbegäran.docx", "A 11017-2023")</f>
        <v/>
      </c>
      <c r="Y621">
        <f>HYPERLINK("https://klasma.github.io/Logging_0382/tillsynsmail/A 11017-2023 tillsynsbegäran mail.docx", "A 11017-2023")</f>
        <v/>
      </c>
    </row>
    <row r="622" ht="15" customHeight="1">
      <c r="A622" t="inlineStr">
        <is>
          <t>A 12415-2023</t>
        </is>
      </c>
      <c r="B622" s="1" t="n">
        <v>44999</v>
      </c>
      <c r="C622" s="1" t="n">
        <v>45846</v>
      </c>
      <c r="D622" t="inlineStr">
        <is>
          <t>UPPSALA LÄN</t>
        </is>
      </c>
      <c r="E622" t="inlineStr">
        <is>
          <t>ÄLVKARLEBY</t>
        </is>
      </c>
      <c r="F622" t="inlineStr">
        <is>
          <t>Bergvik skog väst AB</t>
        </is>
      </c>
      <c r="G622" t="n">
        <v>7.2</v>
      </c>
      <c r="H622" t="n">
        <v>0</v>
      </c>
      <c r="I622" t="n">
        <v>1</v>
      </c>
      <c r="J622" t="n">
        <v>0</v>
      </c>
      <c r="K622" t="n">
        <v>0</v>
      </c>
      <c r="L622" t="n">
        <v>0</v>
      </c>
      <c r="M622" t="n">
        <v>0</v>
      </c>
      <c r="N622" t="n">
        <v>0</v>
      </c>
      <c r="O622" t="n">
        <v>0</v>
      </c>
      <c r="P622" t="n">
        <v>0</v>
      </c>
      <c r="Q622" t="n">
        <v>1</v>
      </c>
      <c r="R622" s="2" t="inlineStr">
        <is>
          <t>Sårläka</t>
        </is>
      </c>
      <c r="S622">
        <f>HYPERLINK("https://klasma.github.io/Logging_0319/artfynd/A 12415-2023 artfynd.xlsx", "A 12415-2023")</f>
        <v/>
      </c>
      <c r="T622">
        <f>HYPERLINK("https://klasma.github.io/Logging_0319/kartor/A 12415-2023 karta.png", "A 12415-2023")</f>
        <v/>
      </c>
      <c r="V622">
        <f>HYPERLINK("https://klasma.github.io/Logging_0319/klagomål/A 12415-2023 FSC-klagomål.docx", "A 12415-2023")</f>
        <v/>
      </c>
      <c r="W622">
        <f>HYPERLINK("https://klasma.github.io/Logging_0319/klagomålsmail/A 12415-2023 FSC-klagomål mail.docx", "A 12415-2023")</f>
        <v/>
      </c>
      <c r="X622">
        <f>HYPERLINK("https://klasma.github.io/Logging_0319/tillsyn/A 12415-2023 tillsynsbegäran.docx", "A 12415-2023")</f>
        <v/>
      </c>
      <c r="Y622">
        <f>HYPERLINK("https://klasma.github.io/Logging_0319/tillsynsmail/A 12415-2023 tillsynsbegäran mail.docx", "A 12415-2023")</f>
        <v/>
      </c>
    </row>
    <row r="623" ht="15" customHeight="1">
      <c r="A623" t="inlineStr">
        <is>
          <t>A 13154-2023</t>
        </is>
      </c>
      <c r="B623" s="1" t="n">
        <v>45002</v>
      </c>
      <c r="C623" s="1" t="n">
        <v>45846</v>
      </c>
      <c r="D623" t="inlineStr">
        <is>
          <t>UPPSALA LÄN</t>
        </is>
      </c>
      <c r="E623" t="inlineStr">
        <is>
          <t>UPPSALA</t>
        </is>
      </c>
      <c r="F623" t="inlineStr">
        <is>
          <t>Holmen skog AB</t>
        </is>
      </c>
      <c r="G623" t="n">
        <v>2.6</v>
      </c>
      <c r="H623" t="n">
        <v>0</v>
      </c>
      <c r="I623" t="n">
        <v>1</v>
      </c>
      <c r="J623" t="n">
        <v>0</v>
      </c>
      <c r="K623" t="n">
        <v>0</v>
      </c>
      <c r="L623" t="n">
        <v>0</v>
      </c>
      <c r="M623" t="n">
        <v>0</v>
      </c>
      <c r="N623" t="n">
        <v>0</v>
      </c>
      <c r="O623" t="n">
        <v>0</v>
      </c>
      <c r="P623" t="n">
        <v>0</v>
      </c>
      <c r="Q623" t="n">
        <v>1</v>
      </c>
      <c r="R623" s="2" t="inlineStr">
        <is>
          <t>Korallblylav</t>
        </is>
      </c>
      <c r="S623">
        <f>HYPERLINK("https://klasma.github.io/Logging_0380/artfynd/A 13154-2023 artfynd.xlsx", "A 13154-2023")</f>
        <v/>
      </c>
      <c r="T623">
        <f>HYPERLINK("https://klasma.github.io/Logging_0380/kartor/A 13154-2023 karta.png", "A 13154-2023")</f>
        <v/>
      </c>
      <c r="V623">
        <f>HYPERLINK("https://klasma.github.io/Logging_0380/klagomål/A 13154-2023 FSC-klagomål.docx", "A 13154-2023")</f>
        <v/>
      </c>
      <c r="W623">
        <f>HYPERLINK("https://klasma.github.io/Logging_0380/klagomålsmail/A 13154-2023 FSC-klagomål mail.docx", "A 13154-2023")</f>
        <v/>
      </c>
      <c r="X623">
        <f>HYPERLINK("https://klasma.github.io/Logging_0380/tillsyn/A 13154-2023 tillsynsbegäran.docx", "A 13154-2023")</f>
        <v/>
      </c>
      <c r="Y623">
        <f>HYPERLINK("https://klasma.github.io/Logging_0380/tillsynsmail/A 13154-2023 tillsynsbegäran mail.docx", "A 13154-2023")</f>
        <v/>
      </c>
    </row>
    <row r="624" ht="15" customHeight="1">
      <c r="A624" t="inlineStr">
        <is>
          <t>A 13433-2023</t>
        </is>
      </c>
      <c r="B624" s="1" t="n">
        <v>45005</v>
      </c>
      <c r="C624" s="1" t="n">
        <v>45846</v>
      </c>
      <c r="D624" t="inlineStr">
        <is>
          <t>UPPSALA LÄN</t>
        </is>
      </c>
      <c r="E624" t="inlineStr">
        <is>
          <t>TIERP</t>
        </is>
      </c>
      <c r="F624" t="inlineStr">
        <is>
          <t>Bergvik skog väst AB</t>
        </is>
      </c>
      <c r="G624" t="n">
        <v>2.6</v>
      </c>
      <c r="H624" t="n">
        <v>1</v>
      </c>
      <c r="I624" t="n">
        <v>1</v>
      </c>
      <c r="J624" t="n">
        <v>0</v>
      </c>
      <c r="K624" t="n">
        <v>0</v>
      </c>
      <c r="L624" t="n">
        <v>0</v>
      </c>
      <c r="M624" t="n">
        <v>0</v>
      </c>
      <c r="N624" t="n">
        <v>0</v>
      </c>
      <c r="O624" t="n">
        <v>0</v>
      </c>
      <c r="P624" t="n">
        <v>0</v>
      </c>
      <c r="Q624" t="n">
        <v>1</v>
      </c>
      <c r="R624" s="2" t="inlineStr">
        <is>
          <t>Skogsknipprot</t>
        </is>
      </c>
      <c r="S624">
        <f>HYPERLINK("https://klasma.github.io/Logging_0360/artfynd/A 13433-2023 artfynd.xlsx", "A 13433-2023")</f>
        <v/>
      </c>
      <c r="T624">
        <f>HYPERLINK("https://klasma.github.io/Logging_0360/kartor/A 13433-2023 karta.png", "A 13433-2023")</f>
        <v/>
      </c>
      <c r="V624">
        <f>HYPERLINK("https://klasma.github.io/Logging_0360/klagomål/A 13433-2023 FSC-klagomål.docx", "A 13433-2023")</f>
        <v/>
      </c>
      <c r="W624">
        <f>HYPERLINK("https://klasma.github.io/Logging_0360/klagomålsmail/A 13433-2023 FSC-klagomål mail.docx", "A 13433-2023")</f>
        <v/>
      </c>
      <c r="X624">
        <f>HYPERLINK("https://klasma.github.io/Logging_0360/tillsyn/A 13433-2023 tillsynsbegäran.docx", "A 13433-2023")</f>
        <v/>
      </c>
      <c r="Y624">
        <f>HYPERLINK("https://klasma.github.io/Logging_0360/tillsynsmail/A 13433-2023 tillsynsbegäran mail.docx", "A 13433-2023")</f>
        <v/>
      </c>
    </row>
    <row r="625" ht="15" customHeight="1">
      <c r="A625" t="inlineStr">
        <is>
          <t>A 14706-2023</t>
        </is>
      </c>
      <c r="B625" s="1" t="n">
        <v>45013</v>
      </c>
      <c r="C625" s="1" t="n">
        <v>45846</v>
      </c>
      <c r="D625" t="inlineStr">
        <is>
          <t>UPPSALA LÄN</t>
        </is>
      </c>
      <c r="E625" t="inlineStr">
        <is>
          <t>ÖSTHAMMAR</t>
        </is>
      </c>
      <c r="G625" t="n">
        <v>0.9</v>
      </c>
      <c r="H625" t="n">
        <v>0</v>
      </c>
      <c r="I625" t="n">
        <v>1</v>
      </c>
      <c r="J625" t="n">
        <v>0</v>
      </c>
      <c r="K625" t="n">
        <v>0</v>
      </c>
      <c r="L625" t="n">
        <v>0</v>
      </c>
      <c r="M625" t="n">
        <v>0</v>
      </c>
      <c r="N625" t="n">
        <v>0</v>
      </c>
      <c r="O625" t="n">
        <v>0</v>
      </c>
      <c r="P625" t="n">
        <v>0</v>
      </c>
      <c r="Q625" t="n">
        <v>1</v>
      </c>
      <c r="R625" s="2" t="inlineStr">
        <is>
          <t>Olivspindling</t>
        </is>
      </c>
      <c r="S625">
        <f>HYPERLINK("https://klasma.github.io/Logging_0382/artfynd/A 14706-2023 artfynd.xlsx", "A 14706-2023")</f>
        <v/>
      </c>
      <c r="T625">
        <f>HYPERLINK("https://klasma.github.io/Logging_0382/kartor/A 14706-2023 karta.png", "A 14706-2023")</f>
        <v/>
      </c>
      <c r="V625">
        <f>HYPERLINK("https://klasma.github.io/Logging_0382/klagomål/A 14706-2023 FSC-klagomål.docx", "A 14706-2023")</f>
        <v/>
      </c>
      <c r="W625">
        <f>HYPERLINK("https://klasma.github.io/Logging_0382/klagomålsmail/A 14706-2023 FSC-klagomål mail.docx", "A 14706-2023")</f>
        <v/>
      </c>
      <c r="X625">
        <f>HYPERLINK("https://klasma.github.io/Logging_0382/tillsyn/A 14706-2023 tillsynsbegäran.docx", "A 14706-2023")</f>
        <v/>
      </c>
      <c r="Y625">
        <f>HYPERLINK("https://klasma.github.io/Logging_0382/tillsynsmail/A 14706-2023 tillsynsbegäran mail.docx", "A 14706-2023")</f>
        <v/>
      </c>
    </row>
    <row r="626" ht="15" customHeight="1">
      <c r="A626" t="inlineStr">
        <is>
          <t>A 15610-2023</t>
        </is>
      </c>
      <c r="B626" s="1" t="n">
        <v>45020</v>
      </c>
      <c r="C626" s="1" t="n">
        <v>45846</v>
      </c>
      <c r="D626" t="inlineStr">
        <is>
          <t>UPPSALA LÄN</t>
        </is>
      </c>
      <c r="E626" t="inlineStr">
        <is>
          <t>HEBY</t>
        </is>
      </c>
      <c r="G626" t="n">
        <v>4.5</v>
      </c>
      <c r="H626" t="n">
        <v>1</v>
      </c>
      <c r="I626" t="n">
        <v>0</v>
      </c>
      <c r="J626" t="n">
        <v>0</v>
      </c>
      <c r="K626" t="n">
        <v>1</v>
      </c>
      <c r="L626" t="n">
        <v>0</v>
      </c>
      <c r="M626" t="n">
        <v>0</v>
      </c>
      <c r="N626" t="n">
        <v>0</v>
      </c>
      <c r="O626" t="n">
        <v>1</v>
      </c>
      <c r="P626" t="n">
        <v>1</v>
      </c>
      <c r="Q626" t="n">
        <v>1</v>
      </c>
      <c r="R626" s="2" t="inlineStr">
        <is>
          <t>Knärot</t>
        </is>
      </c>
      <c r="S626">
        <f>HYPERLINK("https://klasma.github.io/Logging_0331/artfynd/A 15610-2023 artfynd.xlsx", "A 15610-2023")</f>
        <v/>
      </c>
      <c r="T626">
        <f>HYPERLINK("https://klasma.github.io/Logging_0331/kartor/A 15610-2023 karta.png", "A 15610-2023")</f>
        <v/>
      </c>
      <c r="U626">
        <f>HYPERLINK("https://klasma.github.io/Logging_0331/knärot/A 15610-2023 karta knärot.png", "A 15610-2023")</f>
        <v/>
      </c>
      <c r="V626">
        <f>HYPERLINK("https://klasma.github.io/Logging_0331/klagomål/A 15610-2023 FSC-klagomål.docx", "A 15610-2023")</f>
        <v/>
      </c>
      <c r="W626">
        <f>HYPERLINK("https://klasma.github.io/Logging_0331/klagomålsmail/A 15610-2023 FSC-klagomål mail.docx", "A 15610-2023")</f>
        <v/>
      </c>
      <c r="X626">
        <f>HYPERLINK("https://klasma.github.io/Logging_0331/tillsyn/A 15610-2023 tillsynsbegäran.docx", "A 15610-2023")</f>
        <v/>
      </c>
      <c r="Y626">
        <f>HYPERLINK("https://klasma.github.io/Logging_0331/tillsynsmail/A 15610-2023 tillsynsbegäran mail.docx", "A 15610-2023")</f>
        <v/>
      </c>
    </row>
    <row r="627" ht="15" customHeight="1">
      <c r="A627" t="inlineStr">
        <is>
          <t>A 15628-2023</t>
        </is>
      </c>
      <c r="B627" s="1" t="n">
        <v>45021</v>
      </c>
      <c r="C627" s="1" t="n">
        <v>45846</v>
      </c>
      <c r="D627" t="inlineStr">
        <is>
          <t>UPPSALA LÄN</t>
        </is>
      </c>
      <c r="E627" t="inlineStr">
        <is>
          <t>ÖSTHAMMAR</t>
        </is>
      </c>
      <c r="F627" t="inlineStr">
        <is>
          <t>Övriga Aktiebolag</t>
        </is>
      </c>
      <c r="G627" t="n">
        <v>14.8</v>
      </c>
      <c r="H627" t="n">
        <v>1</v>
      </c>
      <c r="I627" t="n">
        <v>0</v>
      </c>
      <c r="J627" t="n">
        <v>0</v>
      </c>
      <c r="K627" t="n">
        <v>1</v>
      </c>
      <c r="L627" t="n">
        <v>0</v>
      </c>
      <c r="M627" t="n">
        <v>0</v>
      </c>
      <c r="N627" t="n">
        <v>0</v>
      </c>
      <c r="O627" t="n">
        <v>1</v>
      </c>
      <c r="P627" t="n">
        <v>1</v>
      </c>
      <c r="Q627" t="n">
        <v>1</v>
      </c>
      <c r="R627" s="2" t="inlineStr">
        <is>
          <t>Knärot</t>
        </is>
      </c>
      <c r="S627">
        <f>HYPERLINK("https://klasma.github.io/Logging_0382/artfynd/A 15628-2023 artfynd.xlsx", "A 15628-2023")</f>
        <v/>
      </c>
      <c r="T627">
        <f>HYPERLINK("https://klasma.github.io/Logging_0382/kartor/A 15628-2023 karta.png", "A 15628-2023")</f>
        <v/>
      </c>
      <c r="U627">
        <f>HYPERLINK("https://klasma.github.io/Logging_0382/knärot/A 15628-2023 karta knärot.png", "A 15628-2023")</f>
        <v/>
      </c>
      <c r="V627">
        <f>HYPERLINK("https://klasma.github.io/Logging_0382/klagomål/A 15628-2023 FSC-klagomål.docx", "A 15628-2023")</f>
        <v/>
      </c>
      <c r="W627">
        <f>HYPERLINK("https://klasma.github.io/Logging_0382/klagomålsmail/A 15628-2023 FSC-klagomål mail.docx", "A 15628-2023")</f>
        <v/>
      </c>
      <c r="X627">
        <f>HYPERLINK("https://klasma.github.io/Logging_0382/tillsyn/A 15628-2023 tillsynsbegäran.docx", "A 15628-2023")</f>
        <v/>
      </c>
      <c r="Y627">
        <f>HYPERLINK("https://klasma.github.io/Logging_0382/tillsynsmail/A 15628-2023 tillsynsbegäran mail.docx", "A 15628-2023")</f>
        <v/>
      </c>
    </row>
    <row r="628" ht="15" customHeight="1">
      <c r="A628" t="inlineStr">
        <is>
          <t>A 15722-2023</t>
        </is>
      </c>
      <c r="B628" s="1" t="n">
        <v>45021</v>
      </c>
      <c r="C628" s="1" t="n">
        <v>45846</v>
      </c>
      <c r="D628" t="inlineStr">
        <is>
          <t>UPPSALA LÄN</t>
        </is>
      </c>
      <c r="E628" t="inlineStr">
        <is>
          <t>UPPSALA</t>
        </is>
      </c>
      <c r="G628" t="n">
        <v>15.2</v>
      </c>
      <c r="H628" t="n">
        <v>0</v>
      </c>
      <c r="I628" t="n">
        <v>1</v>
      </c>
      <c r="J628" t="n">
        <v>0</v>
      </c>
      <c r="K628" t="n">
        <v>0</v>
      </c>
      <c r="L628" t="n">
        <v>0</v>
      </c>
      <c r="M628" t="n">
        <v>0</v>
      </c>
      <c r="N628" t="n">
        <v>0</v>
      </c>
      <c r="O628" t="n">
        <v>0</v>
      </c>
      <c r="P628" t="n">
        <v>0</v>
      </c>
      <c r="Q628" t="n">
        <v>1</v>
      </c>
      <c r="R628" s="2" t="inlineStr">
        <is>
          <t>Tibast</t>
        </is>
      </c>
      <c r="S628">
        <f>HYPERLINK("https://klasma.github.io/Logging_0380/artfynd/A 15722-2023 artfynd.xlsx", "A 15722-2023")</f>
        <v/>
      </c>
      <c r="T628">
        <f>HYPERLINK("https://klasma.github.io/Logging_0380/kartor/A 15722-2023 karta.png", "A 15722-2023")</f>
        <v/>
      </c>
      <c r="V628">
        <f>HYPERLINK("https://klasma.github.io/Logging_0380/klagomål/A 15722-2023 FSC-klagomål.docx", "A 15722-2023")</f>
        <v/>
      </c>
      <c r="W628">
        <f>HYPERLINK("https://klasma.github.io/Logging_0380/klagomålsmail/A 15722-2023 FSC-klagomål mail.docx", "A 15722-2023")</f>
        <v/>
      </c>
      <c r="X628">
        <f>HYPERLINK("https://klasma.github.io/Logging_0380/tillsyn/A 15722-2023 tillsynsbegäran.docx", "A 15722-2023")</f>
        <v/>
      </c>
      <c r="Y628">
        <f>HYPERLINK("https://klasma.github.io/Logging_0380/tillsynsmail/A 15722-2023 tillsynsbegäran mail.docx", "A 15722-2023")</f>
        <v/>
      </c>
    </row>
    <row r="629" ht="15" customHeight="1">
      <c r="A629" t="inlineStr">
        <is>
          <t>A 15919-2023</t>
        </is>
      </c>
      <c r="B629" s="1" t="n">
        <v>45022</v>
      </c>
      <c r="C629" s="1" t="n">
        <v>45846</v>
      </c>
      <c r="D629" t="inlineStr">
        <is>
          <t>UPPSALA LÄN</t>
        </is>
      </c>
      <c r="E629" t="inlineStr">
        <is>
          <t>UPPSALA</t>
        </is>
      </c>
      <c r="F629" t="inlineStr">
        <is>
          <t>Holmen skog AB</t>
        </is>
      </c>
      <c r="G629" t="n">
        <v>10</v>
      </c>
      <c r="H629" t="n">
        <v>1</v>
      </c>
      <c r="I629" t="n">
        <v>0</v>
      </c>
      <c r="J629" t="n">
        <v>0</v>
      </c>
      <c r="K629" t="n">
        <v>0</v>
      </c>
      <c r="L629" t="n">
        <v>0</v>
      </c>
      <c r="M629" t="n">
        <v>0</v>
      </c>
      <c r="N629" t="n">
        <v>0</v>
      </c>
      <c r="O629" t="n">
        <v>0</v>
      </c>
      <c r="P629" t="n">
        <v>0</v>
      </c>
      <c r="Q629" t="n">
        <v>1</v>
      </c>
      <c r="R629" s="2" t="inlineStr">
        <is>
          <t>Blåsippa</t>
        </is>
      </c>
      <c r="S629">
        <f>HYPERLINK("https://klasma.github.io/Logging_0380/artfynd/A 15919-2023 artfynd.xlsx", "A 15919-2023")</f>
        <v/>
      </c>
      <c r="T629">
        <f>HYPERLINK("https://klasma.github.io/Logging_0380/kartor/A 15919-2023 karta.png", "A 15919-2023")</f>
        <v/>
      </c>
      <c r="V629">
        <f>HYPERLINK("https://klasma.github.io/Logging_0380/klagomål/A 15919-2023 FSC-klagomål.docx", "A 15919-2023")</f>
        <v/>
      </c>
      <c r="W629">
        <f>HYPERLINK("https://klasma.github.io/Logging_0380/klagomålsmail/A 15919-2023 FSC-klagomål mail.docx", "A 15919-2023")</f>
        <v/>
      </c>
      <c r="X629">
        <f>HYPERLINK("https://klasma.github.io/Logging_0380/tillsyn/A 15919-2023 tillsynsbegäran.docx", "A 15919-2023")</f>
        <v/>
      </c>
      <c r="Y629">
        <f>HYPERLINK("https://klasma.github.io/Logging_0380/tillsynsmail/A 15919-2023 tillsynsbegäran mail.docx", "A 15919-2023")</f>
        <v/>
      </c>
    </row>
    <row r="630" ht="15" customHeight="1">
      <c r="A630" t="inlineStr">
        <is>
          <t>A 15918-2023</t>
        </is>
      </c>
      <c r="B630" s="1" t="n">
        <v>45022</v>
      </c>
      <c r="C630" s="1" t="n">
        <v>45846</v>
      </c>
      <c r="D630" t="inlineStr">
        <is>
          <t>UPPSALA LÄN</t>
        </is>
      </c>
      <c r="E630" t="inlineStr">
        <is>
          <t>UPPSALA</t>
        </is>
      </c>
      <c r="F630" t="inlineStr">
        <is>
          <t>Holmen skog AB</t>
        </is>
      </c>
      <c r="G630" t="n">
        <v>3.2</v>
      </c>
      <c r="H630" t="n">
        <v>1</v>
      </c>
      <c r="I630" t="n">
        <v>0</v>
      </c>
      <c r="J630" t="n">
        <v>0</v>
      </c>
      <c r="K630" t="n">
        <v>0</v>
      </c>
      <c r="L630" t="n">
        <v>0</v>
      </c>
      <c r="M630" t="n">
        <v>0</v>
      </c>
      <c r="N630" t="n">
        <v>0</v>
      </c>
      <c r="O630" t="n">
        <v>0</v>
      </c>
      <c r="P630" t="n">
        <v>0</v>
      </c>
      <c r="Q630" t="n">
        <v>1</v>
      </c>
      <c r="R630" s="2" t="inlineStr">
        <is>
          <t>Blåsippa</t>
        </is>
      </c>
      <c r="S630">
        <f>HYPERLINK("https://klasma.github.io/Logging_0380/artfynd/A 15918-2023 artfynd.xlsx", "A 15918-2023")</f>
        <v/>
      </c>
      <c r="T630">
        <f>HYPERLINK("https://klasma.github.io/Logging_0380/kartor/A 15918-2023 karta.png", "A 15918-2023")</f>
        <v/>
      </c>
      <c r="V630">
        <f>HYPERLINK("https://klasma.github.io/Logging_0380/klagomål/A 15918-2023 FSC-klagomål.docx", "A 15918-2023")</f>
        <v/>
      </c>
      <c r="W630">
        <f>HYPERLINK("https://klasma.github.io/Logging_0380/klagomålsmail/A 15918-2023 FSC-klagomål mail.docx", "A 15918-2023")</f>
        <v/>
      </c>
      <c r="X630">
        <f>HYPERLINK("https://klasma.github.io/Logging_0380/tillsyn/A 15918-2023 tillsynsbegäran.docx", "A 15918-2023")</f>
        <v/>
      </c>
      <c r="Y630">
        <f>HYPERLINK("https://klasma.github.io/Logging_0380/tillsynsmail/A 15918-2023 tillsynsbegäran mail.docx", "A 15918-2023")</f>
        <v/>
      </c>
    </row>
    <row r="631" ht="15" customHeight="1">
      <c r="A631" t="inlineStr">
        <is>
          <t>A 17389-2023</t>
        </is>
      </c>
      <c r="B631" s="1" t="n">
        <v>45035</v>
      </c>
      <c r="C631" s="1" t="n">
        <v>45846</v>
      </c>
      <c r="D631" t="inlineStr">
        <is>
          <t>UPPSALA LÄN</t>
        </is>
      </c>
      <c r="E631" t="inlineStr">
        <is>
          <t>HEBY</t>
        </is>
      </c>
      <c r="G631" t="n">
        <v>3.9</v>
      </c>
      <c r="H631" t="n">
        <v>0</v>
      </c>
      <c r="I631" t="n">
        <v>0</v>
      </c>
      <c r="J631" t="n">
        <v>1</v>
      </c>
      <c r="K631" t="n">
        <v>0</v>
      </c>
      <c r="L631" t="n">
        <v>0</v>
      </c>
      <c r="M631" t="n">
        <v>0</v>
      </c>
      <c r="N631" t="n">
        <v>0</v>
      </c>
      <c r="O631" t="n">
        <v>1</v>
      </c>
      <c r="P631" t="n">
        <v>0</v>
      </c>
      <c r="Q631" t="n">
        <v>1</v>
      </c>
      <c r="R631" s="2" t="inlineStr">
        <is>
          <t>Gullklöver</t>
        </is>
      </c>
      <c r="S631">
        <f>HYPERLINK("https://klasma.github.io/Logging_0331/artfynd/A 17389-2023 artfynd.xlsx", "A 17389-2023")</f>
        <v/>
      </c>
      <c r="T631">
        <f>HYPERLINK("https://klasma.github.io/Logging_0331/kartor/A 17389-2023 karta.png", "A 17389-2023")</f>
        <v/>
      </c>
      <c r="V631">
        <f>HYPERLINK("https://klasma.github.io/Logging_0331/klagomål/A 17389-2023 FSC-klagomål.docx", "A 17389-2023")</f>
        <v/>
      </c>
      <c r="W631">
        <f>HYPERLINK("https://klasma.github.io/Logging_0331/klagomålsmail/A 17389-2023 FSC-klagomål mail.docx", "A 17389-2023")</f>
        <v/>
      </c>
      <c r="X631">
        <f>HYPERLINK("https://klasma.github.io/Logging_0331/tillsyn/A 17389-2023 tillsynsbegäran.docx", "A 17389-2023")</f>
        <v/>
      </c>
      <c r="Y631">
        <f>HYPERLINK("https://klasma.github.io/Logging_0331/tillsynsmail/A 17389-2023 tillsynsbegäran mail.docx", "A 17389-2023")</f>
        <v/>
      </c>
    </row>
    <row r="632" ht="15" customHeight="1">
      <c r="A632" t="inlineStr">
        <is>
          <t>A 17790-2023</t>
        </is>
      </c>
      <c r="B632" s="1" t="n">
        <v>45037</v>
      </c>
      <c r="C632" s="1" t="n">
        <v>45846</v>
      </c>
      <c r="D632" t="inlineStr">
        <is>
          <t>UPPSALA LÄN</t>
        </is>
      </c>
      <c r="E632" t="inlineStr">
        <is>
          <t>HEBY</t>
        </is>
      </c>
      <c r="G632" t="n">
        <v>1.1</v>
      </c>
      <c r="H632" t="n">
        <v>1</v>
      </c>
      <c r="I632" t="n">
        <v>0</v>
      </c>
      <c r="J632" t="n">
        <v>0</v>
      </c>
      <c r="K632" t="n">
        <v>0</v>
      </c>
      <c r="L632" t="n">
        <v>0</v>
      </c>
      <c r="M632" t="n">
        <v>0</v>
      </c>
      <c r="N632" t="n">
        <v>0</v>
      </c>
      <c r="O632" t="n">
        <v>0</v>
      </c>
      <c r="P632" t="n">
        <v>0</v>
      </c>
      <c r="Q632" t="n">
        <v>1</v>
      </c>
      <c r="R632" s="2" t="inlineStr">
        <is>
          <t>Mindre vattensalamander</t>
        </is>
      </c>
      <c r="S632">
        <f>HYPERLINK("https://klasma.github.io/Logging_0331/artfynd/A 17790-2023 artfynd.xlsx", "A 17790-2023")</f>
        <v/>
      </c>
      <c r="T632">
        <f>HYPERLINK("https://klasma.github.io/Logging_0331/kartor/A 17790-2023 karta.png", "A 17790-2023")</f>
        <v/>
      </c>
      <c r="V632">
        <f>HYPERLINK("https://klasma.github.io/Logging_0331/klagomål/A 17790-2023 FSC-klagomål.docx", "A 17790-2023")</f>
        <v/>
      </c>
      <c r="W632">
        <f>HYPERLINK("https://klasma.github.io/Logging_0331/klagomålsmail/A 17790-2023 FSC-klagomål mail.docx", "A 17790-2023")</f>
        <v/>
      </c>
      <c r="X632">
        <f>HYPERLINK("https://klasma.github.io/Logging_0331/tillsyn/A 17790-2023 tillsynsbegäran.docx", "A 17790-2023")</f>
        <v/>
      </c>
      <c r="Y632">
        <f>HYPERLINK("https://klasma.github.io/Logging_0331/tillsynsmail/A 17790-2023 tillsynsbegäran mail.docx", "A 17790-2023")</f>
        <v/>
      </c>
    </row>
    <row r="633" ht="15" customHeight="1">
      <c r="A633" t="inlineStr">
        <is>
          <t>A 19100-2023</t>
        </is>
      </c>
      <c r="B633" s="1" t="n">
        <v>45048</v>
      </c>
      <c r="C633" s="1" t="n">
        <v>45846</v>
      </c>
      <c r="D633" t="inlineStr">
        <is>
          <t>UPPSALA LÄN</t>
        </is>
      </c>
      <c r="E633" t="inlineStr">
        <is>
          <t>ÖSTHAMMAR</t>
        </is>
      </c>
      <c r="F633" t="inlineStr">
        <is>
          <t>Bergvik skog öst AB</t>
        </is>
      </c>
      <c r="G633" t="n">
        <v>2.1</v>
      </c>
      <c r="H633" t="n">
        <v>1</v>
      </c>
      <c r="I633" t="n">
        <v>0</v>
      </c>
      <c r="J633" t="n">
        <v>0</v>
      </c>
      <c r="K633" t="n">
        <v>0</v>
      </c>
      <c r="L633" t="n">
        <v>0</v>
      </c>
      <c r="M633" t="n">
        <v>0</v>
      </c>
      <c r="N633" t="n">
        <v>0</v>
      </c>
      <c r="O633" t="n">
        <v>0</v>
      </c>
      <c r="P633" t="n">
        <v>0</v>
      </c>
      <c r="Q633" t="n">
        <v>1</v>
      </c>
      <c r="R633" s="2" t="inlineStr">
        <is>
          <t>Blåsippa</t>
        </is>
      </c>
      <c r="S633">
        <f>HYPERLINK("https://klasma.github.io/Logging_0382/artfynd/A 19100-2023 artfynd.xlsx", "A 19100-2023")</f>
        <v/>
      </c>
      <c r="T633">
        <f>HYPERLINK("https://klasma.github.io/Logging_0382/kartor/A 19100-2023 karta.png", "A 19100-2023")</f>
        <v/>
      </c>
      <c r="V633">
        <f>HYPERLINK("https://klasma.github.io/Logging_0382/klagomål/A 19100-2023 FSC-klagomål.docx", "A 19100-2023")</f>
        <v/>
      </c>
      <c r="W633">
        <f>HYPERLINK("https://klasma.github.io/Logging_0382/klagomålsmail/A 19100-2023 FSC-klagomål mail.docx", "A 19100-2023")</f>
        <v/>
      </c>
      <c r="X633">
        <f>HYPERLINK("https://klasma.github.io/Logging_0382/tillsyn/A 19100-2023 tillsynsbegäran.docx", "A 19100-2023")</f>
        <v/>
      </c>
      <c r="Y633">
        <f>HYPERLINK("https://klasma.github.io/Logging_0382/tillsynsmail/A 19100-2023 tillsynsbegäran mail.docx", "A 19100-2023")</f>
        <v/>
      </c>
    </row>
    <row r="634" ht="15" customHeight="1">
      <c r="A634" t="inlineStr">
        <is>
          <t>A 20172-2023</t>
        </is>
      </c>
      <c r="B634" s="1" t="n">
        <v>45055</v>
      </c>
      <c r="C634" s="1" t="n">
        <v>45846</v>
      </c>
      <c r="D634" t="inlineStr">
        <is>
          <t>UPPSALA LÄN</t>
        </is>
      </c>
      <c r="E634" t="inlineStr">
        <is>
          <t>UPPSALA</t>
        </is>
      </c>
      <c r="G634" t="n">
        <v>3.2</v>
      </c>
      <c r="H634" t="n">
        <v>0</v>
      </c>
      <c r="I634" t="n">
        <v>1</v>
      </c>
      <c r="J634" t="n">
        <v>0</v>
      </c>
      <c r="K634" t="n">
        <v>0</v>
      </c>
      <c r="L634" t="n">
        <v>0</v>
      </c>
      <c r="M634" t="n">
        <v>0</v>
      </c>
      <c r="N634" t="n">
        <v>0</v>
      </c>
      <c r="O634" t="n">
        <v>0</v>
      </c>
      <c r="P634" t="n">
        <v>0</v>
      </c>
      <c r="Q634" t="n">
        <v>1</v>
      </c>
      <c r="R634" s="2" t="inlineStr">
        <is>
          <t>Mörk husmossa</t>
        </is>
      </c>
      <c r="S634">
        <f>HYPERLINK("https://klasma.github.io/Logging_0380/artfynd/A 20172-2023 artfynd.xlsx", "A 20172-2023")</f>
        <v/>
      </c>
      <c r="T634">
        <f>HYPERLINK("https://klasma.github.io/Logging_0380/kartor/A 20172-2023 karta.png", "A 20172-2023")</f>
        <v/>
      </c>
      <c r="V634">
        <f>HYPERLINK("https://klasma.github.io/Logging_0380/klagomål/A 20172-2023 FSC-klagomål.docx", "A 20172-2023")</f>
        <v/>
      </c>
      <c r="W634">
        <f>HYPERLINK("https://klasma.github.io/Logging_0380/klagomålsmail/A 20172-2023 FSC-klagomål mail.docx", "A 20172-2023")</f>
        <v/>
      </c>
      <c r="X634">
        <f>HYPERLINK("https://klasma.github.io/Logging_0380/tillsyn/A 20172-2023 tillsynsbegäran.docx", "A 20172-2023")</f>
        <v/>
      </c>
      <c r="Y634">
        <f>HYPERLINK("https://klasma.github.io/Logging_0380/tillsynsmail/A 20172-2023 tillsynsbegäran mail.docx", "A 20172-2023")</f>
        <v/>
      </c>
    </row>
    <row r="635" ht="15" customHeight="1">
      <c r="A635" t="inlineStr">
        <is>
          <t>A 20930-2023</t>
        </is>
      </c>
      <c r="B635" s="1" t="n">
        <v>45061</v>
      </c>
      <c r="C635" s="1" t="n">
        <v>45846</v>
      </c>
      <c r="D635" t="inlineStr">
        <is>
          <t>UPPSALA LÄN</t>
        </is>
      </c>
      <c r="E635" t="inlineStr">
        <is>
          <t>UPPSALA</t>
        </is>
      </c>
      <c r="G635" t="n">
        <v>5.1</v>
      </c>
      <c r="H635" t="n">
        <v>0</v>
      </c>
      <c r="I635" t="n">
        <v>1</v>
      </c>
      <c r="J635" t="n">
        <v>0</v>
      </c>
      <c r="K635" t="n">
        <v>0</v>
      </c>
      <c r="L635" t="n">
        <v>0</v>
      </c>
      <c r="M635" t="n">
        <v>0</v>
      </c>
      <c r="N635" t="n">
        <v>0</v>
      </c>
      <c r="O635" t="n">
        <v>0</v>
      </c>
      <c r="P635" t="n">
        <v>0</v>
      </c>
      <c r="Q635" t="n">
        <v>1</v>
      </c>
      <c r="R635" s="2" t="inlineStr">
        <is>
          <t>Grönpyrola</t>
        </is>
      </c>
      <c r="S635">
        <f>HYPERLINK("https://klasma.github.io/Logging_0380/artfynd/A 20930-2023 artfynd.xlsx", "A 20930-2023")</f>
        <v/>
      </c>
      <c r="T635">
        <f>HYPERLINK("https://klasma.github.io/Logging_0380/kartor/A 20930-2023 karta.png", "A 20930-2023")</f>
        <v/>
      </c>
      <c r="V635">
        <f>HYPERLINK("https://klasma.github.io/Logging_0380/klagomål/A 20930-2023 FSC-klagomål.docx", "A 20930-2023")</f>
        <v/>
      </c>
      <c r="W635">
        <f>HYPERLINK("https://klasma.github.io/Logging_0380/klagomålsmail/A 20930-2023 FSC-klagomål mail.docx", "A 20930-2023")</f>
        <v/>
      </c>
      <c r="X635">
        <f>HYPERLINK("https://klasma.github.io/Logging_0380/tillsyn/A 20930-2023 tillsynsbegäran.docx", "A 20930-2023")</f>
        <v/>
      </c>
      <c r="Y635">
        <f>HYPERLINK("https://klasma.github.io/Logging_0380/tillsynsmail/A 20930-2023 tillsynsbegäran mail.docx", "A 20930-2023")</f>
        <v/>
      </c>
    </row>
    <row r="636" ht="15" customHeight="1">
      <c r="A636" t="inlineStr">
        <is>
          <t>A 20923-2023</t>
        </is>
      </c>
      <c r="B636" s="1" t="n">
        <v>45061</v>
      </c>
      <c r="C636" s="1" t="n">
        <v>45846</v>
      </c>
      <c r="D636" t="inlineStr">
        <is>
          <t>UPPSALA LÄN</t>
        </is>
      </c>
      <c r="E636" t="inlineStr">
        <is>
          <t>UPPSALA</t>
        </is>
      </c>
      <c r="G636" t="n">
        <v>1.1</v>
      </c>
      <c r="H636" t="n">
        <v>0</v>
      </c>
      <c r="I636" t="n">
        <v>1</v>
      </c>
      <c r="J636" t="n">
        <v>0</v>
      </c>
      <c r="K636" t="n">
        <v>0</v>
      </c>
      <c r="L636" t="n">
        <v>0</v>
      </c>
      <c r="M636" t="n">
        <v>0</v>
      </c>
      <c r="N636" t="n">
        <v>0</v>
      </c>
      <c r="O636" t="n">
        <v>0</v>
      </c>
      <c r="P636" t="n">
        <v>0</v>
      </c>
      <c r="Q636" t="n">
        <v>1</v>
      </c>
      <c r="R636" s="2" t="inlineStr">
        <is>
          <t>Dvärghäxört</t>
        </is>
      </c>
      <c r="S636">
        <f>HYPERLINK("https://klasma.github.io/Logging_0380/artfynd/A 20923-2023 artfynd.xlsx", "A 20923-2023")</f>
        <v/>
      </c>
      <c r="T636">
        <f>HYPERLINK("https://klasma.github.io/Logging_0380/kartor/A 20923-2023 karta.png", "A 20923-2023")</f>
        <v/>
      </c>
      <c r="V636">
        <f>HYPERLINK("https://klasma.github.io/Logging_0380/klagomål/A 20923-2023 FSC-klagomål.docx", "A 20923-2023")</f>
        <v/>
      </c>
      <c r="W636">
        <f>HYPERLINK("https://klasma.github.io/Logging_0380/klagomålsmail/A 20923-2023 FSC-klagomål mail.docx", "A 20923-2023")</f>
        <v/>
      </c>
      <c r="X636">
        <f>HYPERLINK("https://klasma.github.io/Logging_0380/tillsyn/A 20923-2023 tillsynsbegäran.docx", "A 20923-2023")</f>
        <v/>
      </c>
      <c r="Y636">
        <f>HYPERLINK("https://klasma.github.io/Logging_0380/tillsynsmail/A 20923-2023 tillsynsbegäran mail.docx", "A 20923-2023")</f>
        <v/>
      </c>
    </row>
    <row r="637" ht="15" customHeight="1">
      <c r="A637" t="inlineStr">
        <is>
          <t>A 21628-2023</t>
        </is>
      </c>
      <c r="B637" s="1" t="n">
        <v>45063</v>
      </c>
      <c r="C637" s="1" t="n">
        <v>45846</v>
      </c>
      <c r="D637" t="inlineStr">
        <is>
          <t>UPPSALA LÄN</t>
        </is>
      </c>
      <c r="E637" t="inlineStr">
        <is>
          <t>ÖSTHAMMAR</t>
        </is>
      </c>
      <c r="F637" t="inlineStr">
        <is>
          <t>Sveaskog</t>
        </is>
      </c>
      <c r="G637" t="n">
        <v>4.9</v>
      </c>
      <c r="H637" t="n">
        <v>1</v>
      </c>
      <c r="I637" t="n">
        <v>0</v>
      </c>
      <c r="J637" t="n">
        <v>1</v>
      </c>
      <c r="K637" t="n">
        <v>0</v>
      </c>
      <c r="L637" t="n">
        <v>0</v>
      </c>
      <c r="M637" t="n">
        <v>0</v>
      </c>
      <c r="N637" t="n">
        <v>0</v>
      </c>
      <c r="O637" t="n">
        <v>1</v>
      </c>
      <c r="P637" t="n">
        <v>0</v>
      </c>
      <c r="Q637" t="n">
        <v>1</v>
      </c>
      <c r="R637" s="2" t="inlineStr">
        <is>
          <t>Slaguggla</t>
        </is>
      </c>
      <c r="S637">
        <f>HYPERLINK("https://klasma.github.io/Logging_0382/artfynd/A 21628-2023 artfynd.xlsx", "A 21628-2023")</f>
        <v/>
      </c>
      <c r="T637">
        <f>HYPERLINK("https://klasma.github.io/Logging_0382/kartor/A 21628-2023 karta.png", "A 21628-2023")</f>
        <v/>
      </c>
      <c r="V637">
        <f>HYPERLINK("https://klasma.github.io/Logging_0382/klagomål/A 21628-2023 FSC-klagomål.docx", "A 21628-2023")</f>
        <v/>
      </c>
      <c r="W637">
        <f>HYPERLINK("https://klasma.github.io/Logging_0382/klagomålsmail/A 21628-2023 FSC-klagomål mail.docx", "A 21628-2023")</f>
        <v/>
      </c>
      <c r="X637">
        <f>HYPERLINK("https://klasma.github.io/Logging_0382/tillsyn/A 21628-2023 tillsynsbegäran.docx", "A 21628-2023")</f>
        <v/>
      </c>
      <c r="Y637">
        <f>HYPERLINK("https://klasma.github.io/Logging_0382/tillsynsmail/A 21628-2023 tillsynsbegäran mail.docx", "A 21628-2023")</f>
        <v/>
      </c>
      <c r="Z637">
        <f>HYPERLINK("https://klasma.github.io/Logging_0382/fåglar/A 21628-2023 prioriterade fågelarter.docx", "A 21628-2023")</f>
        <v/>
      </c>
    </row>
    <row r="638" ht="15" customHeight="1">
      <c r="A638" t="inlineStr">
        <is>
          <t>A 22307-2023</t>
        </is>
      </c>
      <c r="B638" s="1" t="n">
        <v>45070</v>
      </c>
      <c r="C638" s="1" t="n">
        <v>45846</v>
      </c>
      <c r="D638" t="inlineStr">
        <is>
          <t>UPPSALA LÄN</t>
        </is>
      </c>
      <c r="E638" t="inlineStr">
        <is>
          <t>ÖSTHAMMAR</t>
        </is>
      </c>
      <c r="F638" t="inlineStr">
        <is>
          <t>Bergvik skog öst AB</t>
        </is>
      </c>
      <c r="G638" t="n">
        <v>13.9</v>
      </c>
      <c r="H638" t="n">
        <v>0</v>
      </c>
      <c r="I638" t="n">
        <v>1</v>
      </c>
      <c r="J638" t="n">
        <v>0</v>
      </c>
      <c r="K638" t="n">
        <v>0</v>
      </c>
      <c r="L638" t="n">
        <v>0</v>
      </c>
      <c r="M638" t="n">
        <v>0</v>
      </c>
      <c r="N638" t="n">
        <v>0</v>
      </c>
      <c r="O638" t="n">
        <v>0</v>
      </c>
      <c r="P638" t="n">
        <v>0</v>
      </c>
      <c r="Q638" t="n">
        <v>1</v>
      </c>
      <c r="R638" s="2" t="inlineStr">
        <is>
          <t>Myskmadra</t>
        </is>
      </c>
      <c r="S638">
        <f>HYPERLINK("https://klasma.github.io/Logging_0382/artfynd/A 22307-2023 artfynd.xlsx", "A 22307-2023")</f>
        <v/>
      </c>
      <c r="T638">
        <f>HYPERLINK("https://klasma.github.io/Logging_0382/kartor/A 22307-2023 karta.png", "A 22307-2023")</f>
        <v/>
      </c>
      <c r="V638">
        <f>HYPERLINK("https://klasma.github.io/Logging_0382/klagomål/A 22307-2023 FSC-klagomål.docx", "A 22307-2023")</f>
        <v/>
      </c>
      <c r="W638">
        <f>HYPERLINK("https://klasma.github.io/Logging_0382/klagomålsmail/A 22307-2023 FSC-klagomål mail.docx", "A 22307-2023")</f>
        <v/>
      </c>
      <c r="X638">
        <f>HYPERLINK("https://klasma.github.io/Logging_0382/tillsyn/A 22307-2023 tillsynsbegäran.docx", "A 22307-2023")</f>
        <v/>
      </c>
      <c r="Y638">
        <f>HYPERLINK("https://klasma.github.io/Logging_0382/tillsynsmail/A 22307-2023 tillsynsbegäran mail.docx", "A 22307-2023")</f>
        <v/>
      </c>
    </row>
    <row r="639" ht="15" customHeight="1">
      <c r="A639" t="inlineStr">
        <is>
          <t>A 22287-2023</t>
        </is>
      </c>
      <c r="B639" s="1" t="n">
        <v>45070</v>
      </c>
      <c r="C639" s="1" t="n">
        <v>45846</v>
      </c>
      <c r="D639" t="inlineStr">
        <is>
          <t>UPPSALA LÄN</t>
        </is>
      </c>
      <c r="E639" t="inlineStr">
        <is>
          <t>ÖSTHAMMAR</t>
        </is>
      </c>
      <c r="G639" t="n">
        <v>6.3</v>
      </c>
      <c r="H639" t="n">
        <v>1</v>
      </c>
      <c r="I639" t="n">
        <v>1</v>
      </c>
      <c r="J639" t="n">
        <v>0</v>
      </c>
      <c r="K639" t="n">
        <v>0</v>
      </c>
      <c r="L639" t="n">
        <v>0</v>
      </c>
      <c r="M639" t="n">
        <v>0</v>
      </c>
      <c r="N639" t="n">
        <v>0</v>
      </c>
      <c r="O639" t="n">
        <v>0</v>
      </c>
      <c r="P639" t="n">
        <v>0</v>
      </c>
      <c r="Q639" t="n">
        <v>1</v>
      </c>
      <c r="R639" s="2" t="inlineStr">
        <is>
          <t>Guckusko</t>
        </is>
      </c>
      <c r="S639">
        <f>HYPERLINK("https://klasma.github.io/Logging_0382/artfynd/A 22287-2023 artfynd.xlsx", "A 22287-2023")</f>
        <v/>
      </c>
      <c r="T639">
        <f>HYPERLINK("https://klasma.github.io/Logging_0382/kartor/A 22287-2023 karta.png", "A 22287-2023")</f>
        <v/>
      </c>
      <c r="V639">
        <f>HYPERLINK("https://klasma.github.io/Logging_0382/klagomål/A 22287-2023 FSC-klagomål.docx", "A 22287-2023")</f>
        <v/>
      </c>
      <c r="W639">
        <f>HYPERLINK("https://klasma.github.io/Logging_0382/klagomålsmail/A 22287-2023 FSC-klagomål mail.docx", "A 22287-2023")</f>
        <v/>
      </c>
      <c r="X639">
        <f>HYPERLINK("https://klasma.github.io/Logging_0382/tillsyn/A 22287-2023 tillsynsbegäran.docx", "A 22287-2023")</f>
        <v/>
      </c>
      <c r="Y639">
        <f>HYPERLINK("https://klasma.github.io/Logging_0382/tillsynsmail/A 22287-2023 tillsynsbegäran mail.docx", "A 22287-2023")</f>
        <v/>
      </c>
    </row>
    <row r="640" ht="15" customHeight="1">
      <c r="A640" t="inlineStr">
        <is>
          <t>A 22688-2023</t>
        </is>
      </c>
      <c r="B640" s="1" t="n">
        <v>45071</v>
      </c>
      <c r="C640" s="1" t="n">
        <v>45846</v>
      </c>
      <c r="D640" t="inlineStr">
        <is>
          <t>UPPSALA LÄN</t>
        </is>
      </c>
      <c r="E640" t="inlineStr">
        <is>
          <t>ÖSTHAMMAR</t>
        </is>
      </c>
      <c r="G640" t="n">
        <v>3</v>
      </c>
      <c r="H640" t="n">
        <v>1</v>
      </c>
      <c r="I640" t="n">
        <v>1</v>
      </c>
      <c r="J640" t="n">
        <v>0</v>
      </c>
      <c r="K640" t="n">
        <v>0</v>
      </c>
      <c r="L640" t="n">
        <v>0</v>
      </c>
      <c r="M640" t="n">
        <v>0</v>
      </c>
      <c r="N640" t="n">
        <v>0</v>
      </c>
      <c r="O640" t="n">
        <v>0</v>
      </c>
      <c r="P640" t="n">
        <v>0</v>
      </c>
      <c r="Q640" t="n">
        <v>1</v>
      </c>
      <c r="R640" s="2" t="inlineStr">
        <is>
          <t>Nästrot</t>
        </is>
      </c>
      <c r="S640">
        <f>HYPERLINK("https://klasma.github.io/Logging_0382/artfynd/A 22688-2023 artfynd.xlsx", "A 22688-2023")</f>
        <v/>
      </c>
      <c r="T640">
        <f>HYPERLINK("https://klasma.github.io/Logging_0382/kartor/A 22688-2023 karta.png", "A 22688-2023")</f>
        <v/>
      </c>
      <c r="V640">
        <f>HYPERLINK("https://klasma.github.io/Logging_0382/klagomål/A 22688-2023 FSC-klagomål.docx", "A 22688-2023")</f>
        <v/>
      </c>
      <c r="W640">
        <f>HYPERLINK("https://klasma.github.io/Logging_0382/klagomålsmail/A 22688-2023 FSC-klagomål mail.docx", "A 22688-2023")</f>
        <v/>
      </c>
      <c r="X640">
        <f>HYPERLINK("https://klasma.github.io/Logging_0382/tillsyn/A 22688-2023 tillsynsbegäran.docx", "A 22688-2023")</f>
        <v/>
      </c>
      <c r="Y640">
        <f>HYPERLINK("https://klasma.github.io/Logging_0382/tillsynsmail/A 22688-2023 tillsynsbegäran mail.docx", "A 22688-2023")</f>
        <v/>
      </c>
    </row>
    <row r="641" ht="15" customHeight="1">
      <c r="A641" t="inlineStr">
        <is>
          <t>A 22958-2023</t>
        </is>
      </c>
      <c r="B641" s="1" t="n">
        <v>45072</v>
      </c>
      <c r="C641" s="1" t="n">
        <v>45846</v>
      </c>
      <c r="D641" t="inlineStr">
        <is>
          <t>UPPSALA LÄN</t>
        </is>
      </c>
      <c r="E641" t="inlineStr">
        <is>
          <t>UPPSALA</t>
        </is>
      </c>
      <c r="F641" t="inlineStr">
        <is>
          <t>Holmen skog AB</t>
        </is>
      </c>
      <c r="G641" t="n">
        <v>6.4</v>
      </c>
      <c r="H641" t="n">
        <v>0</v>
      </c>
      <c r="I641" t="n">
        <v>0</v>
      </c>
      <c r="J641" t="n">
        <v>1</v>
      </c>
      <c r="K641" t="n">
        <v>0</v>
      </c>
      <c r="L641" t="n">
        <v>0</v>
      </c>
      <c r="M641" t="n">
        <v>0</v>
      </c>
      <c r="N641" t="n">
        <v>0</v>
      </c>
      <c r="O641" t="n">
        <v>1</v>
      </c>
      <c r="P641" t="n">
        <v>0</v>
      </c>
      <c r="Q641" t="n">
        <v>1</v>
      </c>
      <c r="R641" s="2" t="inlineStr">
        <is>
          <t>Krusfrö</t>
        </is>
      </c>
      <c r="S641">
        <f>HYPERLINK("https://klasma.github.io/Logging_0380/artfynd/A 22958-2023 artfynd.xlsx", "A 22958-2023")</f>
        <v/>
      </c>
      <c r="T641">
        <f>HYPERLINK("https://klasma.github.io/Logging_0380/kartor/A 22958-2023 karta.png", "A 22958-2023")</f>
        <v/>
      </c>
      <c r="V641">
        <f>HYPERLINK("https://klasma.github.io/Logging_0380/klagomål/A 22958-2023 FSC-klagomål.docx", "A 22958-2023")</f>
        <v/>
      </c>
      <c r="W641">
        <f>HYPERLINK("https://klasma.github.io/Logging_0380/klagomålsmail/A 22958-2023 FSC-klagomål mail.docx", "A 22958-2023")</f>
        <v/>
      </c>
      <c r="X641">
        <f>HYPERLINK("https://klasma.github.io/Logging_0380/tillsyn/A 22958-2023 tillsynsbegäran.docx", "A 22958-2023")</f>
        <v/>
      </c>
      <c r="Y641">
        <f>HYPERLINK("https://klasma.github.io/Logging_0380/tillsynsmail/A 22958-2023 tillsynsbegäran mail.docx", "A 22958-2023")</f>
        <v/>
      </c>
    </row>
    <row r="642" ht="15" customHeight="1">
      <c r="A642" t="inlineStr">
        <is>
          <t>A 23128-2023</t>
        </is>
      </c>
      <c r="B642" s="1" t="n">
        <v>45075</v>
      </c>
      <c r="C642" s="1" t="n">
        <v>45846</v>
      </c>
      <c r="D642" t="inlineStr">
        <is>
          <t>UPPSALA LÄN</t>
        </is>
      </c>
      <c r="E642" t="inlineStr">
        <is>
          <t>ÖSTHAMMAR</t>
        </is>
      </c>
      <c r="G642" t="n">
        <v>6</v>
      </c>
      <c r="H642" t="n">
        <v>0</v>
      </c>
      <c r="I642" t="n">
        <v>0</v>
      </c>
      <c r="J642" t="n">
        <v>1</v>
      </c>
      <c r="K642" t="n">
        <v>0</v>
      </c>
      <c r="L642" t="n">
        <v>0</v>
      </c>
      <c r="M642" t="n">
        <v>0</v>
      </c>
      <c r="N642" t="n">
        <v>0</v>
      </c>
      <c r="O642" t="n">
        <v>1</v>
      </c>
      <c r="P642" t="n">
        <v>0</v>
      </c>
      <c r="Q642" t="n">
        <v>1</v>
      </c>
      <c r="R642" s="2" t="inlineStr">
        <is>
          <t>Grönhjon</t>
        </is>
      </c>
      <c r="S642">
        <f>HYPERLINK("https://klasma.github.io/Logging_0382/artfynd/A 23128-2023 artfynd.xlsx", "A 23128-2023")</f>
        <v/>
      </c>
      <c r="T642">
        <f>HYPERLINK("https://klasma.github.io/Logging_0382/kartor/A 23128-2023 karta.png", "A 23128-2023")</f>
        <v/>
      </c>
      <c r="V642">
        <f>HYPERLINK("https://klasma.github.io/Logging_0382/klagomål/A 23128-2023 FSC-klagomål.docx", "A 23128-2023")</f>
        <v/>
      </c>
      <c r="W642">
        <f>HYPERLINK("https://klasma.github.io/Logging_0382/klagomålsmail/A 23128-2023 FSC-klagomål mail.docx", "A 23128-2023")</f>
        <v/>
      </c>
      <c r="X642">
        <f>HYPERLINK("https://klasma.github.io/Logging_0382/tillsyn/A 23128-2023 tillsynsbegäran.docx", "A 23128-2023")</f>
        <v/>
      </c>
      <c r="Y642">
        <f>HYPERLINK("https://klasma.github.io/Logging_0382/tillsynsmail/A 23128-2023 tillsynsbegäran mail.docx", "A 23128-2023")</f>
        <v/>
      </c>
    </row>
    <row r="643" ht="15" customHeight="1">
      <c r="A643" t="inlineStr">
        <is>
          <t>A 25179-2023</t>
        </is>
      </c>
      <c r="B643" s="1" t="n">
        <v>45078</v>
      </c>
      <c r="C643" s="1" t="n">
        <v>45846</v>
      </c>
      <c r="D643" t="inlineStr">
        <is>
          <t>UPPSALA LÄN</t>
        </is>
      </c>
      <c r="E643" t="inlineStr">
        <is>
          <t>ÖSTHAMMAR</t>
        </is>
      </c>
      <c r="G643" t="n">
        <v>3.2</v>
      </c>
      <c r="H643" t="n">
        <v>0</v>
      </c>
      <c r="I643" t="n">
        <v>0</v>
      </c>
      <c r="J643" t="n">
        <v>1</v>
      </c>
      <c r="K643" t="n">
        <v>0</v>
      </c>
      <c r="L643" t="n">
        <v>0</v>
      </c>
      <c r="M643" t="n">
        <v>0</v>
      </c>
      <c r="N643" t="n">
        <v>0</v>
      </c>
      <c r="O643" t="n">
        <v>1</v>
      </c>
      <c r="P643" t="n">
        <v>0</v>
      </c>
      <c r="Q643" t="n">
        <v>1</v>
      </c>
      <c r="R643" s="2" t="inlineStr">
        <is>
          <t>Grantaggsvamp</t>
        </is>
      </c>
      <c r="S643">
        <f>HYPERLINK("https://klasma.github.io/Logging_0382/artfynd/A 25179-2023 artfynd.xlsx", "A 25179-2023")</f>
        <v/>
      </c>
      <c r="T643">
        <f>HYPERLINK("https://klasma.github.io/Logging_0382/kartor/A 25179-2023 karta.png", "A 25179-2023")</f>
        <v/>
      </c>
      <c r="V643">
        <f>HYPERLINK("https://klasma.github.io/Logging_0382/klagomål/A 25179-2023 FSC-klagomål.docx", "A 25179-2023")</f>
        <v/>
      </c>
      <c r="W643">
        <f>HYPERLINK("https://klasma.github.io/Logging_0382/klagomålsmail/A 25179-2023 FSC-klagomål mail.docx", "A 25179-2023")</f>
        <v/>
      </c>
      <c r="X643">
        <f>HYPERLINK("https://klasma.github.io/Logging_0382/tillsyn/A 25179-2023 tillsynsbegäran.docx", "A 25179-2023")</f>
        <v/>
      </c>
      <c r="Y643">
        <f>HYPERLINK("https://klasma.github.io/Logging_0382/tillsynsmail/A 25179-2023 tillsynsbegäran mail.docx", "A 25179-2023")</f>
        <v/>
      </c>
    </row>
    <row r="644" ht="15" customHeight="1">
      <c r="A644" t="inlineStr">
        <is>
          <t>A 26896-2023</t>
        </is>
      </c>
      <c r="B644" s="1" t="n">
        <v>45093</v>
      </c>
      <c r="C644" s="1" t="n">
        <v>45846</v>
      </c>
      <c r="D644" t="inlineStr">
        <is>
          <t>UPPSALA LÄN</t>
        </is>
      </c>
      <c r="E644" t="inlineStr">
        <is>
          <t>ÖSTHAMMAR</t>
        </is>
      </c>
      <c r="G644" t="n">
        <v>3.2</v>
      </c>
      <c r="H644" t="n">
        <v>0</v>
      </c>
      <c r="I644" t="n">
        <v>1</v>
      </c>
      <c r="J644" t="n">
        <v>0</v>
      </c>
      <c r="K644" t="n">
        <v>0</v>
      </c>
      <c r="L644" t="n">
        <v>0</v>
      </c>
      <c r="M644" t="n">
        <v>0</v>
      </c>
      <c r="N644" t="n">
        <v>0</v>
      </c>
      <c r="O644" t="n">
        <v>0</v>
      </c>
      <c r="P644" t="n">
        <v>0</v>
      </c>
      <c r="Q644" t="n">
        <v>1</v>
      </c>
      <c r="R644" s="2" t="inlineStr">
        <is>
          <t>Mörk husmossa</t>
        </is>
      </c>
      <c r="S644">
        <f>HYPERLINK("https://klasma.github.io/Logging_0382/artfynd/A 26896-2023 artfynd.xlsx", "A 26896-2023")</f>
        <v/>
      </c>
      <c r="T644">
        <f>HYPERLINK("https://klasma.github.io/Logging_0382/kartor/A 26896-2023 karta.png", "A 26896-2023")</f>
        <v/>
      </c>
      <c r="V644">
        <f>HYPERLINK("https://klasma.github.io/Logging_0382/klagomål/A 26896-2023 FSC-klagomål.docx", "A 26896-2023")</f>
        <v/>
      </c>
      <c r="W644">
        <f>HYPERLINK("https://klasma.github.io/Logging_0382/klagomålsmail/A 26896-2023 FSC-klagomål mail.docx", "A 26896-2023")</f>
        <v/>
      </c>
      <c r="X644">
        <f>HYPERLINK("https://klasma.github.io/Logging_0382/tillsyn/A 26896-2023 tillsynsbegäran.docx", "A 26896-2023")</f>
        <v/>
      </c>
      <c r="Y644">
        <f>HYPERLINK("https://klasma.github.io/Logging_0382/tillsynsmail/A 26896-2023 tillsynsbegäran mail.docx", "A 26896-2023")</f>
        <v/>
      </c>
    </row>
    <row r="645" ht="15" customHeight="1">
      <c r="A645" t="inlineStr">
        <is>
          <t>A 26932-2023</t>
        </is>
      </c>
      <c r="B645" s="1" t="n">
        <v>45093</v>
      </c>
      <c r="C645" s="1" t="n">
        <v>45846</v>
      </c>
      <c r="D645" t="inlineStr">
        <is>
          <t>UPPSALA LÄN</t>
        </is>
      </c>
      <c r="E645" t="inlineStr">
        <is>
          <t>HEBY</t>
        </is>
      </c>
      <c r="G645" t="n">
        <v>12.3</v>
      </c>
      <c r="H645" t="n">
        <v>1</v>
      </c>
      <c r="I645" t="n">
        <v>0</v>
      </c>
      <c r="J645" t="n">
        <v>1</v>
      </c>
      <c r="K645" t="n">
        <v>0</v>
      </c>
      <c r="L645" t="n">
        <v>0</v>
      </c>
      <c r="M645" t="n">
        <v>0</v>
      </c>
      <c r="N645" t="n">
        <v>0</v>
      </c>
      <c r="O645" t="n">
        <v>1</v>
      </c>
      <c r="P645" t="n">
        <v>0</v>
      </c>
      <c r="Q645" t="n">
        <v>1</v>
      </c>
      <c r="R645" s="2" t="inlineStr">
        <is>
          <t>Tretåig hackspett</t>
        </is>
      </c>
      <c r="S645">
        <f>HYPERLINK("https://klasma.github.io/Logging_0331/artfynd/A 26932-2023 artfynd.xlsx", "A 26932-2023")</f>
        <v/>
      </c>
      <c r="T645">
        <f>HYPERLINK("https://klasma.github.io/Logging_0331/kartor/A 26932-2023 karta.png", "A 26932-2023")</f>
        <v/>
      </c>
      <c r="V645">
        <f>HYPERLINK("https://klasma.github.io/Logging_0331/klagomål/A 26932-2023 FSC-klagomål.docx", "A 26932-2023")</f>
        <v/>
      </c>
      <c r="W645">
        <f>HYPERLINK("https://klasma.github.io/Logging_0331/klagomålsmail/A 26932-2023 FSC-klagomål mail.docx", "A 26932-2023")</f>
        <v/>
      </c>
      <c r="X645">
        <f>HYPERLINK("https://klasma.github.io/Logging_0331/tillsyn/A 26932-2023 tillsynsbegäran.docx", "A 26932-2023")</f>
        <v/>
      </c>
      <c r="Y645">
        <f>HYPERLINK("https://klasma.github.io/Logging_0331/tillsynsmail/A 26932-2023 tillsynsbegäran mail.docx", "A 26932-2023")</f>
        <v/>
      </c>
      <c r="Z645">
        <f>HYPERLINK("https://klasma.github.io/Logging_0331/fåglar/A 26932-2023 prioriterade fågelarter.docx", "A 26932-2023")</f>
        <v/>
      </c>
    </row>
    <row r="646" ht="15" customHeight="1">
      <c r="A646" t="inlineStr">
        <is>
          <t>A 26983-2023</t>
        </is>
      </c>
      <c r="B646" s="1" t="n">
        <v>45093</v>
      </c>
      <c r="C646" s="1" t="n">
        <v>45846</v>
      </c>
      <c r="D646" t="inlineStr">
        <is>
          <t>UPPSALA LÄN</t>
        </is>
      </c>
      <c r="E646" t="inlineStr">
        <is>
          <t>ÄLVKARLEBY</t>
        </is>
      </c>
      <c r="F646" t="inlineStr">
        <is>
          <t>Bergvik skog väst AB</t>
        </is>
      </c>
      <c r="G646" t="n">
        <v>4.5</v>
      </c>
      <c r="H646" t="n">
        <v>1</v>
      </c>
      <c r="I646" t="n">
        <v>0</v>
      </c>
      <c r="J646" t="n">
        <v>1</v>
      </c>
      <c r="K646" t="n">
        <v>0</v>
      </c>
      <c r="L646" t="n">
        <v>0</v>
      </c>
      <c r="M646" t="n">
        <v>0</v>
      </c>
      <c r="N646" t="n">
        <v>0</v>
      </c>
      <c r="O646" t="n">
        <v>1</v>
      </c>
      <c r="P646" t="n">
        <v>0</v>
      </c>
      <c r="Q646" t="n">
        <v>1</v>
      </c>
      <c r="R646" s="2" t="inlineStr">
        <is>
          <t>Drillsnäppa</t>
        </is>
      </c>
      <c r="S646">
        <f>HYPERLINK("https://klasma.github.io/Logging_0319/artfynd/A 26983-2023 artfynd.xlsx", "A 26983-2023")</f>
        <v/>
      </c>
      <c r="T646">
        <f>HYPERLINK("https://klasma.github.io/Logging_0319/kartor/A 26983-2023 karta.png", "A 26983-2023")</f>
        <v/>
      </c>
      <c r="V646">
        <f>HYPERLINK("https://klasma.github.io/Logging_0319/klagomål/A 26983-2023 FSC-klagomål.docx", "A 26983-2023")</f>
        <v/>
      </c>
      <c r="W646">
        <f>HYPERLINK("https://klasma.github.io/Logging_0319/klagomålsmail/A 26983-2023 FSC-klagomål mail.docx", "A 26983-2023")</f>
        <v/>
      </c>
      <c r="X646">
        <f>HYPERLINK("https://klasma.github.io/Logging_0319/tillsyn/A 26983-2023 tillsynsbegäran.docx", "A 26983-2023")</f>
        <v/>
      </c>
      <c r="Y646">
        <f>HYPERLINK("https://klasma.github.io/Logging_0319/tillsynsmail/A 26983-2023 tillsynsbegäran mail.docx", "A 26983-2023")</f>
        <v/>
      </c>
    </row>
    <row r="647" ht="15" customHeight="1">
      <c r="A647" t="inlineStr">
        <is>
          <t>A 27848-2023</t>
        </is>
      </c>
      <c r="B647" s="1" t="n">
        <v>45098</v>
      </c>
      <c r="C647" s="1" t="n">
        <v>45846</v>
      </c>
      <c r="D647" t="inlineStr">
        <is>
          <t>UPPSALA LÄN</t>
        </is>
      </c>
      <c r="E647" t="inlineStr">
        <is>
          <t>UPPSALA</t>
        </is>
      </c>
      <c r="G647" t="n">
        <v>14.3</v>
      </c>
      <c r="H647" t="n">
        <v>0</v>
      </c>
      <c r="I647" t="n">
        <v>1</v>
      </c>
      <c r="J647" t="n">
        <v>0</v>
      </c>
      <c r="K647" t="n">
        <v>0</v>
      </c>
      <c r="L647" t="n">
        <v>0</v>
      </c>
      <c r="M647" t="n">
        <v>0</v>
      </c>
      <c r="N647" t="n">
        <v>0</v>
      </c>
      <c r="O647" t="n">
        <v>0</v>
      </c>
      <c r="P647" t="n">
        <v>0</v>
      </c>
      <c r="Q647" t="n">
        <v>1</v>
      </c>
      <c r="R647" s="2" t="inlineStr">
        <is>
          <t>Blåmossa</t>
        </is>
      </c>
      <c r="S647">
        <f>HYPERLINK("https://klasma.github.io/Logging_0380/artfynd/A 27848-2023 artfynd.xlsx", "A 27848-2023")</f>
        <v/>
      </c>
      <c r="T647">
        <f>HYPERLINK("https://klasma.github.io/Logging_0380/kartor/A 27848-2023 karta.png", "A 27848-2023")</f>
        <v/>
      </c>
      <c r="V647">
        <f>HYPERLINK("https://klasma.github.io/Logging_0380/klagomål/A 27848-2023 FSC-klagomål.docx", "A 27848-2023")</f>
        <v/>
      </c>
      <c r="W647">
        <f>HYPERLINK("https://klasma.github.io/Logging_0380/klagomålsmail/A 27848-2023 FSC-klagomål mail.docx", "A 27848-2023")</f>
        <v/>
      </c>
      <c r="X647">
        <f>HYPERLINK("https://klasma.github.io/Logging_0380/tillsyn/A 27848-2023 tillsynsbegäran.docx", "A 27848-2023")</f>
        <v/>
      </c>
      <c r="Y647">
        <f>HYPERLINK("https://klasma.github.io/Logging_0380/tillsynsmail/A 27848-2023 tillsynsbegäran mail.docx", "A 27848-2023")</f>
        <v/>
      </c>
    </row>
    <row r="648" ht="15" customHeight="1">
      <c r="A648" t="inlineStr">
        <is>
          <t>A 27871-2023</t>
        </is>
      </c>
      <c r="B648" s="1" t="n">
        <v>45098</v>
      </c>
      <c r="C648" s="1" t="n">
        <v>45846</v>
      </c>
      <c r="D648" t="inlineStr">
        <is>
          <t>UPPSALA LÄN</t>
        </is>
      </c>
      <c r="E648" t="inlineStr">
        <is>
          <t>HEBY</t>
        </is>
      </c>
      <c r="G648" t="n">
        <v>1</v>
      </c>
      <c r="H648" t="n">
        <v>0</v>
      </c>
      <c r="I648" t="n">
        <v>0</v>
      </c>
      <c r="J648" t="n">
        <v>1</v>
      </c>
      <c r="K648" t="n">
        <v>0</v>
      </c>
      <c r="L648" t="n">
        <v>0</v>
      </c>
      <c r="M648" t="n">
        <v>0</v>
      </c>
      <c r="N648" t="n">
        <v>0</v>
      </c>
      <c r="O648" t="n">
        <v>1</v>
      </c>
      <c r="P648" t="n">
        <v>0</v>
      </c>
      <c r="Q648" t="n">
        <v>1</v>
      </c>
      <c r="R648" s="2" t="inlineStr">
        <is>
          <t>Tallticka</t>
        </is>
      </c>
      <c r="S648">
        <f>HYPERLINK("https://klasma.github.io/Logging_0331/artfynd/A 27871-2023 artfynd.xlsx", "A 27871-2023")</f>
        <v/>
      </c>
      <c r="T648">
        <f>HYPERLINK("https://klasma.github.io/Logging_0331/kartor/A 27871-2023 karta.png", "A 27871-2023")</f>
        <v/>
      </c>
      <c r="V648">
        <f>HYPERLINK("https://klasma.github.io/Logging_0331/klagomål/A 27871-2023 FSC-klagomål.docx", "A 27871-2023")</f>
        <v/>
      </c>
      <c r="W648">
        <f>HYPERLINK("https://klasma.github.io/Logging_0331/klagomålsmail/A 27871-2023 FSC-klagomål mail.docx", "A 27871-2023")</f>
        <v/>
      </c>
      <c r="X648">
        <f>HYPERLINK("https://klasma.github.io/Logging_0331/tillsyn/A 27871-2023 tillsynsbegäran.docx", "A 27871-2023")</f>
        <v/>
      </c>
      <c r="Y648">
        <f>HYPERLINK("https://klasma.github.io/Logging_0331/tillsynsmail/A 27871-2023 tillsynsbegäran mail.docx", "A 27871-2023")</f>
        <v/>
      </c>
    </row>
    <row r="649" ht="15" customHeight="1">
      <c r="A649" t="inlineStr">
        <is>
          <t>A 28951-2023</t>
        </is>
      </c>
      <c r="B649" s="1" t="n">
        <v>45104</v>
      </c>
      <c r="C649" s="1" t="n">
        <v>45846</v>
      </c>
      <c r="D649" t="inlineStr">
        <is>
          <t>UPPSALA LÄN</t>
        </is>
      </c>
      <c r="E649" t="inlineStr">
        <is>
          <t>UPPSALA</t>
        </is>
      </c>
      <c r="G649" t="n">
        <v>3.7</v>
      </c>
      <c r="H649" t="n">
        <v>0</v>
      </c>
      <c r="I649" t="n">
        <v>1</v>
      </c>
      <c r="J649" t="n">
        <v>0</v>
      </c>
      <c r="K649" t="n">
        <v>0</v>
      </c>
      <c r="L649" t="n">
        <v>0</v>
      </c>
      <c r="M649" t="n">
        <v>0</v>
      </c>
      <c r="N649" t="n">
        <v>0</v>
      </c>
      <c r="O649" t="n">
        <v>0</v>
      </c>
      <c r="P649" t="n">
        <v>0</v>
      </c>
      <c r="Q649" t="n">
        <v>1</v>
      </c>
      <c r="R649" s="2" t="inlineStr">
        <is>
          <t>Grönpyrola</t>
        </is>
      </c>
      <c r="S649">
        <f>HYPERLINK("https://klasma.github.io/Logging_0380/artfynd/A 28951-2023 artfynd.xlsx", "A 28951-2023")</f>
        <v/>
      </c>
      <c r="T649">
        <f>HYPERLINK("https://klasma.github.io/Logging_0380/kartor/A 28951-2023 karta.png", "A 28951-2023")</f>
        <v/>
      </c>
      <c r="V649">
        <f>HYPERLINK("https://klasma.github.io/Logging_0380/klagomål/A 28951-2023 FSC-klagomål.docx", "A 28951-2023")</f>
        <v/>
      </c>
      <c r="W649">
        <f>HYPERLINK("https://klasma.github.io/Logging_0380/klagomålsmail/A 28951-2023 FSC-klagomål mail.docx", "A 28951-2023")</f>
        <v/>
      </c>
      <c r="X649">
        <f>HYPERLINK("https://klasma.github.io/Logging_0380/tillsyn/A 28951-2023 tillsynsbegäran.docx", "A 28951-2023")</f>
        <v/>
      </c>
      <c r="Y649">
        <f>HYPERLINK("https://klasma.github.io/Logging_0380/tillsynsmail/A 28951-2023 tillsynsbegäran mail.docx", "A 28951-2023")</f>
        <v/>
      </c>
    </row>
    <row r="650" ht="15" customHeight="1">
      <c r="A650" t="inlineStr">
        <is>
          <t>A 29564-2023</t>
        </is>
      </c>
      <c r="B650" s="1" t="n">
        <v>45106</v>
      </c>
      <c r="C650" s="1" t="n">
        <v>45846</v>
      </c>
      <c r="D650" t="inlineStr">
        <is>
          <t>UPPSALA LÄN</t>
        </is>
      </c>
      <c r="E650" t="inlineStr">
        <is>
          <t>ÖSTHAMMAR</t>
        </is>
      </c>
      <c r="F650" t="inlineStr">
        <is>
          <t>Naturvårdsverket</t>
        </is>
      </c>
      <c r="G650" t="n">
        <v>1.2</v>
      </c>
      <c r="H650" t="n">
        <v>1</v>
      </c>
      <c r="I650" t="n">
        <v>0</v>
      </c>
      <c r="J650" t="n">
        <v>0</v>
      </c>
      <c r="K650" t="n">
        <v>0</v>
      </c>
      <c r="L650" t="n">
        <v>0</v>
      </c>
      <c r="M650" t="n">
        <v>0</v>
      </c>
      <c r="N650" t="n">
        <v>0</v>
      </c>
      <c r="O650" t="n">
        <v>0</v>
      </c>
      <c r="P650" t="n">
        <v>0</v>
      </c>
      <c r="Q650" t="n">
        <v>1</v>
      </c>
      <c r="R650" s="2" t="inlineStr">
        <is>
          <t>Blåsippa</t>
        </is>
      </c>
      <c r="S650">
        <f>HYPERLINK("https://klasma.github.io/Logging_0382/artfynd/A 29564-2023 artfynd.xlsx", "A 29564-2023")</f>
        <v/>
      </c>
      <c r="T650">
        <f>HYPERLINK("https://klasma.github.io/Logging_0382/kartor/A 29564-2023 karta.png", "A 29564-2023")</f>
        <v/>
      </c>
      <c r="V650">
        <f>HYPERLINK("https://klasma.github.io/Logging_0382/klagomål/A 29564-2023 FSC-klagomål.docx", "A 29564-2023")</f>
        <v/>
      </c>
      <c r="W650">
        <f>HYPERLINK("https://klasma.github.io/Logging_0382/klagomålsmail/A 29564-2023 FSC-klagomål mail.docx", "A 29564-2023")</f>
        <v/>
      </c>
      <c r="X650">
        <f>HYPERLINK("https://klasma.github.io/Logging_0382/tillsyn/A 29564-2023 tillsynsbegäran.docx", "A 29564-2023")</f>
        <v/>
      </c>
      <c r="Y650">
        <f>HYPERLINK("https://klasma.github.io/Logging_0382/tillsynsmail/A 29564-2023 tillsynsbegäran mail.docx", "A 29564-2023")</f>
        <v/>
      </c>
    </row>
    <row r="651" ht="15" customHeight="1">
      <c r="A651" t="inlineStr">
        <is>
          <t>A 29679-2023</t>
        </is>
      </c>
      <c r="B651" s="1" t="n">
        <v>45107</v>
      </c>
      <c r="C651" s="1" t="n">
        <v>45846</v>
      </c>
      <c r="D651" t="inlineStr">
        <is>
          <t>UPPSALA LÄN</t>
        </is>
      </c>
      <c r="E651" t="inlineStr">
        <is>
          <t>ÖSTHAMMAR</t>
        </is>
      </c>
      <c r="F651" t="inlineStr">
        <is>
          <t>Övriga Aktiebolag</t>
        </is>
      </c>
      <c r="G651" t="n">
        <v>7.3</v>
      </c>
      <c r="H651" t="n">
        <v>0</v>
      </c>
      <c r="I651" t="n">
        <v>0</v>
      </c>
      <c r="J651" t="n">
        <v>1</v>
      </c>
      <c r="K651" t="n">
        <v>0</v>
      </c>
      <c r="L651" t="n">
        <v>0</v>
      </c>
      <c r="M651" t="n">
        <v>0</v>
      </c>
      <c r="N651" t="n">
        <v>0</v>
      </c>
      <c r="O651" t="n">
        <v>1</v>
      </c>
      <c r="P651" t="n">
        <v>0</v>
      </c>
      <c r="Q651" t="n">
        <v>1</v>
      </c>
      <c r="R651" s="2" t="inlineStr">
        <is>
          <t>Vintertagging</t>
        </is>
      </c>
      <c r="S651">
        <f>HYPERLINK("https://klasma.github.io/Logging_0382/artfynd/A 29679-2023 artfynd.xlsx", "A 29679-2023")</f>
        <v/>
      </c>
      <c r="T651">
        <f>HYPERLINK("https://klasma.github.io/Logging_0382/kartor/A 29679-2023 karta.png", "A 29679-2023")</f>
        <v/>
      </c>
      <c r="V651">
        <f>HYPERLINK("https://klasma.github.io/Logging_0382/klagomål/A 29679-2023 FSC-klagomål.docx", "A 29679-2023")</f>
        <v/>
      </c>
      <c r="W651">
        <f>HYPERLINK("https://klasma.github.io/Logging_0382/klagomålsmail/A 29679-2023 FSC-klagomål mail.docx", "A 29679-2023")</f>
        <v/>
      </c>
      <c r="X651">
        <f>HYPERLINK("https://klasma.github.io/Logging_0382/tillsyn/A 29679-2023 tillsynsbegäran.docx", "A 29679-2023")</f>
        <v/>
      </c>
      <c r="Y651">
        <f>HYPERLINK("https://klasma.github.io/Logging_0382/tillsynsmail/A 29679-2023 tillsynsbegäran mail.docx", "A 29679-2023")</f>
        <v/>
      </c>
    </row>
    <row r="652" ht="15" customHeight="1">
      <c r="A652" t="inlineStr">
        <is>
          <t>A 29902-2023</t>
        </is>
      </c>
      <c r="B652" s="1" t="n">
        <v>45107</v>
      </c>
      <c r="C652" s="1" t="n">
        <v>45846</v>
      </c>
      <c r="D652" t="inlineStr">
        <is>
          <t>UPPSALA LÄN</t>
        </is>
      </c>
      <c r="E652" t="inlineStr">
        <is>
          <t>UPPSALA</t>
        </is>
      </c>
      <c r="F652" t="inlineStr">
        <is>
          <t>Kyrkan</t>
        </is>
      </c>
      <c r="G652" t="n">
        <v>10.6</v>
      </c>
      <c r="H652" t="n">
        <v>1</v>
      </c>
      <c r="I652" t="n">
        <v>0</v>
      </c>
      <c r="J652" t="n">
        <v>1</v>
      </c>
      <c r="K652" t="n">
        <v>0</v>
      </c>
      <c r="L652" t="n">
        <v>0</v>
      </c>
      <c r="M652" t="n">
        <v>0</v>
      </c>
      <c r="N652" t="n">
        <v>0</v>
      </c>
      <c r="O652" t="n">
        <v>1</v>
      </c>
      <c r="P652" t="n">
        <v>0</v>
      </c>
      <c r="Q652" t="n">
        <v>1</v>
      </c>
      <c r="R652" s="2" t="inlineStr">
        <is>
          <t>Järpe</t>
        </is>
      </c>
      <c r="S652">
        <f>HYPERLINK("https://klasma.github.io/Logging_0380/artfynd/A 29902-2023 artfynd.xlsx", "A 29902-2023")</f>
        <v/>
      </c>
      <c r="T652">
        <f>HYPERLINK("https://klasma.github.io/Logging_0380/kartor/A 29902-2023 karta.png", "A 29902-2023")</f>
        <v/>
      </c>
      <c r="V652">
        <f>HYPERLINK("https://klasma.github.io/Logging_0380/klagomål/A 29902-2023 FSC-klagomål.docx", "A 29902-2023")</f>
        <v/>
      </c>
      <c r="W652">
        <f>HYPERLINK("https://klasma.github.io/Logging_0380/klagomålsmail/A 29902-2023 FSC-klagomål mail.docx", "A 29902-2023")</f>
        <v/>
      </c>
      <c r="X652">
        <f>HYPERLINK("https://klasma.github.io/Logging_0380/tillsyn/A 29902-2023 tillsynsbegäran.docx", "A 29902-2023")</f>
        <v/>
      </c>
      <c r="Y652">
        <f>HYPERLINK("https://klasma.github.io/Logging_0380/tillsynsmail/A 29902-2023 tillsynsbegäran mail.docx", "A 29902-2023")</f>
        <v/>
      </c>
      <c r="Z652">
        <f>HYPERLINK("https://klasma.github.io/Logging_0380/fåglar/A 29902-2023 prioriterade fågelarter.docx", "A 29902-2023")</f>
        <v/>
      </c>
    </row>
    <row r="653" ht="15" customHeight="1">
      <c r="A653" t="inlineStr">
        <is>
          <t>A 29906-2023</t>
        </is>
      </c>
      <c r="B653" s="1" t="n">
        <v>45107</v>
      </c>
      <c r="C653" s="1" t="n">
        <v>45846</v>
      </c>
      <c r="D653" t="inlineStr">
        <is>
          <t>UPPSALA LÄN</t>
        </is>
      </c>
      <c r="E653" t="inlineStr">
        <is>
          <t>UPPSALA</t>
        </is>
      </c>
      <c r="F653" t="inlineStr">
        <is>
          <t>Kyrkan</t>
        </is>
      </c>
      <c r="G653" t="n">
        <v>0.5</v>
      </c>
      <c r="H653" t="n">
        <v>0</v>
      </c>
      <c r="I653" t="n">
        <v>1</v>
      </c>
      <c r="J653" t="n">
        <v>0</v>
      </c>
      <c r="K653" t="n">
        <v>0</v>
      </c>
      <c r="L653" t="n">
        <v>0</v>
      </c>
      <c r="M653" t="n">
        <v>0</v>
      </c>
      <c r="N653" t="n">
        <v>0</v>
      </c>
      <c r="O653" t="n">
        <v>0</v>
      </c>
      <c r="P653" t="n">
        <v>0</v>
      </c>
      <c r="Q653" t="n">
        <v>1</v>
      </c>
      <c r="R653" s="2" t="inlineStr">
        <is>
          <t>Sotriska</t>
        </is>
      </c>
      <c r="S653">
        <f>HYPERLINK("https://klasma.github.io/Logging_0380/artfynd/A 29906-2023 artfynd.xlsx", "A 29906-2023")</f>
        <v/>
      </c>
      <c r="T653">
        <f>HYPERLINK("https://klasma.github.io/Logging_0380/kartor/A 29906-2023 karta.png", "A 29906-2023")</f>
        <v/>
      </c>
      <c r="V653">
        <f>HYPERLINK("https://klasma.github.io/Logging_0380/klagomål/A 29906-2023 FSC-klagomål.docx", "A 29906-2023")</f>
        <v/>
      </c>
      <c r="W653">
        <f>HYPERLINK("https://klasma.github.io/Logging_0380/klagomålsmail/A 29906-2023 FSC-klagomål mail.docx", "A 29906-2023")</f>
        <v/>
      </c>
      <c r="X653">
        <f>HYPERLINK("https://klasma.github.io/Logging_0380/tillsyn/A 29906-2023 tillsynsbegäran.docx", "A 29906-2023")</f>
        <v/>
      </c>
      <c r="Y653">
        <f>HYPERLINK("https://klasma.github.io/Logging_0380/tillsynsmail/A 29906-2023 tillsynsbegäran mail.docx", "A 29906-2023")</f>
        <v/>
      </c>
    </row>
    <row r="654" ht="15" customHeight="1">
      <c r="A654" t="inlineStr">
        <is>
          <t>A 30526-2023</t>
        </is>
      </c>
      <c r="B654" s="1" t="n">
        <v>45111</v>
      </c>
      <c r="C654" s="1" t="n">
        <v>45846</v>
      </c>
      <c r="D654" t="inlineStr">
        <is>
          <t>UPPSALA LÄN</t>
        </is>
      </c>
      <c r="E654" t="inlineStr">
        <is>
          <t>HEBY</t>
        </is>
      </c>
      <c r="G654" t="n">
        <v>1.9</v>
      </c>
      <c r="H654" t="n">
        <v>1</v>
      </c>
      <c r="I654" t="n">
        <v>0</v>
      </c>
      <c r="J654" t="n">
        <v>1</v>
      </c>
      <c r="K654" t="n">
        <v>0</v>
      </c>
      <c r="L654" t="n">
        <v>0</v>
      </c>
      <c r="M654" t="n">
        <v>0</v>
      </c>
      <c r="N654" t="n">
        <v>0</v>
      </c>
      <c r="O654" t="n">
        <v>1</v>
      </c>
      <c r="P654" t="n">
        <v>0</v>
      </c>
      <c r="Q654" t="n">
        <v>1</v>
      </c>
      <c r="R654" s="2" t="inlineStr">
        <is>
          <t>Järpe</t>
        </is>
      </c>
      <c r="S654">
        <f>HYPERLINK("https://klasma.github.io/Logging_0331/artfynd/A 30526-2023 artfynd.xlsx", "A 30526-2023")</f>
        <v/>
      </c>
      <c r="T654">
        <f>HYPERLINK("https://klasma.github.io/Logging_0331/kartor/A 30526-2023 karta.png", "A 30526-2023")</f>
        <v/>
      </c>
      <c r="V654">
        <f>HYPERLINK("https://klasma.github.io/Logging_0331/klagomål/A 30526-2023 FSC-klagomål.docx", "A 30526-2023")</f>
        <v/>
      </c>
      <c r="W654">
        <f>HYPERLINK("https://klasma.github.io/Logging_0331/klagomålsmail/A 30526-2023 FSC-klagomål mail.docx", "A 30526-2023")</f>
        <v/>
      </c>
      <c r="X654">
        <f>HYPERLINK("https://klasma.github.io/Logging_0331/tillsyn/A 30526-2023 tillsynsbegäran.docx", "A 30526-2023")</f>
        <v/>
      </c>
      <c r="Y654">
        <f>HYPERLINK("https://klasma.github.io/Logging_0331/tillsynsmail/A 30526-2023 tillsynsbegäran mail.docx", "A 30526-2023")</f>
        <v/>
      </c>
      <c r="Z654">
        <f>HYPERLINK("https://klasma.github.io/Logging_0331/fåglar/A 30526-2023 prioriterade fågelarter.docx", "A 30526-2023")</f>
        <v/>
      </c>
    </row>
    <row r="655" ht="15" customHeight="1">
      <c r="A655" t="inlineStr">
        <is>
          <t>A 32292-2023</t>
        </is>
      </c>
      <c r="B655" s="1" t="n">
        <v>45120</v>
      </c>
      <c r="C655" s="1" t="n">
        <v>45846</v>
      </c>
      <c r="D655" t="inlineStr">
        <is>
          <t>UPPSALA LÄN</t>
        </is>
      </c>
      <c r="E655" t="inlineStr">
        <is>
          <t>HEBY</t>
        </is>
      </c>
      <c r="G655" t="n">
        <v>4.2</v>
      </c>
      <c r="H655" t="n">
        <v>0</v>
      </c>
      <c r="I655" t="n">
        <v>1</v>
      </c>
      <c r="J655" t="n">
        <v>0</v>
      </c>
      <c r="K655" t="n">
        <v>0</v>
      </c>
      <c r="L655" t="n">
        <v>0</v>
      </c>
      <c r="M655" t="n">
        <v>0</v>
      </c>
      <c r="N655" t="n">
        <v>0</v>
      </c>
      <c r="O655" t="n">
        <v>0</v>
      </c>
      <c r="P655" t="n">
        <v>0</v>
      </c>
      <c r="Q655" t="n">
        <v>1</v>
      </c>
      <c r="R655" s="2" t="inlineStr">
        <is>
          <t>Vedticka</t>
        </is>
      </c>
      <c r="S655">
        <f>HYPERLINK("https://klasma.github.io/Logging_0331/artfynd/A 32292-2023 artfynd.xlsx", "A 32292-2023")</f>
        <v/>
      </c>
      <c r="T655">
        <f>HYPERLINK("https://klasma.github.io/Logging_0331/kartor/A 32292-2023 karta.png", "A 32292-2023")</f>
        <v/>
      </c>
      <c r="V655">
        <f>HYPERLINK("https://klasma.github.io/Logging_0331/klagomål/A 32292-2023 FSC-klagomål.docx", "A 32292-2023")</f>
        <v/>
      </c>
      <c r="W655">
        <f>HYPERLINK("https://klasma.github.io/Logging_0331/klagomålsmail/A 32292-2023 FSC-klagomål mail.docx", "A 32292-2023")</f>
        <v/>
      </c>
      <c r="X655">
        <f>HYPERLINK("https://klasma.github.io/Logging_0331/tillsyn/A 32292-2023 tillsynsbegäran.docx", "A 32292-2023")</f>
        <v/>
      </c>
      <c r="Y655">
        <f>HYPERLINK("https://klasma.github.io/Logging_0331/tillsynsmail/A 32292-2023 tillsynsbegäran mail.docx", "A 32292-2023")</f>
        <v/>
      </c>
    </row>
    <row r="656" ht="15" customHeight="1">
      <c r="A656" t="inlineStr">
        <is>
          <t>A 32299-2023</t>
        </is>
      </c>
      <c r="B656" s="1" t="n">
        <v>45120</v>
      </c>
      <c r="C656" s="1" t="n">
        <v>45846</v>
      </c>
      <c r="D656" t="inlineStr">
        <is>
          <t>UPPSALA LÄN</t>
        </is>
      </c>
      <c r="E656" t="inlineStr">
        <is>
          <t>HEBY</t>
        </is>
      </c>
      <c r="G656" t="n">
        <v>2.1</v>
      </c>
      <c r="H656" t="n">
        <v>1</v>
      </c>
      <c r="I656" t="n">
        <v>0</v>
      </c>
      <c r="J656" t="n">
        <v>0</v>
      </c>
      <c r="K656" t="n">
        <v>0</v>
      </c>
      <c r="L656" t="n">
        <v>0</v>
      </c>
      <c r="M656" t="n">
        <v>0</v>
      </c>
      <c r="N656" t="n">
        <v>0</v>
      </c>
      <c r="O656" t="n">
        <v>0</v>
      </c>
      <c r="P656" t="n">
        <v>0</v>
      </c>
      <c r="Q656" t="n">
        <v>1</v>
      </c>
      <c r="R656" s="2" t="inlineStr">
        <is>
          <t>Revlummer</t>
        </is>
      </c>
      <c r="S656">
        <f>HYPERLINK("https://klasma.github.io/Logging_0331/artfynd/A 32299-2023 artfynd.xlsx", "A 32299-2023")</f>
        <v/>
      </c>
      <c r="T656">
        <f>HYPERLINK("https://klasma.github.io/Logging_0331/kartor/A 32299-2023 karta.png", "A 32299-2023")</f>
        <v/>
      </c>
      <c r="V656">
        <f>HYPERLINK("https://klasma.github.io/Logging_0331/klagomål/A 32299-2023 FSC-klagomål.docx", "A 32299-2023")</f>
        <v/>
      </c>
      <c r="W656">
        <f>HYPERLINK("https://klasma.github.io/Logging_0331/klagomålsmail/A 32299-2023 FSC-klagomål mail.docx", "A 32299-2023")</f>
        <v/>
      </c>
      <c r="X656">
        <f>HYPERLINK("https://klasma.github.io/Logging_0331/tillsyn/A 32299-2023 tillsynsbegäran.docx", "A 32299-2023")</f>
        <v/>
      </c>
      <c r="Y656">
        <f>HYPERLINK("https://klasma.github.io/Logging_0331/tillsynsmail/A 32299-2023 tillsynsbegäran mail.docx", "A 32299-2023")</f>
        <v/>
      </c>
    </row>
    <row r="657" ht="15" customHeight="1">
      <c r="A657" t="inlineStr">
        <is>
          <t>A 32302-2023</t>
        </is>
      </c>
      <c r="B657" s="1" t="n">
        <v>45120</v>
      </c>
      <c r="C657" s="1" t="n">
        <v>45846</v>
      </c>
      <c r="D657" t="inlineStr">
        <is>
          <t>UPPSALA LÄN</t>
        </is>
      </c>
      <c r="E657" t="inlineStr">
        <is>
          <t>HEBY</t>
        </is>
      </c>
      <c r="G657" t="n">
        <v>3.9</v>
      </c>
      <c r="H657" t="n">
        <v>1</v>
      </c>
      <c r="I657" t="n">
        <v>0</v>
      </c>
      <c r="J657" t="n">
        <v>1</v>
      </c>
      <c r="K657" t="n">
        <v>0</v>
      </c>
      <c r="L657" t="n">
        <v>0</v>
      </c>
      <c r="M657" t="n">
        <v>0</v>
      </c>
      <c r="N657" t="n">
        <v>0</v>
      </c>
      <c r="O657" t="n">
        <v>1</v>
      </c>
      <c r="P657" t="n">
        <v>0</v>
      </c>
      <c r="Q657" t="n">
        <v>1</v>
      </c>
      <c r="R657" s="2" t="inlineStr">
        <is>
          <t>Spillkråka</t>
        </is>
      </c>
      <c r="S657">
        <f>HYPERLINK("https://klasma.github.io/Logging_0331/artfynd/A 32302-2023 artfynd.xlsx", "A 32302-2023")</f>
        <v/>
      </c>
      <c r="T657">
        <f>HYPERLINK("https://klasma.github.io/Logging_0331/kartor/A 32302-2023 karta.png", "A 32302-2023")</f>
        <v/>
      </c>
      <c r="V657">
        <f>HYPERLINK("https://klasma.github.io/Logging_0331/klagomål/A 32302-2023 FSC-klagomål.docx", "A 32302-2023")</f>
        <v/>
      </c>
      <c r="W657">
        <f>HYPERLINK("https://klasma.github.io/Logging_0331/klagomålsmail/A 32302-2023 FSC-klagomål mail.docx", "A 32302-2023")</f>
        <v/>
      </c>
      <c r="X657">
        <f>HYPERLINK("https://klasma.github.io/Logging_0331/tillsyn/A 32302-2023 tillsynsbegäran.docx", "A 32302-2023")</f>
        <v/>
      </c>
      <c r="Y657">
        <f>HYPERLINK("https://klasma.github.io/Logging_0331/tillsynsmail/A 32302-2023 tillsynsbegäran mail.docx", "A 32302-2023")</f>
        <v/>
      </c>
      <c r="Z657">
        <f>HYPERLINK("https://klasma.github.io/Logging_0331/fåglar/A 32302-2023 prioriterade fågelarter.docx", "A 32302-2023")</f>
        <v/>
      </c>
    </row>
    <row r="658" ht="15" customHeight="1">
      <c r="A658" t="inlineStr">
        <is>
          <t>A 32518-2023</t>
        </is>
      </c>
      <c r="B658" s="1" t="n">
        <v>45121</v>
      </c>
      <c r="C658" s="1" t="n">
        <v>45846</v>
      </c>
      <c r="D658" t="inlineStr">
        <is>
          <t>UPPSALA LÄN</t>
        </is>
      </c>
      <c r="E658" t="inlineStr">
        <is>
          <t>ÖSTHAMMAR</t>
        </is>
      </c>
      <c r="G658" t="n">
        <v>11.1</v>
      </c>
      <c r="H658" t="n">
        <v>0</v>
      </c>
      <c r="I658" t="n">
        <v>1</v>
      </c>
      <c r="J658" t="n">
        <v>0</v>
      </c>
      <c r="K658" t="n">
        <v>0</v>
      </c>
      <c r="L658" t="n">
        <v>0</v>
      </c>
      <c r="M658" t="n">
        <v>0</v>
      </c>
      <c r="N658" t="n">
        <v>0</v>
      </c>
      <c r="O658" t="n">
        <v>0</v>
      </c>
      <c r="P658" t="n">
        <v>0</v>
      </c>
      <c r="Q658" t="n">
        <v>1</v>
      </c>
      <c r="R658" s="2" t="inlineStr">
        <is>
          <t>Olivspindling</t>
        </is>
      </c>
      <c r="S658">
        <f>HYPERLINK("https://klasma.github.io/Logging_0382/artfynd/A 32518-2023 artfynd.xlsx", "A 32518-2023")</f>
        <v/>
      </c>
      <c r="T658">
        <f>HYPERLINK("https://klasma.github.io/Logging_0382/kartor/A 32518-2023 karta.png", "A 32518-2023")</f>
        <v/>
      </c>
      <c r="V658">
        <f>HYPERLINK("https://klasma.github.io/Logging_0382/klagomål/A 32518-2023 FSC-klagomål.docx", "A 32518-2023")</f>
        <v/>
      </c>
      <c r="W658">
        <f>HYPERLINK("https://klasma.github.io/Logging_0382/klagomålsmail/A 32518-2023 FSC-klagomål mail.docx", "A 32518-2023")</f>
        <v/>
      </c>
      <c r="X658">
        <f>HYPERLINK("https://klasma.github.io/Logging_0382/tillsyn/A 32518-2023 tillsynsbegäran.docx", "A 32518-2023")</f>
        <v/>
      </c>
      <c r="Y658">
        <f>HYPERLINK("https://klasma.github.io/Logging_0382/tillsynsmail/A 32518-2023 tillsynsbegäran mail.docx", "A 32518-2023")</f>
        <v/>
      </c>
    </row>
    <row r="659" ht="15" customHeight="1">
      <c r="A659" t="inlineStr">
        <is>
          <t>A 32668-2023</t>
        </is>
      </c>
      <c r="B659" s="1" t="n">
        <v>45121</v>
      </c>
      <c r="C659" s="1" t="n">
        <v>45846</v>
      </c>
      <c r="D659" t="inlineStr">
        <is>
          <t>UPPSALA LÄN</t>
        </is>
      </c>
      <c r="E659" t="inlineStr">
        <is>
          <t>UPPSALA</t>
        </is>
      </c>
      <c r="F659" t="inlineStr">
        <is>
          <t>Holmen skog AB</t>
        </is>
      </c>
      <c r="G659" t="n">
        <v>6.3</v>
      </c>
      <c r="H659" t="n">
        <v>1</v>
      </c>
      <c r="I659" t="n">
        <v>0</v>
      </c>
      <c r="J659" t="n">
        <v>0</v>
      </c>
      <c r="K659" t="n">
        <v>0</v>
      </c>
      <c r="L659" t="n">
        <v>0</v>
      </c>
      <c r="M659" t="n">
        <v>0</v>
      </c>
      <c r="N659" t="n">
        <v>0</v>
      </c>
      <c r="O659" t="n">
        <v>0</v>
      </c>
      <c r="P659" t="n">
        <v>0</v>
      </c>
      <c r="Q659" t="n">
        <v>1</v>
      </c>
      <c r="R659" s="2" t="inlineStr">
        <is>
          <t>Blåsippa</t>
        </is>
      </c>
      <c r="S659">
        <f>HYPERLINK("https://klasma.github.io/Logging_0380/artfynd/A 32668-2023 artfynd.xlsx", "A 32668-2023")</f>
        <v/>
      </c>
      <c r="T659">
        <f>HYPERLINK("https://klasma.github.io/Logging_0380/kartor/A 32668-2023 karta.png", "A 32668-2023")</f>
        <v/>
      </c>
      <c r="V659">
        <f>HYPERLINK("https://klasma.github.io/Logging_0380/klagomål/A 32668-2023 FSC-klagomål.docx", "A 32668-2023")</f>
        <v/>
      </c>
      <c r="W659">
        <f>HYPERLINK("https://klasma.github.io/Logging_0380/klagomålsmail/A 32668-2023 FSC-klagomål mail.docx", "A 32668-2023")</f>
        <v/>
      </c>
      <c r="X659">
        <f>HYPERLINK("https://klasma.github.io/Logging_0380/tillsyn/A 32668-2023 tillsynsbegäran.docx", "A 32668-2023")</f>
        <v/>
      </c>
      <c r="Y659">
        <f>HYPERLINK("https://klasma.github.io/Logging_0380/tillsynsmail/A 32668-2023 tillsynsbegäran mail.docx", "A 32668-2023")</f>
        <v/>
      </c>
    </row>
    <row r="660" ht="15" customHeight="1">
      <c r="A660" t="inlineStr">
        <is>
          <t>A 32755-2023</t>
        </is>
      </c>
      <c r="B660" s="1" t="n">
        <v>45123</v>
      </c>
      <c r="C660" s="1" t="n">
        <v>45846</v>
      </c>
      <c r="D660" t="inlineStr">
        <is>
          <t>UPPSALA LÄN</t>
        </is>
      </c>
      <c r="E660" t="inlineStr">
        <is>
          <t>UPPSALA</t>
        </is>
      </c>
      <c r="G660" t="n">
        <v>5.7</v>
      </c>
      <c r="H660" t="n">
        <v>1</v>
      </c>
      <c r="I660" t="n">
        <v>0</v>
      </c>
      <c r="J660" t="n">
        <v>1</v>
      </c>
      <c r="K660" t="n">
        <v>0</v>
      </c>
      <c r="L660" t="n">
        <v>0</v>
      </c>
      <c r="M660" t="n">
        <v>0</v>
      </c>
      <c r="N660" t="n">
        <v>0</v>
      </c>
      <c r="O660" t="n">
        <v>1</v>
      </c>
      <c r="P660" t="n">
        <v>0</v>
      </c>
      <c r="Q660" t="n">
        <v>1</v>
      </c>
      <c r="R660" s="2" t="inlineStr">
        <is>
          <t>Spillkråka</t>
        </is>
      </c>
      <c r="S660">
        <f>HYPERLINK("https://klasma.github.io/Logging_0380/artfynd/A 32755-2023 artfynd.xlsx", "A 32755-2023")</f>
        <v/>
      </c>
      <c r="T660">
        <f>HYPERLINK("https://klasma.github.io/Logging_0380/kartor/A 32755-2023 karta.png", "A 32755-2023")</f>
        <v/>
      </c>
      <c r="V660">
        <f>HYPERLINK("https://klasma.github.io/Logging_0380/klagomål/A 32755-2023 FSC-klagomål.docx", "A 32755-2023")</f>
        <v/>
      </c>
      <c r="W660">
        <f>HYPERLINK("https://klasma.github.io/Logging_0380/klagomålsmail/A 32755-2023 FSC-klagomål mail.docx", "A 32755-2023")</f>
        <v/>
      </c>
      <c r="X660">
        <f>HYPERLINK("https://klasma.github.io/Logging_0380/tillsyn/A 32755-2023 tillsynsbegäran.docx", "A 32755-2023")</f>
        <v/>
      </c>
      <c r="Y660">
        <f>HYPERLINK("https://klasma.github.io/Logging_0380/tillsynsmail/A 32755-2023 tillsynsbegäran mail.docx", "A 32755-2023")</f>
        <v/>
      </c>
      <c r="Z660">
        <f>HYPERLINK("https://klasma.github.io/Logging_0380/fåglar/A 32755-2023 prioriterade fågelarter.docx", "A 32755-2023")</f>
        <v/>
      </c>
    </row>
    <row r="661" ht="15" customHeight="1">
      <c r="A661" t="inlineStr">
        <is>
          <t>A 33770-2023</t>
        </is>
      </c>
      <c r="B661" s="1" t="n">
        <v>45133</v>
      </c>
      <c r="C661" s="1" t="n">
        <v>45846</v>
      </c>
      <c r="D661" t="inlineStr">
        <is>
          <t>UPPSALA LÄN</t>
        </is>
      </c>
      <c r="E661" t="inlineStr">
        <is>
          <t>KNIVSTA</t>
        </is>
      </c>
      <c r="F661" t="inlineStr">
        <is>
          <t>Holmen skog AB</t>
        </is>
      </c>
      <c r="G661" t="n">
        <v>4</v>
      </c>
      <c r="H661" t="n">
        <v>1</v>
      </c>
      <c r="I661" t="n">
        <v>0</v>
      </c>
      <c r="J661" t="n">
        <v>1</v>
      </c>
      <c r="K661" t="n">
        <v>0</v>
      </c>
      <c r="L661" t="n">
        <v>0</v>
      </c>
      <c r="M661" t="n">
        <v>0</v>
      </c>
      <c r="N661" t="n">
        <v>0</v>
      </c>
      <c r="O661" t="n">
        <v>1</v>
      </c>
      <c r="P661" t="n">
        <v>0</v>
      </c>
      <c r="Q661" t="n">
        <v>1</v>
      </c>
      <c r="R661" s="2" t="inlineStr">
        <is>
          <t>Slaguggla</t>
        </is>
      </c>
      <c r="S661">
        <f>HYPERLINK("https://klasma.github.io/Logging_0330/artfynd/A 33770-2023 artfynd.xlsx", "A 33770-2023")</f>
        <v/>
      </c>
      <c r="T661">
        <f>HYPERLINK("https://klasma.github.io/Logging_0330/kartor/A 33770-2023 karta.png", "A 33770-2023")</f>
        <v/>
      </c>
      <c r="V661">
        <f>HYPERLINK("https://klasma.github.io/Logging_0330/klagomål/A 33770-2023 FSC-klagomål.docx", "A 33770-2023")</f>
        <v/>
      </c>
      <c r="W661">
        <f>HYPERLINK("https://klasma.github.io/Logging_0330/klagomålsmail/A 33770-2023 FSC-klagomål mail.docx", "A 33770-2023")</f>
        <v/>
      </c>
      <c r="X661">
        <f>HYPERLINK("https://klasma.github.io/Logging_0330/tillsyn/A 33770-2023 tillsynsbegäran.docx", "A 33770-2023")</f>
        <v/>
      </c>
      <c r="Y661">
        <f>HYPERLINK("https://klasma.github.io/Logging_0330/tillsynsmail/A 33770-2023 tillsynsbegäran mail.docx", "A 33770-2023")</f>
        <v/>
      </c>
      <c r="Z661">
        <f>HYPERLINK("https://klasma.github.io/Logging_0330/fåglar/A 33770-2023 prioriterade fågelarter.docx", "A 33770-2023")</f>
        <v/>
      </c>
    </row>
    <row r="662" ht="15" customHeight="1">
      <c r="A662" t="inlineStr">
        <is>
          <t>A 33858-2023</t>
        </is>
      </c>
      <c r="B662" s="1" t="n">
        <v>45133</v>
      </c>
      <c r="C662" s="1" t="n">
        <v>45846</v>
      </c>
      <c r="D662" t="inlineStr">
        <is>
          <t>UPPSALA LÄN</t>
        </is>
      </c>
      <c r="E662" t="inlineStr">
        <is>
          <t>HEBY</t>
        </is>
      </c>
      <c r="G662" t="n">
        <v>1</v>
      </c>
      <c r="H662" t="n">
        <v>0</v>
      </c>
      <c r="I662" t="n">
        <v>1</v>
      </c>
      <c r="J662" t="n">
        <v>0</v>
      </c>
      <c r="K662" t="n">
        <v>0</v>
      </c>
      <c r="L662" t="n">
        <v>0</v>
      </c>
      <c r="M662" t="n">
        <v>0</v>
      </c>
      <c r="N662" t="n">
        <v>0</v>
      </c>
      <c r="O662" t="n">
        <v>0</v>
      </c>
      <c r="P662" t="n">
        <v>0</v>
      </c>
      <c r="Q662" t="n">
        <v>1</v>
      </c>
      <c r="R662" s="2" t="inlineStr">
        <is>
          <t>Myskbock</t>
        </is>
      </c>
      <c r="S662">
        <f>HYPERLINK("https://klasma.github.io/Logging_0331/artfynd/A 33858-2023 artfynd.xlsx", "A 33858-2023")</f>
        <v/>
      </c>
      <c r="T662">
        <f>HYPERLINK("https://klasma.github.io/Logging_0331/kartor/A 33858-2023 karta.png", "A 33858-2023")</f>
        <v/>
      </c>
      <c r="V662">
        <f>HYPERLINK("https://klasma.github.io/Logging_0331/klagomål/A 33858-2023 FSC-klagomål.docx", "A 33858-2023")</f>
        <v/>
      </c>
      <c r="W662">
        <f>HYPERLINK("https://klasma.github.io/Logging_0331/klagomålsmail/A 33858-2023 FSC-klagomål mail.docx", "A 33858-2023")</f>
        <v/>
      </c>
      <c r="X662">
        <f>HYPERLINK("https://klasma.github.io/Logging_0331/tillsyn/A 33858-2023 tillsynsbegäran.docx", "A 33858-2023")</f>
        <v/>
      </c>
      <c r="Y662">
        <f>HYPERLINK("https://klasma.github.io/Logging_0331/tillsynsmail/A 33858-2023 tillsynsbegäran mail.docx", "A 33858-2023")</f>
        <v/>
      </c>
    </row>
    <row r="663" ht="15" customHeight="1">
      <c r="A663" t="inlineStr">
        <is>
          <t>A 34090-2023</t>
        </is>
      </c>
      <c r="B663" s="1" t="n">
        <v>45135</v>
      </c>
      <c r="C663" s="1" t="n">
        <v>45846</v>
      </c>
      <c r="D663" t="inlineStr">
        <is>
          <t>UPPSALA LÄN</t>
        </is>
      </c>
      <c r="E663" t="inlineStr">
        <is>
          <t>ÖSTHAMMAR</t>
        </is>
      </c>
      <c r="F663" t="inlineStr">
        <is>
          <t>Bergvik skog öst AB</t>
        </is>
      </c>
      <c r="G663" t="n">
        <v>5.7</v>
      </c>
      <c r="H663" t="n">
        <v>1</v>
      </c>
      <c r="I663" t="n">
        <v>0</v>
      </c>
      <c r="J663" t="n">
        <v>1</v>
      </c>
      <c r="K663" t="n">
        <v>0</v>
      </c>
      <c r="L663" t="n">
        <v>0</v>
      </c>
      <c r="M663" t="n">
        <v>0</v>
      </c>
      <c r="N663" t="n">
        <v>0</v>
      </c>
      <c r="O663" t="n">
        <v>1</v>
      </c>
      <c r="P663" t="n">
        <v>0</v>
      </c>
      <c r="Q663" t="n">
        <v>1</v>
      </c>
      <c r="R663" s="2" t="inlineStr">
        <is>
          <t>Spillkråka</t>
        </is>
      </c>
      <c r="S663">
        <f>HYPERLINK("https://klasma.github.io/Logging_0382/artfynd/A 34090-2023 artfynd.xlsx", "A 34090-2023")</f>
        <v/>
      </c>
      <c r="T663">
        <f>HYPERLINK("https://klasma.github.io/Logging_0382/kartor/A 34090-2023 karta.png", "A 34090-2023")</f>
        <v/>
      </c>
      <c r="V663">
        <f>HYPERLINK("https://klasma.github.io/Logging_0382/klagomål/A 34090-2023 FSC-klagomål.docx", "A 34090-2023")</f>
        <v/>
      </c>
      <c r="W663">
        <f>HYPERLINK("https://klasma.github.io/Logging_0382/klagomålsmail/A 34090-2023 FSC-klagomål mail.docx", "A 34090-2023")</f>
        <v/>
      </c>
      <c r="X663">
        <f>HYPERLINK("https://klasma.github.io/Logging_0382/tillsyn/A 34090-2023 tillsynsbegäran.docx", "A 34090-2023")</f>
        <v/>
      </c>
      <c r="Y663">
        <f>HYPERLINK("https://klasma.github.io/Logging_0382/tillsynsmail/A 34090-2023 tillsynsbegäran mail.docx", "A 34090-2023")</f>
        <v/>
      </c>
      <c r="Z663">
        <f>HYPERLINK("https://klasma.github.io/Logging_0382/fåglar/A 34090-2023 prioriterade fågelarter.docx", "A 34090-2023")</f>
        <v/>
      </c>
    </row>
    <row r="664" ht="15" customHeight="1">
      <c r="A664" t="inlineStr">
        <is>
          <t>A 34732-2023</t>
        </is>
      </c>
      <c r="B664" s="1" t="n">
        <v>45139</v>
      </c>
      <c r="C664" s="1" t="n">
        <v>45846</v>
      </c>
      <c r="D664" t="inlineStr">
        <is>
          <t>UPPSALA LÄN</t>
        </is>
      </c>
      <c r="E664" t="inlineStr">
        <is>
          <t>UPPSALA</t>
        </is>
      </c>
      <c r="G664" t="n">
        <v>8.1</v>
      </c>
      <c r="H664" t="n">
        <v>1</v>
      </c>
      <c r="I664" t="n">
        <v>1</v>
      </c>
      <c r="J664" t="n">
        <v>0</v>
      </c>
      <c r="K664" t="n">
        <v>0</v>
      </c>
      <c r="L664" t="n">
        <v>0</v>
      </c>
      <c r="M664" t="n">
        <v>0</v>
      </c>
      <c r="N664" t="n">
        <v>0</v>
      </c>
      <c r="O664" t="n">
        <v>0</v>
      </c>
      <c r="P664" t="n">
        <v>0</v>
      </c>
      <c r="Q664" t="n">
        <v>1</v>
      </c>
      <c r="R664" s="2" t="inlineStr">
        <is>
          <t>Grön sköldmossa</t>
        </is>
      </c>
      <c r="S664">
        <f>HYPERLINK("https://klasma.github.io/Logging_0380/artfynd/A 34732-2023 artfynd.xlsx", "A 34732-2023")</f>
        <v/>
      </c>
      <c r="T664">
        <f>HYPERLINK("https://klasma.github.io/Logging_0380/kartor/A 34732-2023 karta.png", "A 34732-2023")</f>
        <v/>
      </c>
      <c r="V664">
        <f>HYPERLINK("https://klasma.github.io/Logging_0380/klagomål/A 34732-2023 FSC-klagomål.docx", "A 34732-2023")</f>
        <v/>
      </c>
      <c r="W664">
        <f>HYPERLINK("https://klasma.github.io/Logging_0380/klagomålsmail/A 34732-2023 FSC-klagomål mail.docx", "A 34732-2023")</f>
        <v/>
      </c>
      <c r="X664">
        <f>HYPERLINK("https://klasma.github.io/Logging_0380/tillsyn/A 34732-2023 tillsynsbegäran.docx", "A 34732-2023")</f>
        <v/>
      </c>
      <c r="Y664">
        <f>HYPERLINK("https://klasma.github.io/Logging_0380/tillsynsmail/A 34732-2023 tillsynsbegäran mail.docx", "A 34732-2023")</f>
        <v/>
      </c>
    </row>
    <row r="665" ht="15" customHeight="1">
      <c r="A665" t="inlineStr">
        <is>
          <t>A 36864-2023</t>
        </is>
      </c>
      <c r="B665" s="1" t="n">
        <v>45154</v>
      </c>
      <c r="C665" s="1" t="n">
        <v>45846</v>
      </c>
      <c r="D665" t="inlineStr">
        <is>
          <t>UPPSALA LÄN</t>
        </is>
      </c>
      <c r="E665" t="inlineStr">
        <is>
          <t>ÖSTHAMMAR</t>
        </is>
      </c>
      <c r="G665" t="n">
        <v>3.1</v>
      </c>
      <c r="H665" t="n">
        <v>0</v>
      </c>
      <c r="I665" t="n">
        <v>1</v>
      </c>
      <c r="J665" t="n">
        <v>0</v>
      </c>
      <c r="K665" t="n">
        <v>0</v>
      </c>
      <c r="L665" t="n">
        <v>0</v>
      </c>
      <c r="M665" t="n">
        <v>0</v>
      </c>
      <c r="N665" t="n">
        <v>0</v>
      </c>
      <c r="O665" t="n">
        <v>0</v>
      </c>
      <c r="P665" t="n">
        <v>0</v>
      </c>
      <c r="Q665" t="n">
        <v>1</v>
      </c>
      <c r="R665" s="2" t="inlineStr">
        <is>
          <t>Bronshjon</t>
        </is>
      </c>
      <c r="S665">
        <f>HYPERLINK("https://klasma.github.io/Logging_0382/artfynd/A 36864-2023 artfynd.xlsx", "A 36864-2023")</f>
        <v/>
      </c>
      <c r="T665">
        <f>HYPERLINK("https://klasma.github.io/Logging_0382/kartor/A 36864-2023 karta.png", "A 36864-2023")</f>
        <v/>
      </c>
      <c r="V665">
        <f>HYPERLINK("https://klasma.github.io/Logging_0382/klagomål/A 36864-2023 FSC-klagomål.docx", "A 36864-2023")</f>
        <v/>
      </c>
      <c r="W665">
        <f>HYPERLINK("https://klasma.github.io/Logging_0382/klagomålsmail/A 36864-2023 FSC-klagomål mail.docx", "A 36864-2023")</f>
        <v/>
      </c>
      <c r="X665">
        <f>HYPERLINK("https://klasma.github.io/Logging_0382/tillsyn/A 36864-2023 tillsynsbegäran.docx", "A 36864-2023")</f>
        <v/>
      </c>
      <c r="Y665">
        <f>HYPERLINK("https://klasma.github.io/Logging_0382/tillsynsmail/A 36864-2023 tillsynsbegäran mail.docx", "A 36864-2023")</f>
        <v/>
      </c>
    </row>
    <row r="666" ht="15" customHeight="1">
      <c r="A666" t="inlineStr">
        <is>
          <t>A 37296-2023</t>
        </is>
      </c>
      <c r="B666" s="1" t="n">
        <v>45156</v>
      </c>
      <c r="C666" s="1" t="n">
        <v>45846</v>
      </c>
      <c r="D666" t="inlineStr">
        <is>
          <t>UPPSALA LÄN</t>
        </is>
      </c>
      <c r="E666" t="inlineStr">
        <is>
          <t>ÖSTHAMMAR</t>
        </is>
      </c>
      <c r="G666" t="n">
        <v>4.7</v>
      </c>
      <c r="H666" t="n">
        <v>1</v>
      </c>
      <c r="I666" t="n">
        <v>0</v>
      </c>
      <c r="J666" t="n">
        <v>0</v>
      </c>
      <c r="K666" t="n">
        <v>1</v>
      </c>
      <c r="L666" t="n">
        <v>0</v>
      </c>
      <c r="M666" t="n">
        <v>0</v>
      </c>
      <c r="N666" t="n">
        <v>0</v>
      </c>
      <c r="O666" t="n">
        <v>1</v>
      </c>
      <c r="P666" t="n">
        <v>1</v>
      </c>
      <c r="Q666" t="n">
        <v>1</v>
      </c>
      <c r="R666" s="2" t="inlineStr">
        <is>
          <t>Backsippa</t>
        </is>
      </c>
      <c r="S666">
        <f>HYPERLINK("https://klasma.github.io/Logging_0382/artfynd/A 37296-2023 artfynd.xlsx", "A 37296-2023")</f>
        <v/>
      </c>
      <c r="T666">
        <f>HYPERLINK("https://klasma.github.io/Logging_0382/kartor/A 37296-2023 karta.png", "A 37296-2023")</f>
        <v/>
      </c>
      <c r="V666">
        <f>HYPERLINK("https://klasma.github.io/Logging_0382/klagomål/A 37296-2023 FSC-klagomål.docx", "A 37296-2023")</f>
        <v/>
      </c>
      <c r="W666">
        <f>HYPERLINK("https://klasma.github.io/Logging_0382/klagomålsmail/A 37296-2023 FSC-klagomål mail.docx", "A 37296-2023")</f>
        <v/>
      </c>
      <c r="X666">
        <f>HYPERLINK("https://klasma.github.io/Logging_0382/tillsyn/A 37296-2023 tillsynsbegäran.docx", "A 37296-2023")</f>
        <v/>
      </c>
      <c r="Y666">
        <f>HYPERLINK("https://klasma.github.io/Logging_0382/tillsynsmail/A 37296-2023 tillsynsbegäran mail.docx", "A 37296-2023")</f>
        <v/>
      </c>
    </row>
    <row r="667" ht="15" customHeight="1">
      <c r="A667" t="inlineStr">
        <is>
          <t>A 38151-2023</t>
        </is>
      </c>
      <c r="B667" s="1" t="n">
        <v>45160</v>
      </c>
      <c r="C667" s="1" t="n">
        <v>45846</v>
      </c>
      <c r="D667" t="inlineStr">
        <is>
          <t>UPPSALA LÄN</t>
        </is>
      </c>
      <c r="E667" t="inlineStr">
        <is>
          <t>TIERP</t>
        </is>
      </c>
      <c r="G667" t="n">
        <v>1.4</v>
      </c>
      <c r="H667" t="n">
        <v>1</v>
      </c>
      <c r="I667" t="n">
        <v>0</v>
      </c>
      <c r="J667" t="n">
        <v>0</v>
      </c>
      <c r="K667" t="n">
        <v>0</v>
      </c>
      <c r="L667" t="n">
        <v>1</v>
      </c>
      <c r="M667" t="n">
        <v>0</v>
      </c>
      <c r="N667" t="n">
        <v>0</v>
      </c>
      <c r="O667" t="n">
        <v>1</v>
      </c>
      <c r="P667" t="n">
        <v>1</v>
      </c>
      <c r="Q667" t="n">
        <v>1</v>
      </c>
      <c r="R667" s="2" t="inlineStr">
        <is>
          <t>Tornseglare</t>
        </is>
      </c>
      <c r="S667">
        <f>HYPERLINK("https://klasma.github.io/Logging_0360/artfynd/A 38151-2023 artfynd.xlsx", "A 38151-2023")</f>
        <v/>
      </c>
      <c r="T667">
        <f>HYPERLINK("https://klasma.github.io/Logging_0360/kartor/A 38151-2023 karta.png", "A 38151-2023")</f>
        <v/>
      </c>
      <c r="V667">
        <f>HYPERLINK("https://klasma.github.io/Logging_0360/klagomål/A 38151-2023 FSC-klagomål.docx", "A 38151-2023")</f>
        <v/>
      </c>
      <c r="W667">
        <f>HYPERLINK("https://klasma.github.io/Logging_0360/klagomålsmail/A 38151-2023 FSC-klagomål mail.docx", "A 38151-2023")</f>
        <v/>
      </c>
      <c r="X667">
        <f>HYPERLINK("https://klasma.github.io/Logging_0360/tillsyn/A 38151-2023 tillsynsbegäran.docx", "A 38151-2023")</f>
        <v/>
      </c>
      <c r="Y667">
        <f>HYPERLINK("https://klasma.github.io/Logging_0360/tillsynsmail/A 38151-2023 tillsynsbegäran mail.docx", "A 38151-2023")</f>
        <v/>
      </c>
      <c r="Z667">
        <f>HYPERLINK("https://klasma.github.io/Logging_0360/fåglar/A 38151-2023 prioriterade fågelarter.docx", "A 38151-2023")</f>
        <v/>
      </c>
    </row>
    <row r="668" ht="15" customHeight="1">
      <c r="A668" t="inlineStr">
        <is>
          <t>A 38105-2023</t>
        </is>
      </c>
      <c r="B668" s="1" t="n">
        <v>45161</v>
      </c>
      <c r="C668" s="1" t="n">
        <v>45846</v>
      </c>
      <c r="D668" t="inlineStr">
        <is>
          <t>UPPSALA LÄN</t>
        </is>
      </c>
      <c r="E668" t="inlineStr">
        <is>
          <t>TIERP</t>
        </is>
      </c>
      <c r="F668" t="inlineStr">
        <is>
          <t>Bergvik skog öst AB</t>
        </is>
      </c>
      <c r="G668" t="n">
        <v>15.1</v>
      </c>
      <c r="H668" t="n">
        <v>1</v>
      </c>
      <c r="I668" t="n">
        <v>0</v>
      </c>
      <c r="J668" t="n">
        <v>0</v>
      </c>
      <c r="K668" t="n">
        <v>0</v>
      </c>
      <c r="L668" t="n">
        <v>0</v>
      </c>
      <c r="M668" t="n">
        <v>0</v>
      </c>
      <c r="N668" t="n">
        <v>0</v>
      </c>
      <c r="O668" t="n">
        <v>0</v>
      </c>
      <c r="P668" t="n">
        <v>0</v>
      </c>
      <c r="Q668" t="n">
        <v>1</v>
      </c>
      <c r="R668" s="2" t="inlineStr">
        <is>
          <t>Tjäder</t>
        </is>
      </c>
      <c r="S668">
        <f>HYPERLINK("https://klasma.github.io/Logging_0360/artfynd/A 38105-2023 artfynd.xlsx", "A 38105-2023")</f>
        <v/>
      </c>
      <c r="T668">
        <f>HYPERLINK("https://klasma.github.io/Logging_0360/kartor/A 38105-2023 karta.png", "A 38105-2023")</f>
        <v/>
      </c>
      <c r="V668">
        <f>HYPERLINK("https://klasma.github.io/Logging_0360/klagomål/A 38105-2023 FSC-klagomål.docx", "A 38105-2023")</f>
        <v/>
      </c>
      <c r="W668">
        <f>HYPERLINK("https://klasma.github.io/Logging_0360/klagomålsmail/A 38105-2023 FSC-klagomål mail.docx", "A 38105-2023")</f>
        <v/>
      </c>
      <c r="X668">
        <f>HYPERLINK("https://klasma.github.io/Logging_0360/tillsyn/A 38105-2023 tillsynsbegäran.docx", "A 38105-2023")</f>
        <v/>
      </c>
      <c r="Y668">
        <f>HYPERLINK("https://klasma.github.io/Logging_0360/tillsynsmail/A 38105-2023 tillsynsbegäran mail.docx", "A 38105-2023")</f>
        <v/>
      </c>
      <c r="Z668">
        <f>HYPERLINK("https://klasma.github.io/Logging_0360/fåglar/A 38105-2023 prioriterade fågelarter.docx", "A 38105-2023")</f>
        <v/>
      </c>
    </row>
    <row r="669" ht="15" customHeight="1">
      <c r="A669" t="inlineStr">
        <is>
          <t>A 38821-2023</t>
        </is>
      </c>
      <c r="B669" s="1" t="n">
        <v>45163</v>
      </c>
      <c r="C669" s="1" t="n">
        <v>45846</v>
      </c>
      <c r="D669" t="inlineStr">
        <is>
          <t>UPPSALA LÄN</t>
        </is>
      </c>
      <c r="E669" t="inlineStr">
        <is>
          <t>TIERP</t>
        </is>
      </c>
      <c r="G669" t="n">
        <v>20.3</v>
      </c>
      <c r="H669" t="n">
        <v>1</v>
      </c>
      <c r="I669" t="n">
        <v>0</v>
      </c>
      <c r="J669" t="n">
        <v>0</v>
      </c>
      <c r="K669" t="n">
        <v>0</v>
      </c>
      <c r="L669" t="n">
        <v>0</v>
      </c>
      <c r="M669" t="n">
        <v>0</v>
      </c>
      <c r="N669" t="n">
        <v>0</v>
      </c>
      <c r="O669" t="n">
        <v>0</v>
      </c>
      <c r="P669" t="n">
        <v>0</v>
      </c>
      <c r="Q669" t="n">
        <v>1</v>
      </c>
      <c r="R669" s="2" t="inlineStr">
        <is>
          <t>Revlummer</t>
        </is>
      </c>
      <c r="S669">
        <f>HYPERLINK("https://klasma.github.io/Logging_0360/artfynd/A 38821-2023 artfynd.xlsx", "A 38821-2023")</f>
        <v/>
      </c>
      <c r="T669">
        <f>HYPERLINK("https://klasma.github.io/Logging_0360/kartor/A 38821-2023 karta.png", "A 38821-2023")</f>
        <v/>
      </c>
      <c r="V669">
        <f>HYPERLINK("https://klasma.github.io/Logging_0360/klagomål/A 38821-2023 FSC-klagomål.docx", "A 38821-2023")</f>
        <v/>
      </c>
      <c r="W669">
        <f>HYPERLINK("https://klasma.github.io/Logging_0360/klagomålsmail/A 38821-2023 FSC-klagomål mail.docx", "A 38821-2023")</f>
        <v/>
      </c>
      <c r="X669">
        <f>HYPERLINK("https://klasma.github.io/Logging_0360/tillsyn/A 38821-2023 tillsynsbegäran.docx", "A 38821-2023")</f>
        <v/>
      </c>
      <c r="Y669">
        <f>HYPERLINK("https://klasma.github.io/Logging_0360/tillsynsmail/A 38821-2023 tillsynsbegäran mail.docx", "A 38821-2023")</f>
        <v/>
      </c>
    </row>
    <row r="670" ht="15" customHeight="1">
      <c r="A670" t="inlineStr">
        <is>
          <t>A 39623-2023</t>
        </is>
      </c>
      <c r="B670" s="1" t="n">
        <v>45164</v>
      </c>
      <c r="C670" s="1" t="n">
        <v>45846</v>
      </c>
      <c r="D670" t="inlineStr">
        <is>
          <t>UPPSALA LÄN</t>
        </is>
      </c>
      <c r="E670" t="inlineStr">
        <is>
          <t>ENKÖPING</t>
        </is>
      </c>
      <c r="G670" t="n">
        <v>7.6</v>
      </c>
      <c r="H670" t="n">
        <v>0</v>
      </c>
      <c r="I670" t="n">
        <v>1</v>
      </c>
      <c r="J670" t="n">
        <v>0</v>
      </c>
      <c r="K670" t="n">
        <v>0</v>
      </c>
      <c r="L670" t="n">
        <v>0</v>
      </c>
      <c r="M670" t="n">
        <v>0</v>
      </c>
      <c r="N670" t="n">
        <v>0</v>
      </c>
      <c r="O670" t="n">
        <v>0</v>
      </c>
      <c r="P670" t="n">
        <v>0</v>
      </c>
      <c r="Q670" t="n">
        <v>1</v>
      </c>
      <c r="R670" s="2" t="inlineStr">
        <is>
          <t>Strimspindling</t>
        </is>
      </c>
      <c r="S670">
        <f>HYPERLINK("https://klasma.github.io/Logging_0381/artfynd/A 39623-2023 artfynd.xlsx", "A 39623-2023")</f>
        <v/>
      </c>
      <c r="T670">
        <f>HYPERLINK("https://klasma.github.io/Logging_0381/kartor/A 39623-2023 karta.png", "A 39623-2023")</f>
        <v/>
      </c>
      <c r="V670">
        <f>HYPERLINK("https://klasma.github.io/Logging_0381/klagomål/A 39623-2023 FSC-klagomål.docx", "A 39623-2023")</f>
        <v/>
      </c>
      <c r="W670">
        <f>HYPERLINK("https://klasma.github.io/Logging_0381/klagomålsmail/A 39623-2023 FSC-klagomål mail.docx", "A 39623-2023")</f>
        <v/>
      </c>
      <c r="X670">
        <f>HYPERLINK("https://klasma.github.io/Logging_0381/tillsyn/A 39623-2023 tillsynsbegäran.docx", "A 39623-2023")</f>
        <v/>
      </c>
      <c r="Y670">
        <f>HYPERLINK("https://klasma.github.io/Logging_0381/tillsynsmail/A 39623-2023 tillsynsbegäran mail.docx", "A 39623-2023")</f>
        <v/>
      </c>
    </row>
    <row r="671" ht="15" customHeight="1">
      <c r="A671" t="inlineStr">
        <is>
          <t>A 39741-2023</t>
        </is>
      </c>
      <c r="B671" s="1" t="n">
        <v>45167</v>
      </c>
      <c r="C671" s="1" t="n">
        <v>45846</v>
      </c>
      <c r="D671" t="inlineStr">
        <is>
          <t>UPPSALA LÄN</t>
        </is>
      </c>
      <c r="E671" t="inlineStr">
        <is>
          <t>UPPSALA</t>
        </is>
      </c>
      <c r="G671" t="n">
        <v>5.6</v>
      </c>
      <c r="H671" t="n">
        <v>1</v>
      </c>
      <c r="I671" t="n">
        <v>0</v>
      </c>
      <c r="J671" t="n">
        <v>1</v>
      </c>
      <c r="K671" t="n">
        <v>0</v>
      </c>
      <c r="L671" t="n">
        <v>0</v>
      </c>
      <c r="M671" t="n">
        <v>0</v>
      </c>
      <c r="N671" t="n">
        <v>0</v>
      </c>
      <c r="O671" t="n">
        <v>1</v>
      </c>
      <c r="P671" t="n">
        <v>0</v>
      </c>
      <c r="Q671" t="n">
        <v>1</v>
      </c>
      <c r="R671" s="2" t="inlineStr">
        <is>
          <t>Entita</t>
        </is>
      </c>
      <c r="S671">
        <f>HYPERLINK("https://klasma.github.io/Logging_0380/artfynd/A 39741-2023 artfynd.xlsx", "A 39741-2023")</f>
        <v/>
      </c>
      <c r="T671">
        <f>HYPERLINK("https://klasma.github.io/Logging_0380/kartor/A 39741-2023 karta.png", "A 39741-2023")</f>
        <v/>
      </c>
      <c r="V671">
        <f>HYPERLINK("https://klasma.github.io/Logging_0380/klagomål/A 39741-2023 FSC-klagomål.docx", "A 39741-2023")</f>
        <v/>
      </c>
      <c r="W671">
        <f>HYPERLINK("https://klasma.github.io/Logging_0380/klagomålsmail/A 39741-2023 FSC-klagomål mail.docx", "A 39741-2023")</f>
        <v/>
      </c>
      <c r="X671">
        <f>HYPERLINK("https://klasma.github.io/Logging_0380/tillsyn/A 39741-2023 tillsynsbegäran.docx", "A 39741-2023")</f>
        <v/>
      </c>
      <c r="Y671">
        <f>HYPERLINK("https://klasma.github.io/Logging_0380/tillsynsmail/A 39741-2023 tillsynsbegäran mail.docx", "A 39741-2023")</f>
        <v/>
      </c>
      <c r="Z671">
        <f>HYPERLINK("https://klasma.github.io/Logging_0380/fåglar/A 39741-2023 prioriterade fågelarter.docx", "A 39741-2023")</f>
        <v/>
      </c>
    </row>
    <row r="672" ht="15" customHeight="1">
      <c r="A672" t="inlineStr">
        <is>
          <t>A 40349-2023</t>
        </is>
      </c>
      <c r="B672" s="1" t="n">
        <v>45169</v>
      </c>
      <c r="C672" s="1" t="n">
        <v>45846</v>
      </c>
      <c r="D672" t="inlineStr">
        <is>
          <t>UPPSALA LÄN</t>
        </is>
      </c>
      <c r="E672" t="inlineStr">
        <is>
          <t>HEBY</t>
        </is>
      </c>
      <c r="F672" t="inlineStr">
        <is>
          <t>Kyrkan</t>
        </is>
      </c>
      <c r="G672" t="n">
        <v>9.1</v>
      </c>
      <c r="H672" t="n">
        <v>1</v>
      </c>
      <c r="I672" t="n">
        <v>0</v>
      </c>
      <c r="J672" t="n">
        <v>0</v>
      </c>
      <c r="K672" t="n">
        <v>0</v>
      </c>
      <c r="L672" t="n">
        <v>0</v>
      </c>
      <c r="M672" t="n">
        <v>0</v>
      </c>
      <c r="N672" t="n">
        <v>0</v>
      </c>
      <c r="O672" t="n">
        <v>0</v>
      </c>
      <c r="P672" t="n">
        <v>0</v>
      </c>
      <c r="Q672" t="n">
        <v>1</v>
      </c>
      <c r="R672" s="2" t="inlineStr">
        <is>
          <t>Blåsippa</t>
        </is>
      </c>
      <c r="S672">
        <f>HYPERLINK("https://klasma.github.io/Logging_0331/artfynd/A 40349-2023 artfynd.xlsx", "A 40349-2023")</f>
        <v/>
      </c>
      <c r="T672">
        <f>HYPERLINK("https://klasma.github.io/Logging_0331/kartor/A 40349-2023 karta.png", "A 40349-2023")</f>
        <v/>
      </c>
      <c r="V672">
        <f>HYPERLINK("https://klasma.github.io/Logging_0331/klagomål/A 40349-2023 FSC-klagomål.docx", "A 40349-2023")</f>
        <v/>
      </c>
      <c r="W672">
        <f>HYPERLINK("https://klasma.github.io/Logging_0331/klagomålsmail/A 40349-2023 FSC-klagomål mail.docx", "A 40349-2023")</f>
        <v/>
      </c>
      <c r="X672">
        <f>HYPERLINK("https://klasma.github.io/Logging_0331/tillsyn/A 40349-2023 tillsynsbegäran.docx", "A 40349-2023")</f>
        <v/>
      </c>
      <c r="Y672">
        <f>HYPERLINK("https://klasma.github.io/Logging_0331/tillsynsmail/A 40349-2023 tillsynsbegäran mail.docx", "A 40349-2023")</f>
        <v/>
      </c>
    </row>
    <row r="673" ht="15" customHeight="1">
      <c r="A673" t="inlineStr">
        <is>
          <t>A 40837-2023</t>
        </is>
      </c>
      <c r="B673" s="1" t="n">
        <v>45172</v>
      </c>
      <c r="C673" s="1" t="n">
        <v>45846</v>
      </c>
      <c r="D673" t="inlineStr">
        <is>
          <t>UPPSALA LÄN</t>
        </is>
      </c>
      <c r="E673" t="inlineStr">
        <is>
          <t>ÖSTHAMMAR</t>
        </is>
      </c>
      <c r="G673" t="n">
        <v>1.3</v>
      </c>
      <c r="H673" t="n">
        <v>1</v>
      </c>
      <c r="I673" t="n">
        <v>0</v>
      </c>
      <c r="J673" t="n">
        <v>0</v>
      </c>
      <c r="K673" t="n">
        <v>1</v>
      </c>
      <c r="L673" t="n">
        <v>0</v>
      </c>
      <c r="M673" t="n">
        <v>0</v>
      </c>
      <c r="N673" t="n">
        <v>0</v>
      </c>
      <c r="O673" t="n">
        <v>1</v>
      </c>
      <c r="P673" t="n">
        <v>1</v>
      </c>
      <c r="Q673" t="n">
        <v>1</v>
      </c>
      <c r="R673" s="2" t="inlineStr">
        <is>
          <t>Hällebräcka</t>
        </is>
      </c>
      <c r="S673">
        <f>HYPERLINK("https://klasma.github.io/Logging_0382/artfynd/A 40837-2023 artfynd.xlsx", "A 40837-2023")</f>
        <v/>
      </c>
      <c r="T673">
        <f>HYPERLINK("https://klasma.github.io/Logging_0382/kartor/A 40837-2023 karta.png", "A 40837-2023")</f>
        <v/>
      </c>
      <c r="V673">
        <f>HYPERLINK("https://klasma.github.io/Logging_0382/klagomål/A 40837-2023 FSC-klagomål.docx", "A 40837-2023")</f>
        <v/>
      </c>
      <c r="W673">
        <f>HYPERLINK("https://klasma.github.io/Logging_0382/klagomålsmail/A 40837-2023 FSC-klagomål mail.docx", "A 40837-2023")</f>
        <v/>
      </c>
      <c r="X673">
        <f>HYPERLINK("https://klasma.github.io/Logging_0382/tillsyn/A 40837-2023 tillsynsbegäran.docx", "A 40837-2023")</f>
        <v/>
      </c>
      <c r="Y673">
        <f>HYPERLINK("https://klasma.github.io/Logging_0382/tillsynsmail/A 40837-2023 tillsynsbegäran mail.docx", "A 40837-2023")</f>
        <v/>
      </c>
    </row>
    <row r="674" ht="15" customHeight="1">
      <c r="A674" t="inlineStr">
        <is>
          <t>A 40878-2023</t>
        </is>
      </c>
      <c r="B674" s="1" t="n">
        <v>45173</v>
      </c>
      <c r="C674" s="1" t="n">
        <v>45846</v>
      </c>
      <c r="D674" t="inlineStr">
        <is>
          <t>UPPSALA LÄN</t>
        </is>
      </c>
      <c r="E674" t="inlineStr">
        <is>
          <t>TIERP</t>
        </is>
      </c>
      <c r="F674" t="inlineStr">
        <is>
          <t>Bergvik skog väst AB</t>
        </is>
      </c>
      <c r="G674" t="n">
        <v>4.7</v>
      </c>
      <c r="H674" t="n">
        <v>1</v>
      </c>
      <c r="I674" t="n">
        <v>1</v>
      </c>
      <c r="J674" t="n">
        <v>0</v>
      </c>
      <c r="K674" t="n">
        <v>0</v>
      </c>
      <c r="L674" t="n">
        <v>0</v>
      </c>
      <c r="M674" t="n">
        <v>0</v>
      </c>
      <c r="N674" t="n">
        <v>0</v>
      </c>
      <c r="O674" t="n">
        <v>0</v>
      </c>
      <c r="P674" t="n">
        <v>0</v>
      </c>
      <c r="Q674" t="n">
        <v>1</v>
      </c>
      <c r="R674" s="2" t="inlineStr">
        <is>
          <t>Grön sköldmossa</t>
        </is>
      </c>
      <c r="S674">
        <f>HYPERLINK("https://klasma.github.io/Logging_0360/artfynd/A 40878-2023 artfynd.xlsx", "A 40878-2023")</f>
        <v/>
      </c>
      <c r="T674">
        <f>HYPERLINK("https://klasma.github.io/Logging_0360/kartor/A 40878-2023 karta.png", "A 40878-2023")</f>
        <v/>
      </c>
      <c r="V674">
        <f>HYPERLINK("https://klasma.github.io/Logging_0360/klagomål/A 40878-2023 FSC-klagomål.docx", "A 40878-2023")</f>
        <v/>
      </c>
      <c r="W674">
        <f>HYPERLINK("https://klasma.github.io/Logging_0360/klagomålsmail/A 40878-2023 FSC-klagomål mail.docx", "A 40878-2023")</f>
        <v/>
      </c>
      <c r="X674">
        <f>HYPERLINK("https://klasma.github.io/Logging_0360/tillsyn/A 40878-2023 tillsynsbegäran.docx", "A 40878-2023")</f>
        <v/>
      </c>
      <c r="Y674">
        <f>HYPERLINK("https://klasma.github.io/Logging_0360/tillsynsmail/A 40878-2023 tillsynsbegäran mail.docx", "A 40878-2023")</f>
        <v/>
      </c>
    </row>
    <row r="675" ht="15" customHeight="1">
      <c r="A675" t="inlineStr">
        <is>
          <t>A 40940-2023</t>
        </is>
      </c>
      <c r="B675" s="1" t="n">
        <v>45173</v>
      </c>
      <c r="C675" s="1" t="n">
        <v>45846</v>
      </c>
      <c r="D675" t="inlineStr">
        <is>
          <t>UPPSALA LÄN</t>
        </is>
      </c>
      <c r="E675" t="inlineStr">
        <is>
          <t>TIERP</t>
        </is>
      </c>
      <c r="F675" t="inlineStr">
        <is>
          <t>Bergvik skog väst AB</t>
        </is>
      </c>
      <c r="G675" t="n">
        <v>1.3</v>
      </c>
      <c r="H675" t="n">
        <v>1</v>
      </c>
      <c r="I675" t="n">
        <v>1</v>
      </c>
      <c r="J675" t="n">
        <v>0</v>
      </c>
      <c r="K675" t="n">
        <v>0</v>
      </c>
      <c r="L675" t="n">
        <v>0</v>
      </c>
      <c r="M675" t="n">
        <v>0</v>
      </c>
      <c r="N675" t="n">
        <v>0</v>
      </c>
      <c r="O675" t="n">
        <v>0</v>
      </c>
      <c r="P675" t="n">
        <v>0</v>
      </c>
      <c r="Q675" t="n">
        <v>1</v>
      </c>
      <c r="R675" s="2" t="inlineStr">
        <is>
          <t>Skogsknipprot</t>
        </is>
      </c>
      <c r="S675">
        <f>HYPERLINK("https://klasma.github.io/Logging_0360/artfynd/A 40940-2023 artfynd.xlsx", "A 40940-2023")</f>
        <v/>
      </c>
      <c r="T675">
        <f>HYPERLINK("https://klasma.github.io/Logging_0360/kartor/A 40940-2023 karta.png", "A 40940-2023")</f>
        <v/>
      </c>
      <c r="V675">
        <f>HYPERLINK("https://klasma.github.io/Logging_0360/klagomål/A 40940-2023 FSC-klagomål.docx", "A 40940-2023")</f>
        <v/>
      </c>
      <c r="W675">
        <f>HYPERLINK("https://klasma.github.io/Logging_0360/klagomålsmail/A 40940-2023 FSC-klagomål mail.docx", "A 40940-2023")</f>
        <v/>
      </c>
      <c r="X675">
        <f>HYPERLINK("https://klasma.github.io/Logging_0360/tillsyn/A 40940-2023 tillsynsbegäran.docx", "A 40940-2023")</f>
        <v/>
      </c>
      <c r="Y675">
        <f>HYPERLINK("https://klasma.github.io/Logging_0360/tillsynsmail/A 40940-2023 tillsynsbegäran mail.docx", "A 40940-2023")</f>
        <v/>
      </c>
    </row>
    <row r="676" ht="15" customHeight="1">
      <c r="A676" t="inlineStr">
        <is>
          <t>A 43162-2023</t>
        </is>
      </c>
      <c r="B676" s="1" t="n">
        <v>45183</v>
      </c>
      <c r="C676" s="1" t="n">
        <v>45846</v>
      </c>
      <c r="D676" t="inlineStr">
        <is>
          <t>UPPSALA LÄN</t>
        </is>
      </c>
      <c r="E676" t="inlineStr">
        <is>
          <t>TIERP</t>
        </is>
      </c>
      <c r="F676" t="inlineStr">
        <is>
          <t>Bergvik skog öst AB</t>
        </is>
      </c>
      <c r="G676" t="n">
        <v>15.7</v>
      </c>
      <c r="H676" t="n">
        <v>1</v>
      </c>
      <c r="I676" t="n">
        <v>0</v>
      </c>
      <c r="J676" t="n">
        <v>1</v>
      </c>
      <c r="K676" t="n">
        <v>0</v>
      </c>
      <c r="L676" t="n">
        <v>0</v>
      </c>
      <c r="M676" t="n">
        <v>0</v>
      </c>
      <c r="N676" t="n">
        <v>0</v>
      </c>
      <c r="O676" t="n">
        <v>1</v>
      </c>
      <c r="P676" t="n">
        <v>0</v>
      </c>
      <c r="Q676" t="n">
        <v>1</v>
      </c>
      <c r="R676" s="2" t="inlineStr">
        <is>
          <t>Gulsparv</t>
        </is>
      </c>
      <c r="S676">
        <f>HYPERLINK("https://klasma.github.io/Logging_0360/artfynd/A 43162-2023 artfynd.xlsx", "A 43162-2023")</f>
        <v/>
      </c>
      <c r="T676">
        <f>HYPERLINK("https://klasma.github.io/Logging_0360/kartor/A 43162-2023 karta.png", "A 43162-2023")</f>
        <v/>
      </c>
      <c r="V676">
        <f>HYPERLINK("https://klasma.github.io/Logging_0360/klagomål/A 43162-2023 FSC-klagomål.docx", "A 43162-2023")</f>
        <v/>
      </c>
      <c r="W676">
        <f>HYPERLINK("https://klasma.github.io/Logging_0360/klagomålsmail/A 43162-2023 FSC-klagomål mail.docx", "A 43162-2023")</f>
        <v/>
      </c>
      <c r="X676">
        <f>HYPERLINK("https://klasma.github.io/Logging_0360/tillsyn/A 43162-2023 tillsynsbegäran.docx", "A 43162-2023")</f>
        <v/>
      </c>
      <c r="Y676">
        <f>HYPERLINK("https://klasma.github.io/Logging_0360/tillsynsmail/A 43162-2023 tillsynsbegäran mail.docx", "A 43162-2023")</f>
        <v/>
      </c>
      <c r="Z676">
        <f>HYPERLINK("https://klasma.github.io/Logging_0360/fåglar/A 43162-2023 prioriterade fågelarter.docx", "A 43162-2023")</f>
        <v/>
      </c>
    </row>
    <row r="677" ht="15" customHeight="1">
      <c r="A677" t="inlineStr">
        <is>
          <t>A 43699-2023</t>
        </is>
      </c>
      <c r="B677" s="1" t="n">
        <v>45187</v>
      </c>
      <c r="C677" s="1" t="n">
        <v>45846</v>
      </c>
      <c r="D677" t="inlineStr">
        <is>
          <t>UPPSALA LÄN</t>
        </is>
      </c>
      <c r="E677" t="inlineStr">
        <is>
          <t>KNIVSTA</t>
        </is>
      </c>
      <c r="G677" t="n">
        <v>5.2</v>
      </c>
      <c r="H677" t="n">
        <v>1</v>
      </c>
      <c r="I677" t="n">
        <v>0</v>
      </c>
      <c r="J677" t="n">
        <v>0</v>
      </c>
      <c r="K677" t="n">
        <v>0</v>
      </c>
      <c r="L677" t="n">
        <v>0</v>
      </c>
      <c r="M677" t="n">
        <v>0</v>
      </c>
      <c r="N677" t="n">
        <v>0</v>
      </c>
      <c r="O677" t="n">
        <v>0</v>
      </c>
      <c r="P677" t="n">
        <v>0</v>
      </c>
      <c r="Q677" t="n">
        <v>1</v>
      </c>
      <c r="R677" s="2" t="inlineStr">
        <is>
          <t>Gullviva</t>
        </is>
      </c>
      <c r="S677">
        <f>HYPERLINK("https://klasma.github.io/Logging_0330/artfynd/A 43699-2023 artfynd.xlsx", "A 43699-2023")</f>
        <v/>
      </c>
      <c r="T677">
        <f>HYPERLINK("https://klasma.github.io/Logging_0330/kartor/A 43699-2023 karta.png", "A 43699-2023")</f>
        <v/>
      </c>
      <c r="V677">
        <f>HYPERLINK("https://klasma.github.io/Logging_0330/klagomål/A 43699-2023 FSC-klagomål.docx", "A 43699-2023")</f>
        <v/>
      </c>
      <c r="W677">
        <f>HYPERLINK("https://klasma.github.io/Logging_0330/klagomålsmail/A 43699-2023 FSC-klagomål mail.docx", "A 43699-2023")</f>
        <v/>
      </c>
      <c r="X677">
        <f>HYPERLINK("https://klasma.github.io/Logging_0330/tillsyn/A 43699-2023 tillsynsbegäran.docx", "A 43699-2023")</f>
        <v/>
      </c>
      <c r="Y677">
        <f>HYPERLINK("https://klasma.github.io/Logging_0330/tillsynsmail/A 43699-2023 tillsynsbegäran mail.docx", "A 43699-2023")</f>
        <v/>
      </c>
    </row>
    <row r="678" ht="15" customHeight="1">
      <c r="A678" t="inlineStr">
        <is>
          <t>A 45116-2023</t>
        </is>
      </c>
      <c r="B678" s="1" t="n">
        <v>45191</v>
      </c>
      <c r="C678" s="1" t="n">
        <v>45846</v>
      </c>
      <c r="D678" t="inlineStr">
        <is>
          <t>UPPSALA LÄN</t>
        </is>
      </c>
      <c r="E678" t="inlineStr">
        <is>
          <t>ENKÖPING</t>
        </is>
      </c>
      <c r="G678" t="n">
        <v>2</v>
      </c>
      <c r="H678" t="n">
        <v>0</v>
      </c>
      <c r="I678" t="n">
        <v>1</v>
      </c>
      <c r="J678" t="n">
        <v>0</v>
      </c>
      <c r="K678" t="n">
        <v>0</v>
      </c>
      <c r="L678" t="n">
        <v>0</v>
      </c>
      <c r="M678" t="n">
        <v>0</v>
      </c>
      <c r="N678" t="n">
        <v>0</v>
      </c>
      <c r="O678" t="n">
        <v>0</v>
      </c>
      <c r="P678" t="n">
        <v>0</v>
      </c>
      <c r="Q678" t="n">
        <v>1</v>
      </c>
      <c r="R678" s="2" t="inlineStr">
        <is>
          <t>Rävticka</t>
        </is>
      </c>
      <c r="S678">
        <f>HYPERLINK("https://klasma.github.io/Logging_0381/artfynd/A 45116-2023 artfynd.xlsx", "A 45116-2023")</f>
        <v/>
      </c>
      <c r="T678">
        <f>HYPERLINK("https://klasma.github.io/Logging_0381/kartor/A 45116-2023 karta.png", "A 45116-2023")</f>
        <v/>
      </c>
      <c r="V678">
        <f>HYPERLINK("https://klasma.github.io/Logging_0381/klagomål/A 45116-2023 FSC-klagomål.docx", "A 45116-2023")</f>
        <v/>
      </c>
      <c r="W678">
        <f>HYPERLINK("https://klasma.github.io/Logging_0381/klagomålsmail/A 45116-2023 FSC-klagomål mail.docx", "A 45116-2023")</f>
        <v/>
      </c>
      <c r="X678">
        <f>HYPERLINK("https://klasma.github.io/Logging_0381/tillsyn/A 45116-2023 tillsynsbegäran.docx", "A 45116-2023")</f>
        <v/>
      </c>
      <c r="Y678">
        <f>HYPERLINK("https://klasma.github.io/Logging_0381/tillsynsmail/A 45116-2023 tillsynsbegäran mail.docx", "A 45116-2023")</f>
        <v/>
      </c>
    </row>
    <row r="679" ht="15" customHeight="1">
      <c r="A679" t="inlineStr">
        <is>
          <t>A 45617-2023</t>
        </is>
      </c>
      <c r="B679" s="1" t="n">
        <v>45194</v>
      </c>
      <c r="C679" s="1" t="n">
        <v>45846</v>
      </c>
      <c r="D679" t="inlineStr">
        <is>
          <t>UPPSALA LÄN</t>
        </is>
      </c>
      <c r="E679" t="inlineStr">
        <is>
          <t>ENKÖPING</t>
        </is>
      </c>
      <c r="G679" t="n">
        <v>2.9</v>
      </c>
      <c r="H679" t="n">
        <v>1</v>
      </c>
      <c r="I679" t="n">
        <v>0</v>
      </c>
      <c r="J679" t="n">
        <v>0</v>
      </c>
      <c r="K679" t="n">
        <v>1</v>
      </c>
      <c r="L679" t="n">
        <v>0</v>
      </c>
      <c r="M679" t="n">
        <v>0</v>
      </c>
      <c r="N679" t="n">
        <v>0</v>
      </c>
      <c r="O679" t="n">
        <v>1</v>
      </c>
      <c r="P679" t="n">
        <v>1</v>
      </c>
      <c r="Q679" t="n">
        <v>1</v>
      </c>
      <c r="R679" s="2" t="inlineStr">
        <is>
          <t>Knärot</t>
        </is>
      </c>
      <c r="S679">
        <f>HYPERLINK("https://klasma.github.io/Logging_0381/artfynd/A 45617-2023 artfynd.xlsx", "A 45617-2023")</f>
        <v/>
      </c>
      <c r="T679">
        <f>HYPERLINK("https://klasma.github.io/Logging_0381/kartor/A 45617-2023 karta.png", "A 45617-2023")</f>
        <v/>
      </c>
      <c r="U679">
        <f>HYPERLINK("https://klasma.github.io/Logging_0381/knärot/A 45617-2023 karta knärot.png", "A 45617-2023")</f>
        <v/>
      </c>
      <c r="V679">
        <f>HYPERLINK("https://klasma.github.io/Logging_0381/klagomål/A 45617-2023 FSC-klagomål.docx", "A 45617-2023")</f>
        <v/>
      </c>
      <c r="W679">
        <f>HYPERLINK("https://klasma.github.io/Logging_0381/klagomålsmail/A 45617-2023 FSC-klagomål mail.docx", "A 45617-2023")</f>
        <v/>
      </c>
      <c r="X679">
        <f>HYPERLINK("https://klasma.github.io/Logging_0381/tillsyn/A 45617-2023 tillsynsbegäran.docx", "A 45617-2023")</f>
        <v/>
      </c>
      <c r="Y679">
        <f>HYPERLINK("https://klasma.github.io/Logging_0381/tillsynsmail/A 45617-2023 tillsynsbegäran mail.docx", "A 45617-2023")</f>
        <v/>
      </c>
    </row>
    <row r="680" ht="15" customHeight="1">
      <c r="A680" t="inlineStr">
        <is>
          <t>A 46354-2023</t>
        </is>
      </c>
      <c r="B680" s="1" t="n">
        <v>45197</v>
      </c>
      <c r="C680" s="1" t="n">
        <v>45846</v>
      </c>
      <c r="D680" t="inlineStr">
        <is>
          <t>UPPSALA LÄN</t>
        </is>
      </c>
      <c r="E680" t="inlineStr">
        <is>
          <t>ÄLVKARLEBY</t>
        </is>
      </c>
      <c r="F680" t="inlineStr">
        <is>
          <t>Bergvik skog öst AB</t>
        </is>
      </c>
      <c r="G680" t="n">
        <v>2.3</v>
      </c>
      <c r="H680" t="n">
        <v>1</v>
      </c>
      <c r="I680" t="n">
        <v>1</v>
      </c>
      <c r="J680" t="n">
        <v>0</v>
      </c>
      <c r="K680" t="n">
        <v>0</v>
      </c>
      <c r="L680" t="n">
        <v>0</v>
      </c>
      <c r="M680" t="n">
        <v>0</v>
      </c>
      <c r="N680" t="n">
        <v>0</v>
      </c>
      <c r="O680" t="n">
        <v>0</v>
      </c>
      <c r="P680" t="n">
        <v>0</v>
      </c>
      <c r="Q680" t="n">
        <v>1</v>
      </c>
      <c r="R680" s="2" t="inlineStr">
        <is>
          <t>Skogsknipprot</t>
        </is>
      </c>
      <c r="S680">
        <f>HYPERLINK("https://klasma.github.io/Logging_0319/artfynd/A 46354-2023 artfynd.xlsx", "A 46354-2023")</f>
        <v/>
      </c>
      <c r="T680">
        <f>HYPERLINK("https://klasma.github.io/Logging_0319/kartor/A 46354-2023 karta.png", "A 46354-2023")</f>
        <v/>
      </c>
      <c r="V680">
        <f>HYPERLINK("https://klasma.github.io/Logging_0319/klagomål/A 46354-2023 FSC-klagomål.docx", "A 46354-2023")</f>
        <v/>
      </c>
      <c r="W680">
        <f>HYPERLINK("https://klasma.github.io/Logging_0319/klagomålsmail/A 46354-2023 FSC-klagomål mail.docx", "A 46354-2023")</f>
        <v/>
      </c>
      <c r="X680">
        <f>HYPERLINK("https://klasma.github.io/Logging_0319/tillsyn/A 46354-2023 tillsynsbegäran.docx", "A 46354-2023")</f>
        <v/>
      </c>
      <c r="Y680">
        <f>HYPERLINK("https://klasma.github.io/Logging_0319/tillsynsmail/A 46354-2023 tillsynsbegäran mail.docx", "A 46354-2023")</f>
        <v/>
      </c>
    </row>
    <row r="681" ht="15" customHeight="1">
      <c r="A681" t="inlineStr">
        <is>
          <t>A 49794-2023</t>
        </is>
      </c>
      <c r="B681" s="1" t="n">
        <v>45212</v>
      </c>
      <c r="C681" s="1" t="n">
        <v>45846</v>
      </c>
      <c r="D681" t="inlineStr">
        <is>
          <t>UPPSALA LÄN</t>
        </is>
      </c>
      <c r="E681" t="inlineStr">
        <is>
          <t>TIERP</t>
        </is>
      </c>
      <c r="F681" t="inlineStr">
        <is>
          <t>Bergvik skog öst AB</t>
        </is>
      </c>
      <c r="G681" t="n">
        <v>12</v>
      </c>
      <c r="H681" t="n">
        <v>0</v>
      </c>
      <c r="I681" t="n">
        <v>0</v>
      </c>
      <c r="J681" t="n">
        <v>1</v>
      </c>
      <c r="K681" t="n">
        <v>0</v>
      </c>
      <c r="L681" t="n">
        <v>0</v>
      </c>
      <c r="M681" t="n">
        <v>0</v>
      </c>
      <c r="N681" t="n">
        <v>0</v>
      </c>
      <c r="O681" t="n">
        <v>1</v>
      </c>
      <c r="P681" t="n">
        <v>0</v>
      </c>
      <c r="Q681" t="n">
        <v>1</v>
      </c>
      <c r="R681" s="2" t="inlineStr">
        <is>
          <t>Slåtterfibbla</t>
        </is>
      </c>
      <c r="S681">
        <f>HYPERLINK("https://klasma.github.io/Logging_0360/artfynd/A 49794-2023 artfynd.xlsx", "A 49794-2023")</f>
        <v/>
      </c>
      <c r="T681">
        <f>HYPERLINK("https://klasma.github.io/Logging_0360/kartor/A 49794-2023 karta.png", "A 49794-2023")</f>
        <v/>
      </c>
      <c r="V681">
        <f>HYPERLINK("https://klasma.github.io/Logging_0360/klagomål/A 49794-2023 FSC-klagomål.docx", "A 49794-2023")</f>
        <v/>
      </c>
      <c r="W681">
        <f>HYPERLINK("https://klasma.github.io/Logging_0360/klagomålsmail/A 49794-2023 FSC-klagomål mail.docx", "A 49794-2023")</f>
        <v/>
      </c>
      <c r="X681">
        <f>HYPERLINK("https://klasma.github.io/Logging_0360/tillsyn/A 49794-2023 tillsynsbegäran.docx", "A 49794-2023")</f>
        <v/>
      </c>
      <c r="Y681">
        <f>HYPERLINK("https://klasma.github.io/Logging_0360/tillsynsmail/A 49794-2023 tillsynsbegäran mail.docx", "A 49794-2023")</f>
        <v/>
      </c>
    </row>
    <row r="682" ht="15" customHeight="1">
      <c r="A682" t="inlineStr">
        <is>
          <t>A 51382-2023</t>
        </is>
      </c>
      <c r="B682" s="1" t="n">
        <v>45219</v>
      </c>
      <c r="C682" s="1" t="n">
        <v>45846</v>
      </c>
      <c r="D682" t="inlineStr">
        <is>
          <t>UPPSALA LÄN</t>
        </is>
      </c>
      <c r="E682" t="inlineStr">
        <is>
          <t>ENKÖPING</t>
        </is>
      </c>
      <c r="F682" t="inlineStr">
        <is>
          <t>Allmännings- och besparingsskogar</t>
        </is>
      </c>
      <c r="G682" t="n">
        <v>15.9</v>
      </c>
      <c r="H682" t="n">
        <v>0</v>
      </c>
      <c r="I682" t="n">
        <v>0</v>
      </c>
      <c r="J682" t="n">
        <v>1</v>
      </c>
      <c r="K682" t="n">
        <v>0</v>
      </c>
      <c r="L682" t="n">
        <v>0</v>
      </c>
      <c r="M682" t="n">
        <v>0</v>
      </c>
      <c r="N682" t="n">
        <v>0</v>
      </c>
      <c r="O682" t="n">
        <v>1</v>
      </c>
      <c r="P682" t="n">
        <v>0</v>
      </c>
      <c r="Q682" t="n">
        <v>1</v>
      </c>
      <c r="R682" s="2" t="inlineStr">
        <is>
          <t>Krusfrö</t>
        </is>
      </c>
      <c r="S682">
        <f>HYPERLINK("https://klasma.github.io/Logging_0381/artfynd/A 51382-2023 artfynd.xlsx", "A 51382-2023")</f>
        <v/>
      </c>
      <c r="T682">
        <f>HYPERLINK("https://klasma.github.io/Logging_0381/kartor/A 51382-2023 karta.png", "A 51382-2023")</f>
        <v/>
      </c>
      <c r="V682">
        <f>HYPERLINK("https://klasma.github.io/Logging_0381/klagomål/A 51382-2023 FSC-klagomål.docx", "A 51382-2023")</f>
        <v/>
      </c>
      <c r="W682">
        <f>HYPERLINK("https://klasma.github.io/Logging_0381/klagomålsmail/A 51382-2023 FSC-klagomål mail.docx", "A 51382-2023")</f>
        <v/>
      </c>
      <c r="X682">
        <f>HYPERLINK("https://klasma.github.io/Logging_0381/tillsyn/A 51382-2023 tillsynsbegäran.docx", "A 51382-2023")</f>
        <v/>
      </c>
      <c r="Y682">
        <f>HYPERLINK("https://klasma.github.io/Logging_0381/tillsynsmail/A 51382-2023 tillsynsbegäran mail.docx", "A 51382-2023")</f>
        <v/>
      </c>
    </row>
    <row r="683" ht="15" customHeight="1">
      <c r="A683" t="inlineStr">
        <is>
          <t>A 51540-2023</t>
        </is>
      </c>
      <c r="B683" s="1" t="n">
        <v>45222</v>
      </c>
      <c r="C683" s="1" t="n">
        <v>45846</v>
      </c>
      <c r="D683" t="inlineStr">
        <is>
          <t>UPPSALA LÄN</t>
        </is>
      </c>
      <c r="E683" t="inlineStr">
        <is>
          <t>UPPSALA</t>
        </is>
      </c>
      <c r="G683" t="n">
        <v>6.4</v>
      </c>
      <c r="H683" t="n">
        <v>0</v>
      </c>
      <c r="I683" t="n">
        <v>0</v>
      </c>
      <c r="J683" t="n">
        <v>1</v>
      </c>
      <c r="K683" t="n">
        <v>0</v>
      </c>
      <c r="L683" t="n">
        <v>0</v>
      </c>
      <c r="M683" t="n">
        <v>0</v>
      </c>
      <c r="N683" t="n">
        <v>0</v>
      </c>
      <c r="O683" t="n">
        <v>1</v>
      </c>
      <c r="P683" t="n">
        <v>0</v>
      </c>
      <c r="Q683" t="n">
        <v>1</v>
      </c>
      <c r="R683" s="2" t="inlineStr">
        <is>
          <t>Svedjenäva</t>
        </is>
      </c>
      <c r="S683">
        <f>HYPERLINK("https://klasma.github.io/Logging_0380/artfynd/A 51540-2023 artfynd.xlsx", "A 51540-2023")</f>
        <v/>
      </c>
      <c r="T683">
        <f>HYPERLINK("https://klasma.github.io/Logging_0380/kartor/A 51540-2023 karta.png", "A 51540-2023")</f>
        <v/>
      </c>
      <c r="V683">
        <f>HYPERLINK("https://klasma.github.io/Logging_0380/klagomål/A 51540-2023 FSC-klagomål.docx", "A 51540-2023")</f>
        <v/>
      </c>
      <c r="W683">
        <f>HYPERLINK("https://klasma.github.io/Logging_0380/klagomålsmail/A 51540-2023 FSC-klagomål mail.docx", "A 51540-2023")</f>
        <v/>
      </c>
      <c r="X683">
        <f>HYPERLINK("https://klasma.github.io/Logging_0380/tillsyn/A 51540-2023 tillsynsbegäran.docx", "A 51540-2023")</f>
        <v/>
      </c>
      <c r="Y683">
        <f>HYPERLINK("https://klasma.github.io/Logging_0380/tillsynsmail/A 51540-2023 tillsynsbegäran mail.docx", "A 51540-2023")</f>
        <v/>
      </c>
    </row>
    <row r="684" ht="15" customHeight="1">
      <c r="A684" t="inlineStr">
        <is>
          <t>A 53342-2023</t>
        </is>
      </c>
      <c r="B684" s="1" t="n">
        <v>45229</v>
      </c>
      <c r="C684" s="1" t="n">
        <v>45846</v>
      </c>
      <c r="D684" t="inlineStr">
        <is>
          <t>UPPSALA LÄN</t>
        </is>
      </c>
      <c r="E684" t="inlineStr">
        <is>
          <t>ENKÖPING</t>
        </is>
      </c>
      <c r="G684" t="n">
        <v>28.8</v>
      </c>
      <c r="H684" t="n">
        <v>0</v>
      </c>
      <c r="I684" t="n">
        <v>0</v>
      </c>
      <c r="J684" t="n">
        <v>1</v>
      </c>
      <c r="K684" t="n">
        <v>0</v>
      </c>
      <c r="L684" t="n">
        <v>0</v>
      </c>
      <c r="M684" t="n">
        <v>0</v>
      </c>
      <c r="N684" t="n">
        <v>0</v>
      </c>
      <c r="O684" t="n">
        <v>1</v>
      </c>
      <c r="P684" t="n">
        <v>0</v>
      </c>
      <c r="Q684" t="n">
        <v>1</v>
      </c>
      <c r="R684" s="2" t="inlineStr">
        <is>
          <t>Tallticka</t>
        </is>
      </c>
      <c r="S684">
        <f>HYPERLINK("https://klasma.github.io/Logging_0381/artfynd/A 53342-2023 artfynd.xlsx", "A 53342-2023")</f>
        <v/>
      </c>
      <c r="T684">
        <f>HYPERLINK("https://klasma.github.io/Logging_0381/kartor/A 53342-2023 karta.png", "A 53342-2023")</f>
        <v/>
      </c>
      <c r="V684">
        <f>HYPERLINK("https://klasma.github.io/Logging_0381/klagomål/A 53342-2023 FSC-klagomål.docx", "A 53342-2023")</f>
        <v/>
      </c>
      <c r="W684">
        <f>HYPERLINK("https://klasma.github.io/Logging_0381/klagomålsmail/A 53342-2023 FSC-klagomål mail.docx", "A 53342-2023")</f>
        <v/>
      </c>
      <c r="X684">
        <f>HYPERLINK("https://klasma.github.io/Logging_0381/tillsyn/A 53342-2023 tillsynsbegäran.docx", "A 53342-2023")</f>
        <v/>
      </c>
      <c r="Y684">
        <f>HYPERLINK("https://klasma.github.io/Logging_0381/tillsynsmail/A 53342-2023 tillsynsbegäran mail.docx", "A 53342-2023")</f>
        <v/>
      </c>
    </row>
    <row r="685" ht="15" customHeight="1">
      <c r="A685" t="inlineStr">
        <is>
          <t>A 53706-2023</t>
        </is>
      </c>
      <c r="B685" s="1" t="n">
        <v>45230</v>
      </c>
      <c r="C685" s="1" t="n">
        <v>45846</v>
      </c>
      <c r="D685" t="inlineStr">
        <is>
          <t>UPPSALA LÄN</t>
        </is>
      </c>
      <c r="E685" t="inlineStr">
        <is>
          <t>ÖSTHAMMAR</t>
        </is>
      </c>
      <c r="G685" t="n">
        <v>2.9</v>
      </c>
      <c r="H685" t="n">
        <v>0</v>
      </c>
      <c r="I685" t="n">
        <v>1</v>
      </c>
      <c r="J685" t="n">
        <v>0</v>
      </c>
      <c r="K685" t="n">
        <v>0</v>
      </c>
      <c r="L685" t="n">
        <v>0</v>
      </c>
      <c r="M685" t="n">
        <v>0</v>
      </c>
      <c r="N685" t="n">
        <v>0</v>
      </c>
      <c r="O685" t="n">
        <v>0</v>
      </c>
      <c r="P685" t="n">
        <v>0</v>
      </c>
      <c r="Q685" t="n">
        <v>1</v>
      </c>
      <c r="R685" s="2" t="inlineStr">
        <is>
          <t>Dofttråding</t>
        </is>
      </c>
      <c r="S685">
        <f>HYPERLINK("https://klasma.github.io/Logging_0382/artfynd/A 53706-2023 artfynd.xlsx", "A 53706-2023")</f>
        <v/>
      </c>
      <c r="T685">
        <f>HYPERLINK("https://klasma.github.io/Logging_0382/kartor/A 53706-2023 karta.png", "A 53706-2023")</f>
        <v/>
      </c>
      <c r="V685">
        <f>HYPERLINK("https://klasma.github.io/Logging_0382/klagomål/A 53706-2023 FSC-klagomål.docx", "A 53706-2023")</f>
        <v/>
      </c>
      <c r="W685">
        <f>HYPERLINK("https://klasma.github.io/Logging_0382/klagomålsmail/A 53706-2023 FSC-klagomål mail.docx", "A 53706-2023")</f>
        <v/>
      </c>
      <c r="X685">
        <f>HYPERLINK("https://klasma.github.io/Logging_0382/tillsyn/A 53706-2023 tillsynsbegäran.docx", "A 53706-2023")</f>
        <v/>
      </c>
      <c r="Y685">
        <f>HYPERLINK("https://klasma.github.io/Logging_0382/tillsynsmail/A 53706-2023 tillsynsbegäran mail.docx", "A 53706-2023")</f>
        <v/>
      </c>
    </row>
    <row r="686" ht="15" customHeight="1">
      <c r="A686" t="inlineStr">
        <is>
          <t>A 53729-2023</t>
        </is>
      </c>
      <c r="B686" s="1" t="n">
        <v>45230</v>
      </c>
      <c r="C686" s="1" t="n">
        <v>45846</v>
      </c>
      <c r="D686" t="inlineStr">
        <is>
          <t>UPPSALA LÄN</t>
        </is>
      </c>
      <c r="E686" t="inlineStr">
        <is>
          <t>ÖSTHAMMAR</t>
        </is>
      </c>
      <c r="G686" t="n">
        <v>2.6</v>
      </c>
      <c r="H686" t="n">
        <v>1</v>
      </c>
      <c r="I686" t="n">
        <v>0</v>
      </c>
      <c r="J686" t="n">
        <v>0</v>
      </c>
      <c r="K686" t="n">
        <v>0</v>
      </c>
      <c r="L686" t="n">
        <v>0</v>
      </c>
      <c r="M686" t="n">
        <v>0</v>
      </c>
      <c r="N686" t="n">
        <v>0</v>
      </c>
      <c r="O686" t="n">
        <v>0</v>
      </c>
      <c r="P686" t="n">
        <v>0</v>
      </c>
      <c r="Q686" t="n">
        <v>1</v>
      </c>
      <c r="R686" s="2" t="inlineStr">
        <is>
          <t>Gullviva</t>
        </is>
      </c>
      <c r="S686">
        <f>HYPERLINK("https://klasma.github.io/Logging_0382/artfynd/A 53729-2023 artfynd.xlsx", "A 53729-2023")</f>
        <v/>
      </c>
      <c r="T686">
        <f>HYPERLINK("https://klasma.github.io/Logging_0382/kartor/A 53729-2023 karta.png", "A 53729-2023")</f>
        <v/>
      </c>
      <c r="V686">
        <f>HYPERLINK("https://klasma.github.io/Logging_0382/klagomål/A 53729-2023 FSC-klagomål.docx", "A 53729-2023")</f>
        <v/>
      </c>
      <c r="W686">
        <f>HYPERLINK("https://klasma.github.io/Logging_0382/klagomålsmail/A 53729-2023 FSC-klagomål mail.docx", "A 53729-2023")</f>
        <v/>
      </c>
      <c r="X686">
        <f>HYPERLINK("https://klasma.github.io/Logging_0382/tillsyn/A 53729-2023 tillsynsbegäran.docx", "A 53729-2023")</f>
        <v/>
      </c>
      <c r="Y686">
        <f>HYPERLINK("https://klasma.github.io/Logging_0382/tillsynsmail/A 53729-2023 tillsynsbegäran mail.docx", "A 53729-2023")</f>
        <v/>
      </c>
    </row>
    <row r="687" ht="15" customHeight="1">
      <c r="A687" t="inlineStr">
        <is>
          <t>A 53992-2023</t>
        </is>
      </c>
      <c r="B687" s="1" t="n">
        <v>45231</v>
      </c>
      <c r="C687" s="1" t="n">
        <v>45846</v>
      </c>
      <c r="D687" t="inlineStr">
        <is>
          <t>UPPSALA LÄN</t>
        </is>
      </c>
      <c r="E687" t="inlineStr">
        <is>
          <t>HEBY</t>
        </is>
      </c>
      <c r="G687" t="n">
        <v>1.2</v>
      </c>
      <c r="H687" t="n">
        <v>0</v>
      </c>
      <c r="I687" t="n">
        <v>0</v>
      </c>
      <c r="J687" t="n">
        <v>1</v>
      </c>
      <c r="K687" t="n">
        <v>0</v>
      </c>
      <c r="L687" t="n">
        <v>0</v>
      </c>
      <c r="M687" t="n">
        <v>0</v>
      </c>
      <c r="N687" t="n">
        <v>0</v>
      </c>
      <c r="O687" t="n">
        <v>1</v>
      </c>
      <c r="P687" t="n">
        <v>0</v>
      </c>
      <c r="Q687" t="n">
        <v>1</v>
      </c>
      <c r="R687" s="2" t="inlineStr">
        <is>
          <t>Igelkott</t>
        </is>
      </c>
      <c r="S687">
        <f>HYPERLINK("https://klasma.github.io/Logging_0331/artfynd/A 53992-2023 artfynd.xlsx", "A 53992-2023")</f>
        <v/>
      </c>
      <c r="T687">
        <f>HYPERLINK("https://klasma.github.io/Logging_0331/kartor/A 53992-2023 karta.png", "A 53992-2023")</f>
        <v/>
      </c>
      <c r="V687">
        <f>HYPERLINK("https://klasma.github.io/Logging_0331/klagomål/A 53992-2023 FSC-klagomål.docx", "A 53992-2023")</f>
        <v/>
      </c>
      <c r="W687">
        <f>HYPERLINK("https://klasma.github.io/Logging_0331/klagomålsmail/A 53992-2023 FSC-klagomål mail.docx", "A 53992-2023")</f>
        <v/>
      </c>
      <c r="X687">
        <f>HYPERLINK("https://klasma.github.io/Logging_0331/tillsyn/A 53992-2023 tillsynsbegäran.docx", "A 53992-2023")</f>
        <v/>
      </c>
      <c r="Y687">
        <f>HYPERLINK("https://klasma.github.io/Logging_0331/tillsynsmail/A 53992-2023 tillsynsbegäran mail.docx", "A 53992-2023")</f>
        <v/>
      </c>
    </row>
    <row r="688" ht="15" customHeight="1">
      <c r="A688" t="inlineStr">
        <is>
          <t>A 55492-2023</t>
        </is>
      </c>
      <c r="B688" s="1" t="n">
        <v>45238</v>
      </c>
      <c r="C688" s="1" t="n">
        <v>45846</v>
      </c>
      <c r="D688" t="inlineStr">
        <is>
          <t>UPPSALA LÄN</t>
        </is>
      </c>
      <c r="E688" t="inlineStr">
        <is>
          <t>ÖSTHAMMAR</t>
        </is>
      </c>
      <c r="G688" t="n">
        <v>3.1</v>
      </c>
      <c r="H688" t="n">
        <v>0</v>
      </c>
      <c r="I688" t="n">
        <v>0</v>
      </c>
      <c r="J688" t="n">
        <v>0</v>
      </c>
      <c r="K688" t="n">
        <v>1</v>
      </c>
      <c r="L688" t="n">
        <v>0</v>
      </c>
      <c r="M688" t="n">
        <v>0</v>
      </c>
      <c r="N688" t="n">
        <v>0</v>
      </c>
      <c r="O688" t="n">
        <v>1</v>
      </c>
      <c r="P688" t="n">
        <v>1</v>
      </c>
      <c r="Q688" t="n">
        <v>1</v>
      </c>
      <c r="R688" s="2" t="inlineStr">
        <is>
          <t>Violgubbe</t>
        </is>
      </c>
      <c r="S688">
        <f>HYPERLINK("https://klasma.github.io/Logging_0382/artfynd/A 55492-2023 artfynd.xlsx", "A 55492-2023")</f>
        <v/>
      </c>
      <c r="T688">
        <f>HYPERLINK("https://klasma.github.io/Logging_0382/kartor/A 55492-2023 karta.png", "A 55492-2023")</f>
        <v/>
      </c>
      <c r="V688">
        <f>HYPERLINK("https://klasma.github.io/Logging_0382/klagomål/A 55492-2023 FSC-klagomål.docx", "A 55492-2023")</f>
        <v/>
      </c>
      <c r="W688">
        <f>HYPERLINK("https://klasma.github.io/Logging_0382/klagomålsmail/A 55492-2023 FSC-klagomål mail.docx", "A 55492-2023")</f>
        <v/>
      </c>
      <c r="X688">
        <f>HYPERLINK("https://klasma.github.io/Logging_0382/tillsyn/A 55492-2023 tillsynsbegäran.docx", "A 55492-2023")</f>
        <v/>
      </c>
      <c r="Y688">
        <f>HYPERLINK("https://klasma.github.io/Logging_0382/tillsynsmail/A 55492-2023 tillsynsbegäran mail.docx", "A 55492-2023")</f>
        <v/>
      </c>
    </row>
    <row r="689" ht="15" customHeight="1">
      <c r="A689" t="inlineStr">
        <is>
          <t>A 56376-2023</t>
        </is>
      </c>
      <c r="B689" s="1" t="n">
        <v>45243</v>
      </c>
      <c r="C689" s="1" t="n">
        <v>45846</v>
      </c>
      <c r="D689" t="inlineStr">
        <is>
          <t>UPPSALA LÄN</t>
        </is>
      </c>
      <c r="E689" t="inlineStr">
        <is>
          <t>HEBY</t>
        </is>
      </c>
      <c r="G689" t="n">
        <v>5.6</v>
      </c>
      <c r="H689" t="n">
        <v>1</v>
      </c>
      <c r="I689" t="n">
        <v>1</v>
      </c>
      <c r="J689" t="n">
        <v>0</v>
      </c>
      <c r="K689" t="n">
        <v>0</v>
      </c>
      <c r="L689" t="n">
        <v>0</v>
      </c>
      <c r="M689" t="n">
        <v>0</v>
      </c>
      <c r="N689" t="n">
        <v>0</v>
      </c>
      <c r="O689" t="n">
        <v>0</v>
      </c>
      <c r="P689" t="n">
        <v>0</v>
      </c>
      <c r="Q689" t="n">
        <v>1</v>
      </c>
      <c r="R689" s="2" t="inlineStr">
        <is>
          <t>Skogsknipprot</t>
        </is>
      </c>
      <c r="S689">
        <f>HYPERLINK("https://klasma.github.io/Logging_0331/artfynd/A 56376-2023 artfynd.xlsx", "A 56376-2023")</f>
        <v/>
      </c>
      <c r="T689">
        <f>HYPERLINK("https://klasma.github.io/Logging_0331/kartor/A 56376-2023 karta.png", "A 56376-2023")</f>
        <v/>
      </c>
      <c r="V689">
        <f>HYPERLINK("https://klasma.github.io/Logging_0331/klagomål/A 56376-2023 FSC-klagomål.docx", "A 56376-2023")</f>
        <v/>
      </c>
      <c r="W689">
        <f>HYPERLINK("https://klasma.github.io/Logging_0331/klagomålsmail/A 56376-2023 FSC-klagomål mail.docx", "A 56376-2023")</f>
        <v/>
      </c>
      <c r="X689">
        <f>HYPERLINK("https://klasma.github.io/Logging_0331/tillsyn/A 56376-2023 tillsynsbegäran.docx", "A 56376-2023")</f>
        <v/>
      </c>
      <c r="Y689">
        <f>HYPERLINK("https://klasma.github.io/Logging_0331/tillsynsmail/A 56376-2023 tillsynsbegäran mail.docx", "A 56376-2023")</f>
        <v/>
      </c>
    </row>
    <row r="690" ht="15" customHeight="1">
      <c r="A690" t="inlineStr">
        <is>
          <t>A 57332-2023</t>
        </is>
      </c>
      <c r="B690" s="1" t="n">
        <v>45245</v>
      </c>
      <c r="C690" s="1" t="n">
        <v>45846</v>
      </c>
      <c r="D690" t="inlineStr">
        <is>
          <t>UPPSALA LÄN</t>
        </is>
      </c>
      <c r="E690" t="inlineStr">
        <is>
          <t>UPPSALA</t>
        </is>
      </c>
      <c r="F690" t="inlineStr">
        <is>
          <t>Allmännings- och besparingsskogar</t>
        </is>
      </c>
      <c r="G690" t="n">
        <v>11.4</v>
      </c>
      <c r="H690" t="n">
        <v>1</v>
      </c>
      <c r="I690" t="n">
        <v>0</v>
      </c>
      <c r="J690" t="n">
        <v>0</v>
      </c>
      <c r="K690" t="n">
        <v>1</v>
      </c>
      <c r="L690" t="n">
        <v>0</v>
      </c>
      <c r="M690" t="n">
        <v>0</v>
      </c>
      <c r="N690" t="n">
        <v>0</v>
      </c>
      <c r="O690" t="n">
        <v>1</v>
      </c>
      <c r="P690" t="n">
        <v>1</v>
      </c>
      <c r="Q690" t="n">
        <v>1</v>
      </c>
      <c r="R690" s="2" t="inlineStr">
        <is>
          <t>Knärot</t>
        </is>
      </c>
      <c r="S690">
        <f>HYPERLINK("https://klasma.github.io/Logging_0380/artfynd/A 57332-2023 artfynd.xlsx", "A 57332-2023")</f>
        <v/>
      </c>
      <c r="T690">
        <f>HYPERLINK("https://klasma.github.io/Logging_0380/kartor/A 57332-2023 karta.png", "A 57332-2023")</f>
        <v/>
      </c>
      <c r="U690">
        <f>HYPERLINK("https://klasma.github.io/Logging_0380/knärot/A 57332-2023 karta knärot.png", "A 57332-2023")</f>
        <v/>
      </c>
      <c r="V690">
        <f>HYPERLINK("https://klasma.github.io/Logging_0380/klagomål/A 57332-2023 FSC-klagomål.docx", "A 57332-2023")</f>
        <v/>
      </c>
      <c r="W690">
        <f>HYPERLINK("https://klasma.github.io/Logging_0380/klagomålsmail/A 57332-2023 FSC-klagomål mail.docx", "A 57332-2023")</f>
        <v/>
      </c>
      <c r="X690">
        <f>HYPERLINK("https://klasma.github.io/Logging_0380/tillsyn/A 57332-2023 tillsynsbegäran.docx", "A 57332-2023")</f>
        <v/>
      </c>
      <c r="Y690">
        <f>HYPERLINK("https://klasma.github.io/Logging_0380/tillsynsmail/A 57332-2023 tillsynsbegäran mail.docx", "A 57332-2023")</f>
        <v/>
      </c>
    </row>
    <row r="691" ht="15" customHeight="1">
      <c r="A691" t="inlineStr">
        <is>
          <t>A 57598-2023</t>
        </is>
      </c>
      <c r="B691" s="1" t="n">
        <v>45246</v>
      </c>
      <c r="C691" s="1" t="n">
        <v>45846</v>
      </c>
      <c r="D691" t="inlineStr">
        <is>
          <t>UPPSALA LÄN</t>
        </is>
      </c>
      <c r="E691" t="inlineStr">
        <is>
          <t>ÖSTHAMMAR</t>
        </is>
      </c>
      <c r="F691" t="inlineStr">
        <is>
          <t>Bergvik skog öst AB</t>
        </is>
      </c>
      <c r="G691" t="n">
        <v>1</v>
      </c>
      <c r="H691" t="n">
        <v>1</v>
      </c>
      <c r="I691" t="n">
        <v>1</v>
      </c>
      <c r="J691" t="n">
        <v>0</v>
      </c>
      <c r="K691" t="n">
        <v>0</v>
      </c>
      <c r="L691" t="n">
        <v>0</v>
      </c>
      <c r="M691" t="n">
        <v>0</v>
      </c>
      <c r="N691" t="n">
        <v>0</v>
      </c>
      <c r="O691" t="n">
        <v>0</v>
      </c>
      <c r="P691" t="n">
        <v>0</v>
      </c>
      <c r="Q691" t="n">
        <v>1</v>
      </c>
      <c r="R691" s="2" t="inlineStr">
        <is>
          <t>Skogsknipprot</t>
        </is>
      </c>
      <c r="S691">
        <f>HYPERLINK("https://klasma.github.io/Logging_0382/artfynd/A 57598-2023 artfynd.xlsx", "A 57598-2023")</f>
        <v/>
      </c>
      <c r="T691">
        <f>HYPERLINK("https://klasma.github.io/Logging_0382/kartor/A 57598-2023 karta.png", "A 57598-2023")</f>
        <v/>
      </c>
      <c r="V691">
        <f>HYPERLINK("https://klasma.github.io/Logging_0382/klagomål/A 57598-2023 FSC-klagomål.docx", "A 57598-2023")</f>
        <v/>
      </c>
      <c r="W691">
        <f>HYPERLINK("https://klasma.github.io/Logging_0382/klagomålsmail/A 57598-2023 FSC-klagomål mail.docx", "A 57598-2023")</f>
        <v/>
      </c>
      <c r="X691">
        <f>HYPERLINK("https://klasma.github.io/Logging_0382/tillsyn/A 57598-2023 tillsynsbegäran.docx", "A 57598-2023")</f>
        <v/>
      </c>
      <c r="Y691">
        <f>HYPERLINK("https://klasma.github.io/Logging_0382/tillsynsmail/A 57598-2023 tillsynsbegäran mail.docx", "A 57598-2023")</f>
        <v/>
      </c>
    </row>
    <row r="692" ht="15" customHeight="1">
      <c r="A692" t="inlineStr">
        <is>
          <t>A 57607-2023</t>
        </is>
      </c>
      <c r="B692" s="1" t="n">
        <v>45246</v>
      </c>
      <c r="C692" s="1" t="n">
        <v>45846</v>
      </c>
      <c r="D692" t="inlineStr">
        <is>
          <t>UPPSALA LÄN</t>
        </is>
      </c>
      <c r="E692" t="inlineStr">
        <is>
          <t>ÖSTHAMMAR</t>
        </is>
      </c>
      <c r="F692" t="inlineStr">
        <is>
          <t>Bergvik skog öst AB</t>
        </is>
      </c>
      <c r="G692" t="n">
        <v>5.8</v>
      </c>
      <c r="H692" t="n">
        <v>1</v>
      </c>
      <c r="I692" t="n">
        <v>1</v>
      </c>
      <c r="J692" t="n">
        <v>0</v>
      </c>
      <c r="K692" t="n">
        <v>0</v>
      </c>
      <c r="L692" t="n">
        <v>0</v>
      </c>
      <c r="M692" t="n">
        <v>0</v>
      </c>
      <c r="N692" t="n">
        <v>0</v>
      </c>
      <c r="O692" t="n">
        <v>0</v>
      </c>
      <c r="P692" t="n">
        <v>0</v>
      </c>
      <c r="Q692" t="n">
        <v>1</v>
      </c>
      <c r="R692" s="2" t="inlineStr">
        <is>
          <t>Skogsknipprot</t>
        </is>
      </c>
      <c r="S692">
        <f>HYPERLINK("https://klasma.github.io/Logging_0382/artfynd/A 57607-2023 artfynd.xlsx", "A 57607-2023")</f>
        <v/>
      </c>
      <c r="T692">
        <f>HYPERLINK("https://klasma.github.io/Logging_0382/kartor/A 57607-2023 karta.png", "A 57607-2023")</f>
        <v/>
      </c>
      <c r="V692">
        <f>HYPERLINK("https://klasma.github.io/Logging_0382/klagomål/A 57607-2023 FSC-klagomål.docx", "A 57607-2023")</f>
        <v/>
      </c>
      <c r="W692">
        <f>HYPERLINK("https://klasma.github.io/Logging_0382/klagomålsmail/A 57607-2023 FSC-klagomål mail.docx", "A 57607-2023")</f>
        <v/>
      </c>
      <c r="X692">
        <f>HYPERLINK("https://klasma.github.io/Logging_0382/tillsyn/A 57607-2023 tillsynsbegäran.docx", "A 57607-2023")</f>
        <v/>
      </c>
      <c r="Y692">
        <f>HYPERLINK("https://klasma.github.io/Logging_0382/tillsynsmail/A 57607-2023 tillsynsbegäran mail.docx", "A 57607-2023")</f>
        <v/>
      </c>
    </row>
    <row r="693" ht="15" customHeight="1">
      <c r="A693" t="inlineStr">
        <is>
          <t>A 57640-2023</t>
        </is>
      </c>
      <c r="B693" s="1" t="n">
        <v>45246</v>
      </c>
      <c r="C693" s="1" t="n">
        <v>45846</v>
      </c>
      <c r="D693" t="inlineStr">
        <is>
          <t>UPPSALA LÄN</t>
        </is>
      </c>
      <c r="E693" t="inlineStr">
        <is>
          <t>ÖSTHAMMAR</t>
        </is>
      </c>
      <c r="F693" t="inlineStr">
        <is>
          <t>Bergvik skog öst AB</t>
        </is>
      </c>
      <c r="G693" t="n">
        <v>2.3</v>
      </c>
      <c r="H693" t="n">
        <v>0</v>
      </c>
      <c r="I693" t="n">
        <v>1</v>
      </c>
      <c r="J693" t="n">
        <v>0</v>
      </c>
      <c r="K693" t="n">
        <v>0</v>
      </c>
      <c r="L693" t="n">
        <v>0</v>
      </c>
      <c r="M693" t="n">
        <v>0</v>
      </c>
      <c r="N693" t="n">
        <v>0</v>
      </c>
      <c r="O693" t="n">
        <v>0</v>
      </c>
      <c r="P693" t="n">
        <v>0</v>
      </c>
      <c r="Q693" t="n">
        <v>1</v>
      </c>
      <c r="R693" s="2" t="inlineStr">
        <is>
          <t>Svavelriska</t>
        </is>
      </c>
      <c r="S693">
        <f>HYPERLINK("https://klasma.github.io/Logging_0382/artfynd/A 57640-2023 artfynd.xlsx", "A 57640-2023")</f>
        <v/>
      </c>
      <c r="T693">
        <f>HYPERLINK("https://klasma.github.io/Logging_0382/kartor/A 57640-2023 karta.png", "A 57640-2023")</f>
        <v/>
      </c>
      <c r="V693">
        <f>HYPERLINK("https://klasma.github.io/Logging_0382/klagomål/A 57640-2023 FSC-klagomål.docx", "A 57640-2023")</f>
        <v/>
      </c>
      <c r="W693">
        <f>HYPERLINK("https://klasma.github.io/Logging_0382/klagomålsmail/A 57640-2023 FSC-klagomål mail.docx", "A 57640-2023")</f>
        <v/>
      </c>
      <c r="X693">
        <f>HYPERLINK("https://klasma.github.io/Logging_0382/tillsyn/A 57640-2023 tillsynsbegäran.docx", "A 57640-2023")</f>
        <v/>
      </c>
      <c r="Y693">
        <f>HYPERLINK("https://klasma.github.io/Logging_0382/tillsynsmail/A 57640-2023 tillsynsbegäran mail.docx", "A 57640-2023")</f>
        <v/>
      </c>
    </row>
    <row r="694" ht="15" customHeight="1">
      <c r="A694" t="inlineStr">
        <is>
          <t>A 57638-2023</t>
        </is>
      </c>
      <c r="B694" s="1" t="n">
        <v>45246</v>
      </c>
      <c r="C694" s="1" t="n">
        <v>45846</v>
      </c>
      <c r="D694" t="inlineStr">
        <is>
          <t>UPPSALA LÄN</t>
        </is>
      </c>
      <c r="E694" t="inlineStr">
        <is>
          <t>TIERP</t>
        </is>
      </c>
      <c r="G694" t="n">
        <v>3.7</v>
      </c>
      <c r="H694" t="n">
        <v>0</v>
      </c>
      <c r="I694" t="n">
        <v>0</v>
      </c>
      <c r="J694" t="n">
        <v>1</v>
      </c>
      <c r="K694" t="n">
        <v>0</v>
      </c>
      <c r="L694" t="n">
        <v>0</v>
      </c>
      <c r="M694" t="n">
        <v>0</v>
      </c>
      <c r="N694" t="n">
        <v>0</v>
      </c>
      <c r="O694" t="n">
        <v>1</v>
      </c>
      <c r="P694" t="n">
        <v>0</v>
      </c>
      <c r="Q694" t="n">
        <v>1</v>
      </c>
      <c r="R694" s="2" t="inlineStr">
        <is>
          <t>Skogsklocka</t>
        </is>
      </c>
      <c r="S694">
        <f>HYPERLINK("https://klasma.github.io/Logging_0360/artfynd/A 57638-2023 artfynd.xlsx", "A 57638-2023")</f>
        <v/>
      </c>
      <c r="T694">
        <f>HYPERLINK("https://klasma.github.io/Logging_0360/kartor/A 57638-2023 karta.png", "A 57638-2023")</f>
        <v/>
      </c>
      <c r="V694">
        <f>HYPERLINK("https://klasma.github.io/Logging_0360/klagomål/A 57638-2023 FSC-klagomål.docx", "A 57638-2023")</f>
        <v/>
      </c>
      <c r="W694">
        <f>HYPERLINK("https://klasma.github.io/Logging_0360/klagomålsmail/A 57638-2023 FSC-klagomål mail.docx", "A 57638-2023")</f>
        <v/>
      </c>
      <c r="X694">
        <f>HYPERLINK("https://klasma.github.io/Logging_0360/tillsyn/A 57638-2023 tillsynsbegäran.docx", "A 57638-2023")</f>
        <v/>
      </c>
      <c r="Y694">
        <f>HYPERLINK("https://klasma.github.io/Logging_0360/tillsynsmail/A 57638-2023 tillsynsbegäran mail.docx", "A 57638-2023")</f>
        <v/>
      </c>
    </row>
    <row r="695" ht="15" customHeight="1">
      <c r="A695" t="inlineStr">
        <is>
          <t>A 58676-2023</t>
        </is>
      </c>
      <c r="B695" s="1" t="n">
        <v>45247</v>
      </c>
      <c r="C695" s="1" t="n">
        <v>45846</v>
      </c>
      <c r="D695" t="inlineStr">
        <is>
          <t>UPPSALA LÄN</t>
        </is>
      </c>
      <c r="E695" t="inlineStr">
        <is>
          <t>HÅBO</t>
        </is>
      </c>
      <c r="G695" t="n">
        <v>3.7</v>
      </c>
      <c r="H695" t="n">
        <v>0</v>
      </c>
      <c r="I695" t="n">
        <v>1</v>
      </c>
      <c r="J695" t="n">
        <v>0</v>
      </c>
      <c r="K695" t="n">
        <v>0</v>
      </c>
      <c r="L695" t="n">
        <v>0</v>
      </c>
      <c r="M695" t="n">
        <v>0</v>
      </c>
      <c r="N695" t="n">
        <v>0</v>
      </c>
      <c r="O695" t="n">
        <v>0</v>
      </c>
      <c r="P695" t="n">
        <v>0</v>
      </c>
      <c r="Q695" t="n">
        <v>1</v>
      </c>
      <c r="R695" s="2" t="inlineStr">
        <is>
          <t>Trådticka</t>
        </is>
      </c>
      <c r="S695">
        <f>HYPERLINK("https://klasma.github.io/Logging_0305/artfynd/A 58676-2023 artfynd.xlsx", "A 58676-2023")</f>
        <v/>
      </c>
      <c r="T695">
        <f>HYPERLINK("https://klasma.github.io/Logging_0305/kartor/A 58676-2023 karta.png", "A 58676-2023")</f>
        <v/>
      </c>
      <c r="V695">
        <f>HYPERLINK("https://klasma.github.io/Logging_0305/klagomål/A 58676-2023 FSC-klagomål.docx", "A 58676-2023")</f>
        <v/>
      </c>
      <c r="W695">
        <f>HYPERLINK("https://klasma.github.io/Logging_0305/klagomålsmail/A 58676-2023 FSC-klagomål mail.docx", "A 58676-2023")</f>
        <v/>
      </c>
      <c r="X695">
        <f>HYPERLINK("https://klasma.github.io/Logging_0305/tillsyn/A 58676-2023 tillsynsbegäran.docx", "A 58676-2023")</f>
        <v/>
      </c>
      <c r="Y695">
        <f>HYPERLINK("https://klasma.github.io/Logging_0305/tillsynsmail/A 58676-2023 tillsynsbegäran mail.docx", "A 58676-2023")</f>
        <v/>
      </c>
    </row>
    <row r="696" ht="15" customHeight="1">
      <c r="A696" t="inlineStr">
        <is>
          <t>A 59160-2023</t>
        </is>
      </c>
      <c r="B696" s="1" t="n">
        <v>45253</v>
      </c>
      <c r="C696" s="1" t="n">
        <v>45846</v>
      </c>
      <c r="D696" t="inlineStr">
        <is>
          <t>UPPSALA LÄN</t>
        </is>
      </c>
      <c r="E696" t="inlineStr">
        <is>
          <t>HÅBO</t>
        </is>
      </c>
      <c r="G696" t="n">
        <v>2.9</v>
      </c>
      <c r="H696" t="n">
        <v>0</v>
      </c>
      <c r="I696" t="n">
        <v>0</v>
      </c>
      <c r="J696" t="n">
        <v>1</v>
      </c>
      <c r="K696" t="n">
        <v>0</v>
      </c>
      <c r="L696" t="n">
        <v>0</v>
      </c>
      <c r="M696" t="n">
        <v>0</v>
      </c>
      <c r="N696" t="n">
        <v>0</v>
      </c>
      <c r="O696" t="n">
        <v>1</v>
      </c>
      <c r="P696" t="n">
        <v>0</v>
      </c>
      <c r="Q696" t="n">
        <v>1</v>
      </c>
      <c r="R696" s="2" t="inlineStr">
        <is>
          <t>Kungsspindling</t>
        </is>
      </c>
      <c r="S696">
        <f>HYPERLINK("https://klasma.github.io/Logging_0305/artfynd/A 59160-2023 artfynd.xlsx", "A 59160-2023")</f>
        <v/>
      </c>
      <c r="T696">
        <f>HYPERLINK("https://klasma.github.io/Logging_0305/kartor/A 59160-2023 karta.png", "A 59160-2023")</f>
        <v/>
      </c>
      <c r="V696">
        <f>HYPERLINK("https://klasma.github.io/Logging_0305/klagomål/A 59160-2023 FSC-klagomål.docx", "A 59160-2023")</f>
        <v/>
      </c>
      <c r="W696">
        <f>HYPERLINK("https://klasma.github.io/Logging_0305/klagomålsmail/A 59160-2023 FSC-klagomål mail.docx", "A 59160-2023")</f>
        <v/>
      </c>
      <c r="X696">
        <f>HYPERLINK("https://klasma.github.io/Logging_0305/tillsyn/A 59160-2023 tillsynsbegäran.docx", "A 59160-2023")</f>
        <v/>
      </c>
      <c r="Y696">
        <f>HYPERLINK("https://klasma.github.io/Logging_0305/tillsynsmail/A 59160-2023 tillsynsbegäran mail.docx", "A 59160-2023")</f>
        <v/>
      </c>
    </row>
    <row r="697" ht="15" customHeight="1">
      <c r="A697" t="inlineStr">
        <is>
          <t>A 59454-2023</t>
        </is>
      </c>
      <c r="B697" s="1" t="n">
        <v>45253</v>
      </c>
      <c r="C697" s="1" t="n">
        <v>45846</v>
      </c>
      <c r="D697" t="inlineStr">
        <is>
          <t>UPPSALA LÄN</t>
        </is>
      </c>
      <c r="E697" t="inlineStr">
        <is>
          <t>TIERP</t>
        </is>
      </c>
      <c r="G697" t="n">
        <v>8.800000000000001</v>
      </c>
      <c r="H697" t="n">
        <v>0</v>
      </c>
      <c r="I697" t="n">
        <v>1</v>
      </c>
      <c r="J697" t="n">
        <v>0</v>
      </c>
      <c r="K697" t="n">
        <v>0</v>
      </c>
      <c r="L697" t="n">
        <v>0</v>
      </c>
      <c r="M697" t="n">
        <v>0</v>
      </c>
      <c r="N697" t="n">
        <v>0</v>
      </c>
      <c r="O697" t="n">
        <v>0</v>
      </c>
      <c r="P697" t="n">
        <v>0</v>
      </c>
      <c r="Q697" t="n">
        <v>1</v>
      </c>
      <c r="R697" s="2" t="inlineStr">
        <is>
          <t>Jättesvampmal</t>
        </is>
      </c>
      <c r="S697">
        <f>HYPERLINK("https://klasma.github.io/Logging_0360/artfynd/A 59454-2023 artfynd.xlsx", "A 59454-2023")</f>
        <v/>
      </c>
      <c r="T697">
        <f>HYPERLINK("https://klasma.github.io/Logging_0360/kartor/A 59454-2023 karta.png", "A 59454-2023")</f>
        <v/>
      </c>
      <c r="V697">
        <f>HYPERLINK("https://klasma.github.io/Logging_0360/klagomål/A 59454-2023 FSC-klagomål.docx", "A 59454-2023")</f>
        <v/>
      </c>
      <c r="W697">
        <f>HYPERLINK("https://klasma.github.io/Logging_0360/klagomålsmail/A 59454-2023 FSC-klagomål mail.docx", "A 59454-2023")</f>
        <v/>
      </c>
      <c r="X697">
        <f>HYPERLINK("https://klasma.github.io/Logging_0360/tillsyn/A 59454-2023 tillsynsbegäran.docx", "A 59454-2023")</f>
        <v/>
      </c>
      <c r="Y697">
        <f>HYPERLINK("https://klasma.github.io/Logging_0360/tillsynsmail/A 59454-2023 tillsynsbegäran mail.docx", "A 59454-2023")</f>
        <v/>
      </c>
    </row>
    <row r="698" ht="15" customHeight="1">
      <c r="A698" t="inlineStr">
        <is>
          <t>A 59708-2023</t>
        </is>
      </c>
      <c r="B698" s="1" t="n">
        <v>45256</v>
      </c>
      <c r="C698" s="1" t="n">
        <v>45846</v>
      </c>
      <c r="D698" t="inlineStr">
        <is>
          <t>UPPSALA LÄN</t>
        </is>
      </c>
      <c r="E698" t="inlineStr">
        <is>
          <t>HEBY</t>
        </is>
      </c>
      <c r="G698" t="n">
        <v>3.1</v>
      </c>
      <c r="H698" t="n">
        <v>1</v>
      </c>
      <c r="I698" t="n">
        <v>0</v>
      </c>
      <c r="J698" t="n">
        <v>0</v>
      </c>
      <c r="K698" t="n">
        <v>0</v>
      </c>
      <c r="L698" t="n">
        <v>0</v>
      </c>
      <c r="M698" t="n">
        <v>0</v>
      </c>
      <c r="N698" t="n">
        <v>0</v>
      </c>
      <c r="O698" t="n">
        <v>0</v>
      </c>
      <c r="P698" t="n">
        <v>0</v>
      </c>
      <c r="Q698" t="n">
        <v>1</v>
      </c>
      <c r="R698" s="2" t="inlineStr">
        <is>
          <t>Mindre vattensalamander</t>
        </is>
      </c>
      <c r="S698">
        <f>HYPERLINK("https://klasma.github.io/Logging_0331/artfynd/A 59708-2023 artfynd.xlsx", "A 59708-2023")</f>
        <v/>
      </c>
      <c r="T698">
        <f>HYPERLINK("https://klasma.github.io/Logging_0331/kartor/A 59708-2023 karta.png", "A 59708-2023")</f>
        <v/>
      </c>
      <c r="V698">
        <f>HYPERLINK("https://klasma.github.io/Logging_0331/klagomål/A 59708-2023 FSC-klagomål.docx", "A 59708-2023")</f>
        <v/>
      </c>
      <c r="W698">
        <f>HYPERLINK("https://klasma.github.io/Logging_0331/klagomålsmail/A 59708-2023 FSC-klagomål mail.docx", "A 59708-2023")</f>
        <v/>
      </c>
      <c r="X698">
        <f>HYPERLINK("https://klasma.github.io/Logging_0331/tillsyn/A 59708-2023 tillsynsbegäran.docx", "A 59708-2023")</f>
        <v/>
      </c>
      <c r="Y698">
        <f>HYPERLINK("https://klasma.github.io/Logging_0331/tillsynsmail/A 59708-2023 tillsynsbegäran mail.docx", "A 59708-2023")</f>
        <v/>
      </c>
    </row>
    <row r="699" ht="15" customHeight="1">
      <c r="A699" t="inlineStr">
        <is>
          <t>A 61068-2023</t>
        </is>
      </c>
      <c r="B699" s="1" t="n">
        <v>45259</v>
      </c>
      <c r="C699" s="1" t="n">
        <v>45846</v>
      </c>
      <c r="D699" t="inlineStr">
        <is>
          <t>UPPSALA LÄN</t>
        </is>
      </c>
      <c r="E699" t="inlineStr">
        <is>
          <t>UPPSALA</t>
        </is>
      </c>
      <c r="F699" t="inlineStr">
        <is>
          <t>Övriga Aktiebolag</t>
        </is>
      </c>
      <c r="G699" t="n">
        <v>8.800000000000001</v>
      </c>
      <c r="H699" t="n">
        <v>1</v>
      </c>
      <c r="I699" t="n">
        <v>0</v>
      </c>
      <c r="J699" t="n">
        <v>0</v>
      </c>
      <c r="K699" t="n">
        <v>1</v>
      </c>
      <c r="L699" t="n">
        <v>0</v>
      </c>
      <c r="M699" t="n">
        <v>0</v>
      </c>
      <c r="N699" t="n">
        <v>0</v>
      </c>
      <c r="O699" t="n">
        <v>1</v>
      </c>
      <c r="P699" t="n">
        <v>1</v>
      </c>
      <c r="Q699" t="n">
        <v>1</v>
      </c>
      <c r="R699" s="2" t="inlineStr">
        <is>
          <t>Knärot</t>
        </is>
      </c>
      <c r="S699">
        <f>HYPERLINK("https://klasma.github.io/Logging_0380/artfynd/A 61068-2023 artfynd.xlsx", "A 61068-2023")</f>
        <v/>
      </c>
      <c r="T699">
        <f>HYPERLINK("https://klasma.github.io/Logging_0380/kartor/A 61068-2023 karta.png", "A 61068-2023")</f>
        <v/>
      </c>
      <c r="U699">
        <f>HYPERLINK("https://klasma.github.io/Logging_0380/knärot/A 61068-2023 karta knärot.png", "A 61068-2023")</f>
        <v/>
      </c>
      <c r="V699">
        <f>HYPERLINK("https://klasma.github.io/Logging_0380/klagomål/A 61068-2023 FSC-klagomål.docx", "A 61068-2023")</f>
        <v/>
      </c>
      <c r="W699">
        <f>HYPERLINK("https://klasma.github.io/Logging_0380/klagomålsmail/A 61068-2023 FSC-klagomål mail.docx", "A 61068-2023")</f>
        <v/>
      </c>
      <c r="X699">
        <f>HYPERLINK("https://klasma.github.io/Logging_0380/tillsyn/A 61068-2023 tillsynsbegäran.docx", "A 61068-2023")</f>
        <v/>
      </c>
      <c r="Y699">
        <f>HYPERLINK("https://klasma.github.io/Logging_0380/tillsynsmail/A 61068-2023 tillsynsbegäran mail.docx", "A 61068-2023")</f>
        <v/>
      </c>
    </row>
    <row r="700" ht="15" customHeight="1">
      <c r="A700" t="inlineStr">
        <is>
          <t>A 61066-2023</t>
        </is>
      </c>
      <c r="B700" s="1" t="n">
        <v>45259</v>
      </c>
      <c r="C700" s="1" t="n">
        <v>45846</v>
      </c>
      <c r="D700" t="inlineStr">
        <is>
          <t>UPPSALA LÄN</t>
        </is>
      </c>
      <c r="E700" t="inlineStr">
        <is>
          <t>UPPSALA</t>
        </is>
      </c>
      <c r="F700" t="inlineStr">
        <is>
          <t>Övriga Aktiebolag</t>
        </is>
      </c>
      <c r="G700" t="n">
        <v>4.7</v>
      </c>
      <c r="H700" t="n">
        <v>0</v>
      </c>
      <c r="I700" t="n">
        <v>0</v>
      </c>
      <c r="J700" t="n">
        <v>1</v>
      </c>
      <c r="K700" t="n">
        <v>0</v>
      </c>
      <c r="L700" t="n">
        <v>0</v>
      </c>
      <c r="M700" t="n">
        <v>0</v>
      </c>
      <c r="N700" t="n">
        <v>0</v>
      </c>
      <c r="O700" t="n">
        <v>1</v>
      </c>
      <c r="P700" t="n">
        <v>0</v>
      </c>
      <c r="Q700" t="n">
        <v>1</v>
      </c>
      <c r="R700" s="2" t="inlineStr">
        <is>
          <t>Igelkott</t>
        </is>
      </c>
      <c r="S700">
        <f>HYPERLINK("https://klasma.github.io/Logging_0380/artfynd/A 61066-2023 artfynd.xlsx", "A 61066-2023")</f>
        <v/>
      </c>
      <c r="T700">
        <f>HYPERLINK("https://klasma.github.io/Logging_0380/kartor/A 61066-2023 karta.png", "A 61066-2023")</f>
        <v/>
      </c>
      <c r="V700">
        <f>HYPERLINK("https://klasma.github.io/Logging_0380/klagomål/A 61066-2023 FSC-klagomål.docx", "A 61066-2023")</f>
        <v/>
      </c>
      <c r="W700">
        <f>HYPERLINK("https://klasma.github.io/Logging_0380/klagomålsmail/A 61066-2023 FSC-klagomål mail.docx", "A 61066-2023")</f>
        <v/>
      </c>
      <c r="X700">
        <f>HYPERLINK("https://klasma.github.io/Logging_0380/tillsyn/A 61066-2023 tillsynsbegäran.docx", "A 61066-2023")</f>
        <v/>
      </c>
      <c r="Y700">
        <f>HYPERLINK("https://klasma.github.io/Logging_0380/tillsynsmail/A 61066-2023 tillsynsbegäran mail.docx", "A 61066-2023")</f>
        <v/>
      </c>
    </row>
    <row r="701" ht="15" customHeight="1">
      <c r="A701" t="inlineStr">
        <is>
          <t>A 63172-2023</t>
        </is>
      </c>
      <c r="B701" s="1" t="n">
        <v>45273</v>
      </c>
      <c r="C701" s="1" t="n">
        <v>45846</v>
      </c>
      <c r="D701" t="inlineStr">
        <is>
          <t>UPPSALA LÄN</t>
        </is>
      </c>
      <c r="E701" t="inlineStr">
        <is>
          <t>UPPSALA</t>
        </is>
      </c>
      <c r="G701" t="n">
        <v>1.8</v>
      </c>
      <c r="H701" t="n">
        <v>0</v>
      </c>
      <c r="I701" t="n">
        <v>1</v>
      </c>
      <c r="J701" t="n">
        <v>0</v>
      </c>
      <c r="K701" t="n">
        <v>0</v>
      </c>
      <c r="L701" t="n">
        <v>0</v>
      </c>
      <c r="M701" t="n">
        <v>0</v>
      </c>
      <c r="N701" t="n">
        <v>0</v>
      </c>
      <c r="O701" t="n">
        <v>0</v>
      </c>
      <c r="P701" t="n">
        <v>0</v>
      </c>
      <c r="Q701" t="n">
        <v>1</v>
      </c>
      <c r="R701" s="2" t="inlineStr">
        <is>
          <t>Ögonpyrola</t>
        </is>
      </c>
      <c r="S701">
        <f>HYPERLINK("https://klasma.github.io/Logging_0380/artfynd/A 63172-2023 artfynd.xlsx", "A 63172-2023")</f>
        <v/>
      </c>
      <c r="T701">
        <f>HYPERLINK("https://klasma.github.io/Logging_0380/kartor/A 63172-2023 karta.png", "A 63172-2023")</f>
        <v/>
      </c>
      <c r="V701">
        <f>HYPERLINK("https://klasma.github.io/Logging_0380/klagomål/A 63172-2023 FSC-klagomål.docx", "A 63172-2023")</f>
        <v/>
      </c>
      <c r="W701">
        <f>HYPERLINK("https://klasma.github.io/Logging_0380/klagomålsmail/A 63172-2023 FSC-klagomål mail.docx", "A 63172-2023")</f>
        <v/>
      </c>
      <c r="X701">
        <f>HYPERLINK("https://klasma.github.io/Logging_0380/tillsyn/A 63172-2023 tillsynsbegäran.docx", "A 63172-2023")</f>
        <v/>
      </c>
      <c r="Y701">
        <f>HYPERLINK("https://klasma.github.io/Logging_0380/tillsynsmail/A 63172-2023 tillsynsbegäran mail.docx", "A 63172-2023")</f>
        <v/>
      </c>
    </row>
    <row r="702" ht="15" customHeight="1">
      <c r="A702" t="inlineStr">
        <is>
          <t>A 584-2024</t>
        </is>
      </c>
      <c r="B702" s="1" t="n">
        <v>45299</v>
      </c>
      <c r="C702" s="1" t="n">
        <v>45846</v>
      </c>
      <c r="D702" t="inlineStr">
        <is>
          <t>UPPSALA LÄN</t>
        </is>
      </c>
      <c r="E702" t="inlineStr">
        <is>
          <t>UPPSALA</t>
        </is>
      </c>
      <c r="G702" t="n">
        <v>0.8</v>
      </c>
      <c r="H702" t="n">
        <v>1</v>
      </c>
      <c r="I702" t="n">
        <v>0</v>
      </c>
      <c r="J702" t="n">
        <v>0</v>
      </c>
      <c r="K702" t="n">
        <v>1</v>
      </c>
      <c r="L702" t="n">
        <v>0</v>
      </c>
      <c r="M702" t="n">
        <v>0</v>
      </c>
      <c r="N702" t="n">
        <v>0</v>
      </c>
      <c r="O702" t="n">
        <v>1</v>
      </c>
      <c r="P702" t="n">
        <v>1</v>
      </c>
      <c r="Q702" t="n">
        <v>1</v>
      </c>
      <c r="R702" s="2" t="inlineStr">
        <is>
          <t>Väddnätfjäril</t>
        </is>
      </c>
      <c r="S702">
        <f>HYPERLINK("https://klasma.github.io/Logging_0380/artfynd/A 584-2024 artfynd.xlsx", "A 584-2024")</f>
        <v/>
      </c>
      <c r="T702">
        <f>HYPERLINK("https://klasma.github.io/Logging_0380/kartor/A 584-2024 karta.png", "A 584-2024")</f>
        <v/>
      </c>
      <c r="V702">
        <f>HYPERLINK("https://klasma.github.io/Logging_0380/klagomål/A 584-2024 FSC-klagomål.docx", "A 584-2024")</f>
        <v/>
      </c>
      <c r="W702">
        <f>HYPERLINK("https://klasma.github.io/Logging_0380/klagomålsmail/A 584-2024 FSC-klagomål mail.docx", "A 584-2024")</f>
        <v/>
      </c>
      <c r="X702">
        <f>HYPERLINK("https://klasma.github.io/Logging_0380/tillsyn/A 584-2024 tillsynsbegäran.docx", "A 584-2024")</f>
        <v/>
      </c>
      <c r="Y702">
        <f>HYPERLINK("https://klasma.github.io/Logging_0380/tillsynsmail/A 584-2024 tillsynsbegäran mail.docx", "A 584-2024")</f>
        <v/>
      </c>
    </row>
    <row r="703" ht="15" customHeight="1">
      <c r="A703" t="inlineStr">
        <is>
          <t>A 2298-2024</t>
        </is>
      </c>
      <c r="B703" s="1" t="n">
        <v>45310</v>
      </c>
      <c r="C703" s="1" t="n">
        <v>45846</v>
      </c>
      <c r="D703" t="inlineStr">
        <is>
          <t>UPPSALA LÄN</t>
        </is>
      </c>
      <c r="E703" t="inlineStr">
        <is>
          <t>TIERP</t>
        </is>
      </c>
      <c r="G703" t="n">
        <v>0.7</v>
      </c>
      <c r="H703" t="n">
        <v>0</v>
      </c>
      <c r="I703" t="n">
        <v>0</v>
      </c>
      <c r="J703" t="n">
        <v>1</v>
      </c>
      <c r="K703" t="n">
        <v>0</v>
      </c>
      <c r="L703" t="n">
        <v>0</v>
      </c>
      <c r="M703" t="n">
        <v>0</v>
      </c>
      <c r="N703" t="n">
        <v>0</v>
      </c>
      <c r="O703" t="n">
        <v>1</v>
      </c>
      <c r="P703" t="n">
        <v>0</v>
      </c>
      <c r="Q703" t="n">
        <v>1</v>
      </c>
      <c r="R703" s="2" t="inlineStr">
        <is>
          <t>Fyrflikig jordstjärna</t>
        </is>
      </c>
      <c r="S703">
        <f>HYPERLINK("https://klasma.github.io/Logging_0360/artfynd/A 2298-2024 artfynd.xlsx", "A 2298-2024")</f>
        <v/>
      </c>
      <c r="T703">
        <f>HYPERLINK("https://klasma.github.io/Logging_0360/kartor/A 2298-2024 karta.png", "A 2298-2024")</f>
        <v/>
      </c>
      <c r="V703">
        <f>HYPERLINK("https://klasma.github.io/Logging_0360/klagomål/A 2298-2024 FSC-klagomål.docx", "A 2298-2024")</f>
        <v/>
      </c>
      <c r="W703">
        <f>HYPERLINK("https://klasma.github.io/Logging_0360/klagomålsmail/A 2298-2024 FSC-klagomål mail.docx", "A 2298-2024")</f>
        <v/>
      </c>
      <c r="X703">
        <f>HYPERLINK("https://klasma.github.io/Logging_0360/tillsyn/A 2298-2024 tillsynsbegäran.docx", "A 2298-2024")</f>
        <v/>
      </c>
      <c r="Y703">
        <f>HYPERLINK("https://klasma.github.io/Logging_0360/tillsynsmail/A 2298-2024 tillsynsbegäran mail.docx", "A 2298-2024")</f>
        <v/>
      </c>
    </row>
    <row r="704" ht="15" customHeight="1">
      <c r="A704" t="inlineStr">
        <is>
          <t>A 2332-2024</t>
        </is>
      </c>
      <c r="B704" s="1" t="n">
        <v>45310</v>
      </c>
      <c r="C704" s="1" t="n">
        <v>45846</v>
      </c>
      <c r="D704" t="inlineStr">
        <is>
          <t>UPPSALA LÄN</t>
        </is>
      </c>
      <c r="E704" t="inlineStr">
        <is>
          <t>TIERP</t>
        </is>
      </c>
      <c r="G704" t="n">
        <v>3.7</v>
      </c>
      <c r="H704" t="n">
        <v>1</v>
      </c>
      <c r="I704" t="n">
        <v>0</v>
      </c>
      <c r="J704" t="n">
        <v>1</v>
      </c>
      <c r="K704" t="n">
        <v>0</v>
      </c>
      <c r="L704" t="n">
        <v>0</v>
      </c>
      <c r="M704" t="n">
        <v>0</v>
      </c>
      <c r="N704" t="n">
        <v>0</v>
      </c>
      <c r="O704" t="n">
        <v>1</v>
      </c>
      <c r="P704" t="n">
        <v>0</v>
      </c>
      <c r="Q704" t="n">
        <v>1</v>
      </c>
      <c r="R704" s="2" t="inlineStr">
        <is>
          <t>Talltita</t>
        </is>
      </c>
      <c r="S704">
        <f>HYPERLINK("https://klasma.github.io/Logging_0360/artfynd/A 2332-2024 artfynd.xlsx", "A 2332-2024")</f>
        <v/>
      </c>
      <c r="T704">
        <f>HYPERLINK("https://klasma.github.io/Logging_0360/kartor/A 2332-2024 karta.png", "A 2332-2024")</f>
        <v/>
      </c>
      <c r="V704">
        <f>HYPERLINK("https://klasma.github.io/Logging_0360/klagomål/A 2332-2024 FSC-klagomål.docx", "A 2332-2024")</f>
        <v/>
      </c>
      <c r="W704">
        <f>HYPERLINK("https://klasma.github.io/Logging_0360/klagomålsmail/A 2332-2024 FSC-klagomål mail.docx", "A 2332-2024")</f>
        <v/>
      </c>
      <c r="X704">
        <f>HYPERLINK("https://klasma.github.io/Logging_0360/tillsyn/A 2332-2024 tillsynsbegäran.docx", "A 2332-2024")</f>
        <v/>
      </c>
      <c r="Y704">
        <f>HYPERLINK("https://klasma.github.io/Logging_0360/tillsynsmail/A 2332-2024 tillsynsbegäran mail.docx", "A 2332-2024")</f>
        <v/>
      </c>
      <c r="Z704">
        <f>HYPERLINK("https://klasma.github.io/Logging_0360/fåglar/A 2332-2024 prioriterade fågelarter.docx", "A 2332-2024")</f>
        <v/>
      </c>
    </row>
    <row r="705" ht="15" customHeight="1">
      <c r="A705" t="inlineStr">
        <is>
          <t>A 2729-2024</t>
        </is>
      </c>
      <c r="B705" s="1" t="n">
        <v>45314</v>
      </c>
      <c r="C705" s="1" t="n">
        <v>45846</v>
      </c>
      <c r="D705" t="inlineStr">
        <is>
          <t>UPPSALA LÄN</t>
        </is>
      </c>
      <c r="E705" t="inlineStr">
        <is>
          <t>UPPSALA</t>
        </is>
      </c>
      <c r="G705" t="n">
        <v>3.3</v>
      </c>
      <c r="H705" t="n">
        <v>1</v>
      </c>
      <c r="I705" t="n">
        <v>0</v>
      </c>
      <c r="J705" t="n">
        <v>0</v>
      </c>
      <c r="K705" t="n">
        <v>0</v>
      </c>
      <c r="L705" t="n">
        <v>0</v>
      </c>
      <c r="M705" t="n">
        <v>0</v>
      </c>
      <c r="N705" t="n">
        <v>0</v>
      </c>
      <c r="O705" t="n">
        <v>0</v>
      </c>
      <c r="P705" t="n">
        <v>0</v>
      </c>
      <c r="Q705" t="n">
        <v>1</v>
      </c>
      <c r="R705" s="2" t="inlineStr">
        <is>
          <t>Revlummer</t>
        </is>
      </c>
      <c r="S705">
        <f>HYPERLINK("https://klasma.github.io/Logging_0380/artfynd/A 2729-2024 artfynd.xlsx", "A 2729-2024")</f>
        <v/>
      </c>
      <c r="T705">
        <f>HYPERLINK("https://klasma.github.io/Logging_0380/kartor/A 2729-2024 karta.png", "A 2729-2024")</f>
        <v/>
      </c>
      <c r="V705">
        <f>HYPERLINK("https://klasma.github.io/Logging_0380/klagomål/A 2729-2024 FSC-klagomål.docx", "A 2729-2024")</f>
        <v/>
      </c>
      <c r="W705">
        <f>HYPERLINK("https://klasma.github.io/Logging_0380/klagomålsmail/A 2729-2024 FSC-klagomål mail.docx", "A 2729-2024")</f>
        <v/>
      </c>
      <c r="X705">
        <f>HYPERLINK("https://klasma.github.io/Logging_0380/tillsyn/A 2729-2024 tillsynsbegäran.docx", "A 2729-2024")</f>
        <v/>
      </c>
      <c r="Y705">
        <f>HYPERLINK("https://klasma.github.io/Logging_0380/tillsynsmail/A 2729-2024 tillsynsbegäran mail.docx", "A 2729-2024")</f>
        <v/>
      </c>
    </row>
    <row r="706" ht="15" customHeight="1">
      <c r="A706" t="inlineStr">
        <is>
          <t>A 4048-2024</t>
        </is>
      </c>
      <c r="B706" s="1" t="n">
        <v>45323</v>
      </c>
      <c r="C706" s="1" t="n">
        <v>45846</v>
      </c>
      <c r="D706" t="inlineStr">
        <is>
          <t>UPPSALA LÄN</t>
        </is>
      </c>
      <c r="E706" t="inlineStr">
        <is>
          <t>ÖSTHAMMAR</t>
        </is>
      </c>
      <c r="F706" t="inlineStr">
        <is>
          <t>Övriga Aktiebolag</t>
        </is>
      </c>
      <c r="G706" t="n">
        <v>21.2</v>
      </c>
      <c r="H706" t="n">
        <v>0</v>
      </c>
      <c r="I706" t="n">
        <v>0</v>
      </c>
      <c r="J706" t="n">
        <v>1</v>
      </c>
      <c r="K706" t="n">
        <v>0</v>
      </c>
      <c r="L706" t="n">
        <v>0</v>
      </c>
      <c r="M706" t="n">
        <v>0</v>
      </c>
      <c r="N706" t="n">
        <v>0</v>
      </c>
      <c r="O706" t="n">
        <v>1</v>
      </c>
      <c r="P706" t="n">
        <v>0</v>
      </c>
      <c r="Q706" t="n">
        <v>1</v>
      </c>
      <c r="R706" s="2" t="inlineStr">
        <is>
          <t>Slåtterfibbla</t>
        </is>
      </c>
      <c r="S706">
        <f>HYPERLINK("https://klasma.github.io/Logging_0382/artfynd/A 4048-2024 artfynd.xlsx", "A 4048-2024")</f>
        <v/>
      </c>
      <c r="T706">
        <f>HYPERLINK("https://klasma.github.io/Logging_0382/kartor/A 4048-2024 karta.png", "A 4048-2024")</f>
        <v/>
      </c>
      <c r="V706">
        <f>HYPERLINK("https://klasma.github.io/Logging_0382/klagomål/A 4048-2024 FSC-klagomål.docx", "A 4048-2024")</f>
        <v/>
      </c>
      <c r="W706">
        <f>HYPERLINK("https://klasma.github.io/Logging_0382/klagomålsmail/A 4048-2024 FSC-klagomål mail.docx", "A 4048-2024")</f>
        <v/>
      </c>
      <c r="X706">
        <f>HYPERLINK("https://klasma.github.io/Logging_0382/tillsyn/A 4048-2024 tillsynsbegäran.docx", "A 4048-2024")</f>
        <v/>
      </c>
      <c r="Y706">
        <f>HYPERLINK("https://klasma.github.io/Logging_0382/tillsynsmail/A 4048-2024 tillsynsbegäran mail.docx", "A 4048-2024")</f>
        <v/>
      </c>
    </row>
    <row r="707" ht="15" customHeight="1">
      <c r="A707" t="inlineStr">
        <is>
          <t>A 5209-2024</t>
        </is>
      </c>
      <c r="B707" s="1" t="n">
        <v>45330</v>
      </c>
      <c r="C707" s="1" t="n">
        <v>45846</v>
      </c>
      <c r="D707" t="inlineStr">
        <is>
          <t>UPPSALA LÄN</t>
        </is>
      </c>
      <c r="E707" t="inlineStr">
        <is>
          <t>ÄLVKARLEBY</t>
        </is>
      </c>
      <c r="G707" t="n">
        <v>6.3</v>
      </c>
      <c r="H707" t="n">
        <v>1</v>
      </c>
      <c r="I707" t="n">
        <v>1</v>
      </c>
      <c r="J707" t="n">
        <v>0</v>
      </c>
      <c r="K707" t="n">
        <v>0</v>
      </c>
      <c r="L707" t="n">
        <v>0</v>
      </c>
      <c r="M707" t="n">
        <v>0</v>
      </c>
      <c r="N707" t="n">
        <v>0</v>
      </c>
      <c r="O707" t="n">
        <v>0</v>
      </c>
      <c r="P707" t="n">
        <v>0</v>
      </c>
      <c r="Q707" t="n">
        <v>1</v>
      </c>
      <c r="R707" s="2" t="inlineStr">
        <is>
          <t>Guckusko</t>
        </is>
      </c>
      <c r="S707">
        <f>HYPERLINK("https://klasma.github.io/Logging_0319/artfynd/A 5209-2024 artfynd.xlsx", "A 5209-2024")</f>
        <v/>
      </c>
      <c r="T707">
        <f>HYPERLINK("https://klasma.github.io/Logging_0319/kartor/A 5209-2024 karta.png", "A 5209-2024")</f>
        <v/>
      </c>
      <c r="V707">
        <f>HYPERLINK("https://klasma.github.io/Logging_0319/klagomål/A 5209-2024 FSC-klagomål.docx", "A 5209-2024")</f>
        <v/>
      </c>
      <c r="W707">
        <f>HYPERLINK("https://klasma.github.io/Logging_0319/klagomålsmail/A 5209-2024 FSC-klagomål mail.docx", "A 5209-2024")</f>
        <v/>
      </c>
      <c r="X707">
        <f>HYPERLINK("https://klasma.github.io/Logging_0319/tillsyn/A 5209-2024 tillsynsbegäran.docx", "A 5209-2024")</f>
        <v/>
      </c>
      <c r="Y707">
        <f>HYPERLINK("https://klasma.github.io/Logging_0319/tillsynsmail/A 5209-2024 tillsynsbegäran mail.docx", "A 5209-2024")</f>
        <v/>
      </c>
    </row>
    <row r="708" ht="15" customHeight="1">
      <c r="A708" t="inlineStr">
        <is>
          <t>A 5700-2024</t>
        </is>
      </c>
      <c r="B708" s="1" t="n">
        <v>45335</v>
      </c>
      <c r="C708" s="1" t="n">
        <v>45846</v>
      </c>
      <c r="D708" t="inlineStr">
        <is>
          <t>UPPSALA LÄN</t>
        </is>
      </c>
      <c r="E708" t="inlineStr">
        <is>
          <t>TIERP</t>
        </is>
      </c>
      <c r="G708" t="n">
        <v>1.6</v>
      </c>
      <c r="H708" t="n">
        <v>0</v>
      </c>
      <c r="I708" t="n">
        <v>1</v>
      </c>
      <c r="J708" t="n">
        <v>0</v>
      </c>
      <c r="K708" t="n">
        <v>0</v>
      </c>
      <c r="L708" t="n">
        <v>0</v>
      </c>
      <c r="M708" t="n">
        <v>0</v>
      </c>
      <c r="N708" t="n">
        <v>0</v>
      </c>
      <c r="O708" t="n">
        <v>0</v>
      </c>
      <c r="P708" t="n">
        <v>0</v>
      </c>
      <c r="Q708" t="n">
        <v>1</v>
      </c>
      <c r="R708" s="2" t="inlineStr">
        <is>
          <t>Vårärt</t>
        </is>
      </c>
      <c r="S708">
        <f>HYPERLINK("https://klasma.github.io/Logging_0360/artfynd/A 5700-2024 artfynd.xlsx", "A 5700-2024")</f>
        <v/>
      </c>
      <c r="T708">
        <f>HYPERLINK("https://klasma.github.io/Logging_0360/kartor/A 5700-2024 karta.png", "A 5700-2024")</f>
        <v/>
      </c>
      <c r="V708">
        <f>HYPERLINK("https://klasma.github.io/Logging_0360/klagomål/A 5700-2024 FSC-klagomål.docx", "A 5700-2024")</f>
        <v/>
      </c>
      <c r="W708">
        <f>HYPERLINK("https://klasma.github.io/Logging_0360/klagomålsmail/A 5700-2024 FSC-klagomål mail.docx", "A 5700-2024")</f>
        <v/>
      </c>
      <c r="X708">
        <f>HYPERLINK("https://klasma.github.io/Logging_0360/tillsyn/A 5700-2024 tillsynsbegäran.docx", "A 5700-2024")</f>
        <v/>
      </c>
      <c r="Y708">
        <f>HYPERLINK("https://klasma.github.io/Logging_0360/tillsynsmail/A 5700-2024 tillsynsbegäran mail.docx", "A 5700-2024")</f>
        <v/>
      </c>
    </row>
    <row r="709" ht="15" customHeight="1">
      <c r="A709" t="inlineStr">
        <is>
          <t>A 5972-2024</t>
        </is>
      </c>
      <c r="B709" s="1" t="n">
        <v>45336</v>
      </c>
      <c r="C709" s="1" t="n">
        <v>45846</v>
      </c>
      <c r="D709" t="inlineStr">
        <is>
          <t>UPPSALA LÄN</t>
        </is>
      </c>
      <c r="E709" t="inlineStr">
        <is>
          <t>UPPSALA</t>
        </is>
      </c>
      <c r="G709" t="n">
        <v>1.6</v>
      </c>
      <c r="H709" t="n">
        <v>1</v>
      </c>
      <c r="I709" t="n">
        <v>0</v>
      </c>
      <c r="J709" t="n">
        <v>0</v>
      </c>
      <c r="K709" t="n">
        <v>0</v>
      </c>
      <c r="L709" t="n">
        <v>0</v>
      </c>
      <c r="M709" t="n">
        <v>0</v>
      </c>
      <c r="N709" t="n">
        <v>0</v>
      </c>
      <c r="O709" t="n">
        <v>0</v>
      </c>
      <c r="P709" t="n">
        <v>0</v>
      </c>
      <c r="Q709" t="n">
        <v>1</v>
      </c>
      <c r="R709" s="2" t="inlineStr">
        <is>
          <t>Sparvuggla</t>
        </is>
      </c>
      <c r="S709">
        <f>HYPERLINK("https://klasma.github.io/Logging_0380/artfynd/A 5972-2024 artfynd.xlsx", "A 5972-2024")</f>
        <v/>
      </c>
      <c r="T709">
        <f>HYPERLINK("https://klasma.github.io/Logging_0380/kartor/A 5972-2024 karta.png", "A 5972-2024")</f>
        <v/>
      </c>
      <c r="V709">
        <f>HYPERLINK("https://klasma.github.io/Logging_0380/klagomål/A 5972-2024 FSC-klagomål.docx", "A 5972-2024")</f>
        <v/>
      </c>
      <c r="W709">
        <f>HYPERLINK("https://klasma.github.io/Logging_0380/klagomålsmail/A 5972-2024 FSC-klagomål mail.docx", "A 5972-2024")</f>
        <v/>
      </c>
      <c r="X709">
        <f>HYPERLINK("https://klasma.github.io/Logging_0380/tillsyn/A 5972-2024 tillsynsbegäran.docx", "A 5972-2024")</f>
        <v/>
      </c>
      <c r="Y709">
        <f>HYPERLINK("https://klasma.github.io/Logging_0380/tillsynsmail/A 5972-2024 tillsynsbegäran mail.docx", "A 5972-2024")</f>
        <v/>
      </c>
      <c r="Z709">
        <f>HYPERLINK("https://klasma.github.io/Logging_0380/fåglar/A 5972-2024 prioriterade fågelarter.docx", "A 5972-2024")</f>
        <v/>
      </c>
    </row>
    <row r="710" ht="15" customHeight="1">
      <c r="A710" t="inlineStr">
        <is>
          <t>A 6044-2024</t>
        </is>
      </c>
      <c r="B710" s="1" t="n">
        <v>45336</v>
      </c>
      <c r="C710" s="1" t="n">
        <v>45846</v>
      </c>
      <c r="D710" t="inlineStr">
        <is>
          <t>UPPSALA LÄN</t>
        </is>
      </c>
      <c r="E710" t="inlineStr">
        <is>
          <t>UPPSALA</t>
        </is>
      </c>
      <c r="F710" t="inlineStr">
        <is>
          <t>Holmen skog AB</t>
        </is>
      </c>
      <c r="G710" t="n">
        <v>7.4</v>
      </c>
      <c r="H710" t="n">
        <v>0</v>
      </c>
      <c r="I710" t="n">
        <v>0</v>
      </c>
      <c r="J710" t="n">
        <v>1</v>
      </c>
      <c r="K710" t="n">
        <v>0</v>
      </c>
      <c r="L710" t="n">
        <v>0</v>
      </c>
      <c r="M710" t="n">
        <v>0</v>
      </c>
      <c r="N710" t="n">
        <v>0</v>
      </c>
      <c r="O710" t="n">
        <v>1</v>
      </c>
      <c r="P710" t="n">
        <v>0</v>
      </c>
      <c r="Q710" t="n">
        <v>1</v>
      </c>
      <c r="R710" s="2" t="inlineStr">
        <is>
          <t>Gul dropplav</t>
        </is>
      </c>
      <c r="S710">
        <f>HYPERLINK("https://klasma.github.io/Logging_0380/artfynd/A 6044-2024 artfynd.xlsx", "A 6044-2024")</f>
        <v/>
      </c>
      <c r="T710">
        <f>HYPERLINK("https://klasma.github.io/Logging_0380/kartor/A 6044-2024 karta.png", "A 6044-2024")</f>
        <v/>
      </c>
      <c r="V710">
        <f>HYPERLINK("https://klasma.github.io/Logging_0380/klagomål/A 6044-2024 FSC-klagomål.docx", "A 6044-2024")</f>
        <v/>
      </c>
      <c r="W710">
        <f>HYPERLINK("https://klasma.github.io/Logging_0380/klagomålsmail/A 6044-2024 FSC-klagomål mail.docx", "A 6044-2024")</f>
        <v/>
      </c>
      <c r="X710">
        <f>HYPERLINK("https://klasma.github.io/Logging_0380/tillsyn/A 6044-2024 tillsynsbegäran.docx", "A 6044-2024")</f>
        <v/>
      </c>
      <c r="Y710">
        <f>HYPERLINK("https://klasma.github.io/Logging_0380/tillsynsmail/A 6044-2024 tillsynsbegäran mail.docx", "A 6044-2024")</f>
        <v/>
      </c>
    </row>
    <row r="711" ht="15" customHeight="1">
      <c r="A711" t="inlineStr">
        <is>
          <t>A 7395-2024</t>
        </is>
      </c>
      <c r="B711" s="1" t="n">
        <v>45345</v>
      </c>
      <c r="C711" s="1" t="n">
        <v>45846</v>
      </c>
      <c r="D711" t="inlineStr">
        <is>
          <t>UPPSALA LÄN</t>
        </is>
      </c>
      <c r="E711" t="inlineStr">
        <is>
          <t>UPPSALA</t>
        </is>
      </c>
      <c r="G711" t="n">
        <v>1.3</v>
      </c>
      <c r="H711" t="n">
        <v>1</v>
      </c>
      <c r="I711" t="n">
        <v>0</v>
      </c>
      <c r="J711" t="n">
        <v>0</v>
      </c>
      <c r="K711" t="n">
        <v>1</v>
      </c>
      <c r="L711" t="n">
        <v>0</v>
      </c>
      <c r="M711" t="n">
        <v>0</v>
      </c>
      <c r="N711" t="n">
        <v>0</v>
      </c>
      <c r="O711" t="n">
        <v>1</v>
      </c>
      <c r="P711" t="n">
        <v>1</v>
      </c>
      <c r="Q711" t="n">
        <v>1</v>
      </c>
      <c r="R711" s="2" t="inlineStr">
        <is>
          <t>Knärot</t>
        </is>
      </c>
      <c r="S711">
        <f>HYPERLINK("https://klasma.github.io/Logging_0380/artfynd/A 7395-2024 artfynd.xlsx", "A 7395-2024")</f>
        <v/>
      </c>
      <c r="T711">
        <f>HYPERLINK("https://klasma.github.io/Logging_0380/kartor/A 7395-2024 karta.png", "A 7395-2024")</f>
        <v/>
      </c>
      <c r="U711">
        <f>HYPERLINK("https://klasma.github.io/Logging_0380/knärot/A 7395-2024 karta knärot.png", "A 7395-2024")</f>
        <v/>
      </c>
      <c r="V711">
        <f>HYPERLINK("https://klasma.github.io/Logging_0380/klagomål/A 7395-2024 FSC-klagomål.docx", "A 7395-2024")</f>
        <v/>
      </c>
      <c r="W711">
        <f>HYPERLINK("https://klasma.github.io/Logging_0380/klagomålsmail/A 7395-2024 FSC-klagomål mail.docx", "A 7395-2024")</f>
        <v/>
      </c>
      <c r="X711">
        <f>HYPERLINK("https://klasma.github.io/Logging_0380/tillsyn/A 7395-2024 tillsynsbegäran.docx", "A 7395-2024")</f>
        <v/>
      </c>
      <c r="Y711">
        <f>HYPERLINK("https://klasma.github.io/Logging_0380/tillsynsmail/A 7395-2024 tillsynsbegäran mail.docx", "A 7395-2024")</f>
        <v/>
      </c>
    </row>
    <row r="712" ht="15" customHeight="1">
      <c r="A712" t="inlineStr">
        <is>
          <t>A 7397-2024</t>
        </is>
      </c>
      <c r="B712" s="1" t="n">
        <v>45345</v>
      </c>
      <c r="C712" s="1" t="n">
        <v>45846</v>
      </c>
      <c r="D712" t="inlineStr">
        <is>
          <t>UPPSALA LÄN</t>
        </is>
      </c>
      <c r="E712" t="inlineStr">
        <is>
          <t>UPPSALA</t>
        </is>
      </c>
      <c r="G712" t="n">
        <v>3.4</v>
      </c>
      <c r="H712" t="n">
        <v>0</v>
      </c>
      <c r="I712" t="n">
        <v>1</v>
      </c>
      <c r="J712" t="n">
        <v>0</v>
      </c>
      <c r="K712" t="n">
        <v>0</v>
      </c>
      <c r="L712" t="n">
        <v>0</v>
      </c>
      <c r="M712" t="n">
        <v>0</v>
      </c>
      <c r="N712" t="n">
        <v>0</v>
      </c>
      <c r="O712" t="n">
        <v>0</v>
      </c>
      <c r="P712" t="n">
        <v>0</v>
      </c>
      <c r="Q712" t="n">
        <v>1</v>
      </c>
      <c r="R712" s="2" t="inlineStr">
        <is>
          <t>Svavelriska</t>
        </is>
      </c>
      <c r="S712">
        <f>HYPERLINK("https://klasma.github.io/Logging_0380/artfynd/A 7397-2024 artfynd.xlsx", "A 7397-2024")</f>
        <v/>
      </c>
      <c r="T712">
        <f>HYPERLINK("https://klasma.github.io/Logging_0380/kartor/A 7397-2024 karta.png", "A 7397-2024")</f>
        <v/>
      </c>
      <c r="U712">
        <f>HYPERLINK("https://klasma.github.io/Logging_0380/knärot/A 7397-2024 karta knärot.png", "A 7397-2024")</f>
        <v/>
      </c>
      <c r="V712">
        <f>HYPERLINK("https://klasma.github.io/Logging_0380/klagomål/A 7397-2024 FSC-klagomål.docx", "A 7397-2024")</f>
        <v/>
      </c>
      <c r="W712">
        <f>HYPERLINK("https://klasma.github.io/Logging_0380/klagomålsmail/A 7397-2024 FSC-klagomål mail.docx", "A 7397-2024")</f>
        <v/>
      </c>
      <c r="X712">
        <f>HYPERLINK("https://klasma.github.io/Logging_0380/tillsyn/A 7397-2024 tillsynsbegäran.docx", "A 7397-2024")</f>
        <v/>
      </c>
      <c r="Y712">
        <f>HYPERLINK("https://klasma.github.io/Logging_0380/tillsynsmail/A 7397-2024 tillsynsbegäran mail.docx", "A 7397-2024")</f>
        <v/>
      </c>
    </row>
    <row r="713" ht="15" customHeight="1">
      <c r="A713" t="inlineStr">
        <is>
          <t>A 8398-2024</t>
        </is>
      </c>
      <c r="B713" s="1" t="n">
        <v>45352</v>
      </c>
      <c r="C713" s="1" t="n">
        <v>45846</v>
      </c>
      <c r="D713" t="inlineStr">
        <is>
          <t>UPPSALA LÄN</t>
        </is>
      </c>
      <c r="E713" t="inlineStr">
        <is>
          <t>UPPSALA</t>
        </is>
      </c>
      <c r="G713" t="n">
        <v>6.2</v>
      </c>
      <c r="H713" t="n">
        <v>1</v>
      </c>
      <c r="I713" t="n">
        <v>0</v>
      </c>
      <c r="J713" t="n">
        <v>0</v>
      </c>
      <c r="K713" t="n">
        <v>0</v>
      </c>
      <c r="L713" t="n">
        <v>0</v>
      </c>
      <c r="M713" t="n">
        <v>0</v>
      </c>
      <c r="N713" t="n">
        <v>0</v>
      </c>
      <c r="O713" t="n">
        <v>0</v>
      </c>
      <c r="P713" t="n">
        <v>0</v>
      </c>
      <c r="Q713" t="n">
        <v>1</v>
      </c>
      <c r="R713" s="2" t="inlineStr">
        <is>
          <t>Tjäder</t>
        </is>
      </c>
      <c r="S713">
        <f>HYPERLINK("https://klasma.github.io/Logging_0380/artfynd/A 8398-2024 artfynd.xlsx", "A 8398-2024")</f>
        <v/>
      </c>
      <c r="T713">
        <f>HYPERLINK("https://klasma.github.io/Logging_0380/kartor/A 8398-2024 karta.png", "A 8398-2024")</f>
        <v/>
      </c>
      <c r="V713">
        <f>HYPERLINK("https://klasma.github.io/Logging_0380/klagomål/A 8398-2024 FSC-klagomål.docx", "A 8398-2024")</f>
        <v/>
      </c>
      <c r="W713">
        <f>HYPERLINK("https://klasma.github.io/Logging_0380/klagomålsmail/A 8398-2024 FSC-klagomål mail.docx", "A 8398-2024")</f>
        <v/>
      </c>
      <c r="X713">
        <f>HYPERLINK("https://klasma.github.io/Logging_0380/tillsyn/A 8398-2024 tillsynsbegäran.docx", "A 8398-2024")</f>
        <v/>
      </c>
      <c r="Y713">
        <f>HYPERLINK("https://klasma.github.io/Logging_0380/tillsynsmail/A 8398-2024 tillsynsbegäran mail.docx", "A 8398-2024")</f>
        <v/>
      </c>
      <c r="Z713">
        <f>HYPERLINK("https://klasma.github.io/Logging_0380/fåglar/A 8398-2024 prioriterade fågelarter.docx", "A 8398-2024")</f>
        <v/>
      </c>
    </row>
    <row r="714" ht="15" customHeight="1">
      <c r="A714" t="inlineStr">
        <is>
          <t>A 8624-2024</t>
        </is>
      </c>
      <c r="B714" s="1" t="n">
        <v>45355</v>
      </c>
      <c r="C714" s="1" t="n">
        <v>45846</v>
      </c>
      <c r="D714" t="inlineStr">
        <is>
          <t>UPPSALA LÄN</t>
        </is>
      </c>
      <c r="E714" t="inlineStr">
        <is>
          <t>HEBY</t>
        </is>
      </c>
      <c r="G714" t="n">
        <v>3.9</v>
      </c>
      <c r="H714" t="n">
        <v>0</v>
      </c>
      <c r="I714" t="n">
        <v>0</v>
      </c>
      <c r="J714" t="n">
        <v>1</v>
      </c>
      <c r="K714" t="n">
        <v>0</v>
      </c>
      <c r="L714" t="n">
        <v>0</v>
      </c>
      <c r="M714" t="n">
        <v>0</v>
      </c>
      <c r="N714" t="n">
        <v>0</v>
      </c>
      <c r="O714" t="n">
        <v>1</v>
      </c>
      <c r="P714" t="n">
        <v>0</v>
      </c>
      <c r="Q714" t="n">
        <v>1</v>
      </c>
      <c r="R714" s="2" t="inlineStr">
        <is>
          <t>Motaggsvamp</t>
        </is>
      </c>
      <c r="S714">
        <f>HYPERLINK("https://klasma.github.io/Logging_0331/artfynd/A 8624-2024 artfynd.xlsx", "A 8624-2024")</f>
        <v/>
      </c>
      <c r="T714">
        <f>HYPERLINK("https://klasma.github.io/Logging_0331/kartor/A 8624-2024 karta.png", "A 8624-2024")</f>
        <v/>
      </c>
      <c r="V714">
        <f>HYPERLINK("https://klasma.github.io/Logging_0331/klagomål/A 8624-2024 FSC-klagomål.docx", "A 8624-2024")</f>
        <v/>
      </c>
      <c r="W714">
        <f>HYPERLINK("https://klasma.github.io/Logging_0331/klagomålsmail/A 8624-2024 FSC-klagomål mail.docx", "A 8624-2024")</f>
        <v/>
      </c>
      <c r="X714">
        <f>HYPERLINK("https://klasma.github.io/Logging_0331/tillsyn/A 8624-2024 tillsynsbegäran.docx", "A 8624-2024")</f>
        <v/>
      </c>
      <c r="Y714">
        <f>HYPERLINK("https://klasma.github.io/Logging_0331/tillsynsmail/A 8624-2024 tillsynsbegäran mail.docx", "A 8624-2024")</f>
        <v/>
      </c>
    </row>
    <row r="715" ht="15" customHeight="1">
      <c r="A715" t="inlineStr">
        <is>
          <t>A 9206-2024</t>
        </is>
      </c>
      <c r="B715" s="1" t="n">
        <v>45358</v>
      </c>
      <c r="C715" s="1" t="n">
        <v>45846</v>
      </c>
      <c r="D715" t="inlineStr">
        <is>
          <t>UPPSALA LÄN</t>
        </is>
      </c>
      <c r="E715" t="inlineStr">
        <is>
          <t>UPPSALA</t>
        </is>
      </c>
      <c r="F715" t="inlineStr">
        <is>
          <t>Allmännings- och besparingsskogar</t>
        </is>
      </c>
      <c r="G715" t="n">
        <v>22.2</v>
      </c>
      <c r="H715" t="n">
        <v>1</v>
      </c>
      <c r="I715" t="n">
        <v>0</v>
      </c>
      <c r="J715" t="n">
        <v>0</v>
      </c>
      <c r="K715" t="n">
        <v>1</v>
      </c>
      <c r="L715" t="n">
        <v>0</v>
      </c>
      <c r="M715" t="n">
        <v>0</v>
      </c>
      <c r="N715" t="n">
        <v>0</v>
      </c>
      <c r="O715" t="n">
        <v>1</v>
      </c>
      <c r="P715" t="n">
        <v>1</v>
      </c>
      <c r="Q715" t="n">
        <v>1</v>
      </c>
      <c r="R715" s="2" t="inlineStr">
        <is>
          <t>Knärot</t>
        </is>
      </c>
      <c r="S715">
        <f>HYPERLINK("https://klasma.github.io/Logging_0380/artfynd/A 9206-2024 artfynd.xlsx", "A 9206-2024")</f>
        <v/>
      </c>
      <c r="T715">
        <f>HYPERLINK("https://klasma.github.io/Logging_0380/kartor/A 9206-2024 karta.png", "A 9206-2024")</f>
        <v/>
      </c>
      <c r="U715">
        <f>HYPERLINK("https://klasma.github.io/Logging_0380/knärot/A 9206-2024 karta knärot.png", "A 9206-2024")</f>
        <v/>
      </c>
      <c r="V715">
        <f>HYPERLINK("https://klasma.github.io/Logging_0380/klagomål/A 9206-2024 FSC-klagomål.docx", "A 9206-2024")</f>
        <v/>
      </c>
      <c r="W715">
        <f>HYPERLINK("https://klasma.github.io/Logging_0380/klagomålsmail/A 9206-2024 FSC-klagomål mail.docx", "A 9206-2024")</f>
        <v/>
      </c>
      <c r="X715">
        <f>HYPERLINK("https://klasma.github.io/Logging_0380/tillsyn/A 9206-2024 tillsynsbegäran.docx", "A 9206-2024")</f>
        <v/>
      </c>
      <c r="Y715">
        <f>HYPERLINK("https://klasma.github.io/Logging_0380/tillsynsmail/A 9206-2024 tillsynsbegäran mail.docx", "A 9206-2024")</f>
        <v/>
      </c>
    </row>
    <row r="716" ht="15" customHeight="1">
      <c r="A716" t="inlineStr">
        <is>
          <t>A 10210-2024</t>
        </is>
      </c>
      <c r="B716" s="1" t="n">
        <v>45364</v>
      </c>
      <c r="C716" s="1" t="n">
        <v>45846</v>
      </c>
      <c r="D716" t="inlineStr">
        <is>
          <t>UPPSALA LÄN</t>
        </is>
      </c>
      <c r="E716" t="inlineStr">
        <is>
          <t>ÖSTHAMMAR</t>
        </is>
      </c>
      <c r="F716" t="inlineStr">
        <is>
          <t>Bergvik skog öst AB</t>
        </is>
      </c>
      <c r="G716" t="n">
        <v>18</v>
      </c>
      <c r="H716" t="n">
        <v>1</v>
      </c>
      <c r="I716" t="n">
        <v>0</v>
      </c>
      <c r="J716" t="n">
        <v>0</v>
      </c>
      <c r="K716" t="n">
        <v>0</v>
      </c>
      <c r="L716" t="n">
        <v>0</v>
      </c>
      <c r="M716" t="n">
        <v>0</v>
      </c>
      <c r="N716" t="n">
        <v>0</v>
      </c>
      <c r="O716" t="n">
        <v>0</v>
      </c>
      <c r="P716" t="n">
        <v>0</v>
      </c>
      <c r="Q716" t="n">
        <v>1</v>
      </c>
      <c r="R716" s="2" t="inlineStr">
        <is>
          <t>Tjäder</t>
        </is>
      </c>
      <c r="S716">
        <f>HYPERLINK("https://klasma.github.io/Logging_0382/artfynd/A 10210-2024 artfynd.xlsx", "A 10210-2024")</f>
        <v/>
      </c>
      <c r="T716">
        <f>HYPERLINK("https://klasma.github.io/Logging_0382/kartor/A 10210-2024 karta.png", "A 10210-2024")</f>
        <v/>
      </c>
      <c r="V716">
        <f>HYPERLINK("https://klasma.github.io/Logging_0382/klagomål/A 10210-2024 FSC-klagomål.docx", "A 10210-2024")</f>
        <v/>
      </c>
      <c r="W716">
        <f>HYPERLINK("https://klasma.github.io/Logging_0382/klagomålsmail/A 10210-2024 FSC-klagomål mail.docx", "A 10210-2024")</f>
        <v/>
      </c>
      <c r="X716">
        <f>HYPERLINK("https://klasma.github.io/Logging_0382/tillsyn/A 10210-2024 tillsynsbegäran.docx", "A 10210-2024")</f>
        <v/>
      </c>
      <c r="Y716">
        <f>HYPERLINK("https://klasma.github.io/Logging_0382/tillsynsmail/A 10210-2024 tillsynsbegäran mail.docx", "A 10210-2024")</f>
        <v/>
      </c>
      <c r="Z716">
        <f>HYPERLINK("https://klasma.github.io/Logging_0382/fåglar/A 10210-2024 prioriterade fågelarter.docx", "A 10210-2024")</f>
        <v/>
      </c>
    </row>
    <row r="717" ht="15" customHeight="1">
      <c r="A717" t="inlineStr">
        <is>
          <t>A 10227-2024</t>
        </is>
      </c>
      <c r="B717" s="1" t="n">
        <v>45365</v>
      </c>
      <c r="C717" s="1" t="n">
        <v>45846</v>
      </c>
      <c r="D717" t="inlineStr">
        <is>
          <t>UPPSALA LÄN</t>
        </is>
      </c>
      <c r="E717" t="inlineStr">
        <is>
          <t>HÅBO</t>
        </is>
      </c>
      <c r="G717" t="n">
        <v>14.9</v>
      </c>
      <c r="H717" t="n">
        <v>0</v>
      </c>
      <c r="I717" t="n">
        <v>1</v>
      </c>
      <c r="J717" t="n">
        <v>0</v>
      </c>
      <c r="K717" t="n">
        <v>0</v>
      </c>
      <c r="L717" t="n">
        <v>0</v>
      </c>
      <c r="M717" t="n">
        <v>0</v>
      </c>
      <c r="N717" t="n">
        <v>0</v>
      </c>
      <c r="O717" t="n">
        <v>0</v>
      </c>
      <c r="P717" t="n">
        <v>0</v>
      </c>
      <c r="Q717" t="n">
        <v>1</v>
      </c>
      <c r="R717" s="2" t="inlineStr">
        <is>
          <t>Svavelriska</t>
        </is>
      </c>
      <c r="S717">
        <f>HYPERLINK("https://klasma.github.io/Logging_0305/artfynd/A 10227-2024 artfynd.xlsx", "A 10227-2024")</f>
        <v/>
      </c>
      <c r="T717">
        <f>HYPERLINK("https://klasma.github.io/Logging_0305/kartor/A 10227-2024 karta.png", "A 10227-2024")</f>
        <v/>
      </c>
      <c r="V717">
        <f>HYPERLINK("https://klasma.github.io/Logging_0305/klagomål/A 10227-2024 FSC-klagomål.docx", "A 10227-2024")</f>
        <v/>
      </c>
      <c r="W717">
        <f>HYPERLINK("https://klasma.github.io/Logging_0305/klagomålsmail/A 10227-2024 FSC-klagomål mail.docx", "A 10227-2024")</f>
        <v/>
      </c>
      <c r="X717">
        <f>HYPERLINK("https://klasma.github.io/Logging_0305/tillsyn/A 10227-2024 tillsynsbegäran.docx", "A 10227-2024")</f>
        <v/>
      </c>
      <c r="Y717">
        <f>HYPERLINK("https://klasma.github.io/Logging_0305/tillsynsmail/A 10227-2024 tillsynsbegäran mail.docx", "A 10227-2024")</f>
        <v/>
      </c>
    </row>
    <row r="718" ht="15" customHeight="1">
      <c r="A718" t="inlineStr">
        <is>
          <t>A 12753-2024</t>
        </is>
      </c>
      <c r="B718" s="1" t="n">
        <v>45384</v>
      </c>
      <c r="C718" s="1" t="n">
        <v>45846</v>
      </c>
      <c r="D718" t="inlineStr">
        <is>
          <t>UPPSALA LÄN</t>
        </is>
      </c>
      <c r="E718" t="inlineStr">
        <is>
          <t>ÖSTHAMMAR</t>
        </is>
      </c>
      <c r="G718" t="n">
        <v>1.7</v>
      </c>
      <c r="H718" t="n">
        <v>0</v>
      </c>
      <c r="I718" t="n">
        <v>0</v>
      </c>
      <c r="J718" t="n">
        <v>1</v>
      </c>
      <c r="K718" t="n">
        <v>0</v>
      </c>
      <c r="L718" t="n">
        <v>0</v>
      </c>
      <c r="M718" t="n">
        <v>0</v>
      </c>
      <c r="N718" t="n">
        <v>0</v>
      </c>
      <c r="O718" t="n">
        <v>1</v>
      </c>
      <c r="P718" t="n">
        <v>0</v>
      </c>
      <c r="Q718" t="n">
        <v>1</v>
      </c>
      <c r="R718" s="2" t="inlineStr">
        <is>
          <t>Flattoppad klubbsvamp</t>
        </is>
      </c>
      <c r="S718">
        <f>HYPERLINK("https://klasma.github.io/Logging_0382/artfynd/A 12753-2024 artfynd.xlsx", "A 12753-2024")</f>
        <v/>
      </c>
      <c r="T718">
        <f>HYPERLINK("https://klasma.github.io/Logging_0382/kartor/A 12753-2024 karta.png", "A 12753-2024")</f>
        <v/>
      </c>
      <c r="V718">
        <f>HYPERLINK("https://klasma.github.io/Logging_0382/klagomål/A 12753-2024 FSC-klagomål.docx", "A 12753-2024")</f>
        <v/>
      </c>
      <c r="W718">
        <f>HYPERLINK("https://klasma.github.io/Logging_0382/klagomålsmail/A 12753-2024 FSC-klagomål mail.docx", "A 12753-2024")</f>
        <v/>
      </c>
      <c r="X718">
        <f>HYPERLINK("https://klasma.github.io/Logging_0382/tillsyn/A 12753-2024 tillsynsbegäran.docx", "A 12753-2024")</f>
        <v/>
      </c>
      <c r="Y718">
        <f>HYPERLINK("https://klasma.github.io/Logging_0382/tillsynsmail/A 12753-2024 tillsynsbegäran mail.docx", "A 12753-2024")</f>
        <v/>
      </c>
    </row>
    <row r="719" ht="15" customHeight="1">
      <c r="A719" t="inlineStr">
        <is>
          <t>A 13093-2024</t>
        </is>
      </c>
      <c r="B719" s="1" t="n">
        <v>45385</v>
      </c>
      <c r="C719" s="1" t="n">
        <v>45846</v>
      </c>
      <c r="D719" t="inlineStr">
        <is>
          <t>UPPSALA LÄN</t>
        </is>
      </c>
      <c r="E719" t="inlineStr">
        <is>
          <t>UPPSALA</t>
        </is>
      </c>
      <c r="G719" t="n">
        <v>1.1</v>
      </c>
      <c r="H719" t="n">
        <v>1</v>
      </c>
      <c r="I719" t="n">
        <v>1</v>
      </c>
      <c r="J719" t="n">
        <v>0</v>
      </c>
      <c r="K719" t="n">
        <v>0</v>
      </c>
      <c r="L719" t="n">
        <v>0</v>
      </c>
      <c r="M719" t="n">
        <v>0</v>
      </c>
      <c r="N719" t="n">
        <v>0</v>
      </c>
      <c r="O719" t="n">
        <v>0</v>
      </c>
      <c r="P719" t="n">
        <v>0</v>
      </c>
      <c r="Q719" t="n">
        <v>1</v>
      </c>
      <c r="R719" s="2" t="inlineStr">
        <is>
          <t>Skogsknipprot</t>
        </is>
      </c>
      <c r="S719">
        <f>HYPERLINK("https://klasma.github.io/Logging_0380/artfynd/A 13093-2024 artfynd.xlsx", "A 13093-2024")</f>
        <v/>
      </c>
      <c r="T719">
        <f>HYPERLINK("https://klasma.github.io/Logging_0380/kartor/A 13093-2024 karta.png", "A 13093-2024")</f>
        <v/>
      </c>
      <c r="V719">
        <f>HYPERLINK("https://klasma.github.io/Logging_0380/klagomål/A 13093-2024 FSC-klagomål.docx", "A 13093-2024")</f>
        <v/>
      </c>
      <c r="W719">
        <f>HYPERLINK("https://klasma.github.io/Logging_0380/klagomålsmail/A 13093-2024 FSC-klagomål mail.docx", "A 13093-2024")</f>
        <v/>
      </c>
      <c r="X719">
        <f>HYPERLINK("https://klasma.github.io/Logging_0380/tillsyn/A 13093-2024 tillsynsbegäran.docx", "A 13093-2024")</f>
        <v/>
      </c>
      <c r="Y719">
        <f>HYPERLINK("https://klasma.github.io/Logging_0380/tillsynsmail/A 13093-2024 tillsynsbegäran mail.docx", "A 13093-2024")</f>
        <v/>
      </c>
    </row>
    <row r="720" ht="15" customHeight="1">
      <c r="A720" t="inlineStr">
        <is>
          <t>A 13255-2024</t>
        </is>
      </c>
      <c r="B720" s="1" t="n">
        <v>45386</v>
      </c>
      <c r="C720" s="1" t="n">
        <v>45846</v>
      </c>
      <c r="D720" t="inlineStr">
        <is>
          <t>UPPSALA LÄN</t>
        </is>
      </c>
      <c r="E720" t="inlineStr">
        <is>
          <t>ENKÖPING</t>
        </is>
      </c>
      <c r="G720" t="n">
        <v>3.8</v>
      </c>
      <c r="H720" t="n">
        <v>0</v>
      </c>
      <c r="I720" t="n">
        <v>1</v>
      </c>
      <c r="J720" t="n">
        <v>0</v>
      </c>
      <c r="K720" t="n">
        <v>0</v>
      </c>
      <c r="L720" t="n">
        <v>0</v>
      </c>
      <c r="M720" t="n">
        <v>0</v>
      </c>
      <c r="N720" t="n">
        <v>0</v>
      </c>
      <c r="O720" t="n">
        <v>0</v>
      </c>
      <c r="P720" t="n">
        <v>0</v>
      </c>
      <c r="Q720" t="n">
        <v>1</v>
      </c>
      <c r="R720" s="2" t="inlineStr">
        <is>
          <t>Stor aspticka</t>
        </is>
      </c>
      <c r="S720">
        <f>HYPERLINK("https://klasma.github.io/Logging_0381/artfynd/A 13255-2024 artfynd.xlsx", "A 13255-2024")</f>
        <v/>
      </c>
      <c r="T720">
        <f>HYPERLINK("https://klasma.github.io/Logging_0381/kartor/A 13255-2024 karta.png", "A 13255-2024")</f>
        <v/>
      </c>
      <c r="V720">
        <f>HYPERLINK("https://klasma.github.io/Logging_0381/klagomål/A 13255-2024 FSC-klagomål.docx", "A 13255-2024")</f>
        <v/>
      </c>
      <c r="W720">
        <f>HYPERLINK("https://klasma.github.io/Logging_0381/klagomålsmail/A 13255-2024 FSC-klagomål mail.docx", "A 13255-2024")</f>
        <v/>
      </c>
      <c r="X720">
        <f>HYPERLINK("https://klasma.github.io/Logging_0381/tillsyn/A 13255-2024 tillsynsbegäran.docx", "A 13255-2024")</f>
        <v/>
      </c>
      <c r="Y720">
        <f>HYPERLINK("https://klasma.github.io/Logging_0381/tillsynsmail/A 13255-2024 tillsynsbegäran mail.docx", "A 13255-2024")</f>
        <v/>
      </c>
    </row>
    <row r="721" ht="15" customHeight="1">
      <c r="A721" t="inlineStr">
        <is>
          <t>A 13661-2024</t>
        </is>
      </c>
      <c r="B721" s="1" t="n">
        <v>45390</v>
      </c>
      <c r="C721" s="1" t="n">
        <v>45846</v>
      </c>
      <c r="D721" t="inlineStr">
        <is>
          <t>UPPSALA LÄN</t>
        </is>
      </c>
      <c r="E721" t="inlineStr">
        <is>
          <t>UPPSALA</t>
        </is>
      </c>
      <c r="F721" t="inlineStr">
        <is>
          <t>Holmen skog AB</t>
        </is>
      </c>
      <c r="G721" t="n">
        <v>3.7</v>
      </c>
      <c r="H721" t="n">
        <v>0</v>
      </c>
      <c r="I721" t="n">
        <v>0</v>
      </c>
      <c r="J721" t="n">
        <v>1</v>
      </c>
      <c r="K721" t="n">
        <v>0</v>
      </c>
      <c r="L721" t="n">
        <v>0</v>
      </c>
      <c r="M721" t="n">
        <v>0</v>
      </c>
      <c r="N721" t="n">
        <v>0</v>
      </c>
      <c r="O721" t="n">
        <v>1</v>
      </c>
      <c r="P721" t="n">
        <v>0</v>
      </c>
      <c r="Q721" t="n">
        <v>1</v>
      </c>
      <c r="R721" s="2" t="inlineStr">
        <is>
          <t>Skogsklocka</t>
        </is>
      </c>
      <c r="S721">
        <f>HYPERLINK("https://klasma.github.io/Logging_0380/artfynd/A 13661-2024 artfynd.xlsx", "A 13661-2024")</f>
        <v/>
      </c>
      <c r="T721">
        <f>HYPERLINK("https://klasma.github.io/Logging_0380/kartor/A 13661-2024 karta.png", "A 13661-2024")</f>
        <v/>
      </c>
      <c r="V721">
        <f>HYPERLINK("https://klasma.github.io/Logging_0380/klagomål/A 13661-2024 FSC-klagomål.docx", "A 13661-2024")</f>
        <v/>
      </c>
      <c r="W721">
        <f>HYPERLINK("https://klasma.github.io/Logging_0380/klagomålsmail/A 13661-2024 FSC-klagomål mail.docx", "A 13661-2024")</f>
        <v/>
      </c>
      <c r="X721">
        <f>HYPERLINK("https://klasma.github.io/Logging_0380/tillsyn/A 13661-2024 tillsynsbegäran.docx", "A 13661-2024")</f>
        <v/>
      </c>
      <c r="Y721">
        <f>HYPERLINK("https://klasma.github.io/Logging_0380/tillsynsmail/A 13661-2024 tillsynsbegäran mail.docx", "A 13661-2024")</f>
        <v/>
      </c>
    </row>
    <row r="722" ht="15" customHeight="1">
      <c r="A722" t="inlineStr">
        <is>
          <t>A 14203-2024</t>
        </is>
      </c>
      <c r="B722" s="1" t="n">
        <v>45393</v>
      </c>
      <c r="C722" s="1" t="n">
        <v>45846</v>
      </c>
      <c r="D722" t="inlineStr">
        <is>
          <t>UPPSALA LÄN</t>
        </is>
      </c>
      <c r="E722" t="inlineStr">
        <is>
          <t>ÖSTHAMMAR</t>
        </is>
      </c>
      <c r="G722" t="n">
        <v>1.4</v>
      </c>
      <c r="H722" t="n">
        <v>0</v>
      </c>
      <c r="I722" t="n">
        <v>0</v>
      </c>
      <c r="J722" t="n">
        <v>1</v>
      </c>
      <c r="K722" t="n">
        <v>0</v>
      </c>
      <c r="L722" t="n">
        <v>0</v>
      </c>
      <c r="M722" t="n">
        <v>0</v>
      </c>
      <c r="N722" t="n">
        <v>0</v>
      </c>
      <c r="O722" t="n">
        <v>1</v>
      </c>
      <c r="P722" t="n">
        <v>0</v>
      </c>
      <c r="Q722" t="n">
        <v>1</v>
      </c>
      <c r="R722" s="2" t="inlineStr">
        <is>
          <t>Scharlakansvaxing</t>
        </is>
      </c>
      <c r="S722">
        <f>HYPERLINK("https://klasma.github.io/Logging_0382/artfynd/A 14203-2024 artfynd.xlsx", "A 14203-2024")</f>
        <v/>
      </c>
      <c r="T722">
        <f>HYPERLINK("https://klasma.github.io/Logging_0382/kartor/A 14203-2024 karta.png", "A 14203-2024")</f>
        <v/>
      </c>
      <c r="V722">
        <f>HYPERLINK("https://klasma.github.io/Logging_0382/klagomål/A 14203-2024 FSC-klagomål.docx", "A 14203-2024")</f>
        <v/>
      </c>
      <c r="W722">
        <f>HYPERLINK("https://klasma.github.io/Logging_0382/klagomålsmail/A 14203-2024 FSC-klagomål mail.docx", "A 14203-2024")</f>
        <v/>
      </c>
      <c r="X722">
        <f>HYPERLINK("https://klasma.github.io/Logging_0382/tillsyn/A 14203-2024 tillsynsbegäran.docx", "A 14203-2024")</f>
        <v/>
      </c>
      <c r="Y722">
        <f>HYPERLINK("https://klasma.github.io/Logging_0382/tillsynsmail/A 14203-2024 tillsynsbegäran mail.docx", "A 14203-2024")</f>
        <v/>
      </c>
    </row>
    <row r="723" ht="15" customHeight="1">
      <c r="A723" t="inlineStr">
        <is>
          <t>A 17006-2024</t>
        </is>
      </c>
      <c r="B723" s="1" t="n">
        <v>45411</v>
      </c>
      <c r="C723" s="1" t="n">
        <v>45846</v>
      </c>
      <c r="D723" t="inlineStr">
        <is>
          <t>UPPSALA LÄN</t>
        </is>
      </c>
      <c r="E723" t="inlineStr">
        <is>
          <t>HEBY</t>
        </is>
      </c>
      <c r="F723" t="inlineStr">
        <is>
          <t>Bergvik skog väst AB</t>
        </is>
      </c>
      <c r="G723" t="n">
        <v>14.6</v>
      </c>
      <c r="H723" t="n">
        <v>1</v>
      </c>
      <c r="I723" t="n">
        <v>0</v>
      </c>
      <c r="J723" t="n">
        <v>1</v>
      </c>
      <c r="K723" t="n">
        <v>0</v>
      </c>
      <c r="L723" t="n">
        <v>0</v>
      </c>
      <c r="M723" t="n">
        <v>0</v>
      </c>
      <c r="N723" t="n">
        <v>0</v>
      </c>
      <c r="O723" t="n">
        <v>1</v>
      </c>
      <c r="P723" t="n">
        <v>0</v>
      </c>
      <c r="Q723" t="n">
        <v>1</v>
      </c>
      <c r="R723" s="2" t="inlineStr">
        <is>
          <t>Järpe</t>
        </is>
      </c>
      <c r="S723">
        <f>HYPERLINK("https://klasma.github.io/Logging_0331/artfynd/A 17006-2024 artfynd.xlsx", "A 17006-2024")</f>
        <v/>
      </c>
      <c r="T723">
        <f>HYPERLINK("https://klasma.github.io/Logging_0331/kartor/A 17006-2024 karta.png", "A 17006-2024")</f>
        <v/>
      </c>
      <c r="V723">
        <f>HYPERLINK("https://klasma.github.io/Logging_0331/klagomål/A 17006-2024 FSC-klagomål.docx", "A 17006-2024")</f>
        <v/>
      </c>
      <c r="W723">
        <f>HYPERLINK("https://klasma.github.io/Logging_0331/klagomålsmail/A 17006-2024 FSC-klagomål mail.docx", "A 17006-2024")</f>
        <v/>
      </c>
      <c r="X723">
        <f>HYPERLINK("https://klasma.github.io/Logging_0331/tillsyn/A 17006-2024 tillsynsbegäran.docx", "A 17006-2024")</f>
        <v/>
      </c>
      <c r="Y723">
        <f>HYPERLINK("https://klasma.github.io/Logging_0331/tillsynsmail/A 17006-2024 tillsynsbegäran mail.docx", "A 17006-2024")</f>
        <v/>
      </c>
      <c r="Z723">
        <f>HYPERLINK("https://klasma.github.io/Logging_0331/fåglar/A 17006-2024 prioriterade fågelarter.docx", "A 17006-2024")</f>
        <v/>
      </c>
    </row>
    <row r="724" ht="15" customHeight="1">
      <c r="A724" t="inlineStr">
        <is>
          <t>A 16864-2024</t>
        </is>
      </c>
      <c r="B724" s="1" t="n">
        <v>45411</v>
      </c>
      <c r="C724" s="1" t="n">
        <v>45846</v>
      </c>
      <c r="D724" t="inlineStr">
        <is>
          <t>UPPSALA LÄN</t>
        </is>
      </c>
      <c r="E724" t="inlineStr">
        <is>
          <t>ENKÖPING</t>
        </is>
      </c>
      <c r="G724" t="n">
        <v>5.9</v>
      </c>
      <c r="H724" t="n">
        <v>1</v>
      </c>
      <c r="I724" t="n">
        <v>0</v>
      </c>
      <c r="J724" t="n">
        <v>1</v>
      </c>
      <c r="K724" t="n">
        <v>0</v>
      </c>
      <c r="L724" t="n">
        <v>0</v>
      </c>
      <c r="M724" t="n">
        <v>0</v>
      </c>
      <c r="N724" t="n">
        <v>0</v>
      </c>
      <c r="O724" t="n">
        <v>1</v>
      </c>
      <c r="P724" t="n">
        <v>0</v>
      </c>
      <c r="Q724" t="n">
        <v>1</v>
      </c>
      <c r="R724" s="2" t="inlineStr">
        <is>
          <t>Spillkråka</t>
        </is>
      </c>
      <c r="S724">
        <f>HYPERLINK("https://klasma.github.io/Logging_0381/artfynd/A 16864-2024 artfynd.xlsx", "A 16864-2024")</f>
        <v/>
      </c>
      <c r="T724">
        <f>HYPERLINK("https://klasma.github.io/Logging_0381/kartor/A 16864-2024 karta.png", "A 16864-2024")</f>
        <v/>
      </c>
      <c r="V724">
        <f>HYPERLINK("https://klasma.github.io/Logging_0381/klagomål/A 16864-2024 FSC-klagomål.docx", "A 16864-2024")</f>
        <v/>
      </c>
      <c r="W724">
        <f>HYPERLINK("https://klasma.github.io/Logging_0381/klagomålsmail/A 16864-2024 FSC-klagomål mail.docx", "A 16864-2024")</f>
        <v/>
      </c>
      <c r="X724">
        <f>HYPERLINK("https://klasma.github.io/Logging_0381/tillsyn/A 16864-2024 tillsynsbegäran.docx", "A 16864-2024")</f>
        <v/>
      </c>
      <c r="Y724">
        <f>HYPERLINK("https://klasma.github.io/Logging_0381/tillsynsmail/A 16864-2024 tillsynsbegäran mail.docx", "A 16864-2024")</f>
        <v/>
      </c>
      <c r="Z724">
        <f>HYPERLINK("https://klasma.github.io/Logging_0381/fåglar/A 16864-2024 prioriterade fågelarter.docx", "A 16864-2024")</f>
        <v/>
      </c>
    </row>
    <row r="725" ht="15" customHeight="1">
      <c r="A725" t="inlineStr">
        <is>
          <t>A 17942-2024</t>
        </is>
      </c>
      <c r="B725" s="1" t="n">
        <v>45419</v>
      </c>
      <c r="C725" s="1" t="n">
        <v>45846</v>
      </c>
      <c r="D725" t="inlineStr">
        <is>
          <t>UPPSALA LÄN</t>
        </is>
      </c>
      <c r="E725" t="inlineStr">
        <is>
          <t>ENKÖPING</t>
        </is>
      </c>
      <c r="G725" t="n">
        <v>0.8</v>
      </c>
      <c r="H725" t="n">
        <v>0</v>
      </c>
      <c r="I725" t="n">
        <v>0</v>
      </c>
      <c r="J725" t="n">
        <v>1</v>
      </c>
      <c r="K725" t="n">
        <v>0</v>
      </c>
      <c r="L725" t="n">
        <v>0</v>
      </c>
      <c r="M725" t="n">
        <v>0</v>
      </c>
      <c r="N725" t="n">
        <v>0</v>
      </c>
      <c r="O725" t="n">
        <v>1</v>
      </c>
      <c r="P725" t="n">
        <v>0</v>
      </c>
      <c r="Q725" t="n">
        <v>1</v>
      </c>
      <c r="R725" s="2" t="inlineStr">
        <is>
          <t>Ängsskära</t>
        </is>
      </c>
      <c r="S725">
        <f>HYPERLINK("https://klasma.github.io/Logging_0381/artfynd/A 17942-2024 artfynd.xlsx", "A 17942-2024")</f>
        <v/>
      </c>
      <c r="T725">
        <f>HYPERLINK("https://klasma.github.io/Logging_0381/kartor/A 17942-2024 karta.png", "A 17942-2024")</f>
        <v/>
      </c>
      <c r="V725">
        <f>HYPERLINK("https://klasma.github.io/Logging_0381/klagomål/A 17942-2024 FSC-klagomål.docx", "A 17942-2024")</f>
        <v/>
      </c>
      <c r="W725">
        <f>HYPERLINK("https://klasma.github.io/Logging_0381/klagomålsmail/A 17942-2024 FSC-klagomål mail.docx", "A 17942-2024")</f>
        <v/>
      </c>
      <c r="X725">
        <f>HYPERLINK("https://klasma.github.io/Logging_0381/tillsyn/A 17942-2024 tillsynsbegäran.docx", "A 17942-2024")</f>
        <v/>
      </c>
      <c r="Y725">
        <f>HYPERLINK("https://klasma.github.io/Logging_0381/tillsynsmail/A 17942-2024 tillsynsbegäran mail.docx", "A 17942-2024")</f>
        <v/>
      </c>
    </row>
    <row r="726" ht="15" customHeight="1">
      <c r="A726" t="inlineStr">
        <is>
          <t>A 17972-2024</t>
        </is>
      </c>
      <c r="B726" s="1" t="n">
        <v>45419</v>
      </c>
      <c r="C726" s="1" t="n">
        <v>45846</v>
      </c>
      <c r="D726" t="inlineStr">
        <is>
          <t>UPPSALA LÄN</t>
        </is>
      </c>
      <c r="E726" t="inlineStr">
        <is>
          <t>HEBY</t>
        </is>
      </c>
      <c r="F726" t="inlineStr">
        <is>
          <t>Bergvik skog väst AB</t>
        </is>
      </c>
      <c r="G726" t="n">
        <v>9.699999999999999</v>
      </c>
      <c r="H726" t="n">
        <v>0</v>
      </c>
      <c r="I726" t="n">
        <v>1</v>
      </c>
      <c r="J726" t="n">
        <v>0</v>
      </c>
      <c r="K726" t="n">
        <v>0</v>
      </c>
      <c r="L726" t="n">
        <v>0</v>
      </c>
      <c r="M726" t="n">
        <v>0</v>
      </c>
      <c r="N726" t="n">
        <v>0</v>
      </c>
      <c r="O726" t="n">
        <v>0</v>
      </c>
      <c r="P726" t="n">
        <v>0</v>
      </c>
      <c r="Q726" t="n">
        <v>1</v>
      </c>
      <c r="R726" s="2" t="inlineStr">
        <is>
          <t>Spädstarr</t>
        </is>
      </c>
      <c r="S726">
        <f>HYPERLINK("https://klasma.github.io/Logging_0331/artfynd/A 17972-2024 artfynd.xlsx", "A 17972-2024")</f>
        <v/>
      </c>
      <c r="T726">
        <f>HYPERLINK("https://klasma.github.io/Logging_0331/kartor/A 17972-2024 karta.png", "A 17972-2024")</f>
        <v/>
      </c>
      <c r="V726">
        <f>HYPERLINK("https://klasma.github.io/Logging_0331/klagomål/A 17972-2024 FSC-klagomål.docx", "A 17972-2024")</f>
        <v/>
      </c>
      <c r="W726">
        <f>HYPERLINK("https://klasma.github.io/Logging_0331/klagomålsmail/A 17972-2024 FSC-klagomål mail.docx", "A 17972-2024")</f>
        <v/>
      </c>
      <c r="X726">
        <f>HYPERLINK("https://klasma.github.io/Logging_0331/tillsyn/A 17972-2024 tillsynsbegäran.docx", "A 17972-2024")</f>
        <v/>
      </c>
      <c r="Y726">
        <f>HYPERLINK("https://klasma.github.io/Logging_0331/tillsynsmail/A 17972-2024 tillsynsbegäran mail.docx", "A 17972-2024")</f>
        <v/>
      </c>
    </row>
    <row r="727" ht="15" customHeight="1">
      <c r="A727" t="inlineStr">
        <is>
          <t>A 18348-2024</t>
        </is>
      </c>
      <c r="B727" s="1" t="n">
        <v>45422</v>
      </c>
      <c r="C727" s="1" t="n">
        <v>45846</v>
      </c>
      <c r="D727" t="inlineStr">
        <is>
          <t>UPPSALA LÄN</t>
        </is>
      </c>
      <c r="E727" t="inlineStr">
        <is>
          <t>UPPSALA</t>
        </is>
      </c>
      <c r="F727" t="inlineStr">
        <is>
          <t>Holmen skog AB</t>
        </is>
      </c>
      <c r="G727" t="n">
        <v>2.8</v>
      </c>
      <c r="H727" t="n">
        <v>0</v>
      </c>
      <c r="I727" t="n">
        <v>0</v>
      </c>
      <c r="J727" t="n">
        <v>1</v>
      </c>
      <c r="K727" t="n">
        <v>0</v>
      </c>
      <c r="L727" t="n">
        <v>0</v>
      </c>
      <c r="M727" t="n">
        <v>0</v>
      </c>
      <c r="N727" t="n">
        <v>0</v>
      </c>
      <c r="O727" t="n">
        <v>1</v>
      </c>
      <c r="P727" t="n">
        <v>0</v>
      </c>
      <c r="Q727" t="n">
        <v>1</v>
      </c>
      <c r="R727" s="2" t="inlineStr">
        <is>
          <t>Granticka</t>
        </is>
      </c>
      <c r="S727">
        <f>HYPERLINK("https://klasma.github.io/Logging_0380/artfynd/A 18348-2024 artfynd.xlsx", "A 18348-2024")</f>
        <v/>
      </c>
      <c r="T727">
        <f>HYPERLINK("https://klasma.github.io/Logging_0380/kartor/A 18348-2024 karta.png", "A 18348-2024")</f>
        <v/>
      </c>
      <c r="V727">
        <f>HYPERLINK("https://klasma.github.io/Logging_0380/klagomål/A 18348-2024 FSC-klagomål.docx", "A 18348-2024")</f>
        <v/>
      </c>
      <c r="W727">
        <f>HYPERLINK("https://klasma.github.io/Logging_0380/klagomålsmail/A 18348-2024 FSC-klagomål mail.docx", "A 18348-2024")</f>
        <v/>
      </c>
      <c r="X727">
        <f>HYPERLINK("https://klasma.github.io/Logging_0380/tillsyn/A 18348-2024 tillsynsbegäran.docx", "A 18348-2024")</f>
        <v/>
      </c>
      <c r="Y727">
        <f>HYPERLINK("https://klasma.github.io/Logging_0380/tillsynsmail/A 18348-2024 tillsynsbegäran mail.docx", "A 18348-2024")</f>
        <v/>
      </c>
    </row>
    <row r="728" ht="15" customHeight="1">
      <c r="A728" t="inlineStr">
        <is>
          <t>A 18416-2024</t>
        </is>
      </c>
      <c r="B728" s="1" t="n">
        <v>45425</v>
      </c>
      <c r="C728" s="1" t="n">
        <v>45846</v>
      </c>
      <c r="D728" t="inlineStr">
        <is>
          <t>UPPSALA LÄN</t>
        </is>
      </c>
      <c r="E728" t="inlineStr">
        <is>
          <t>ENKÖPING</t>
        </is>
      </c>
      <c r="G728" t="n">
        <v>4.5</v>
      </c>
      <c r="H728" t="n">
        <v>1</v>
      </c>
      <c r="I728" t="n">
        <v>1</v>
      </c>
      <c r="J728" t="n">
        <v>0</v>
      </c>
      <c r="K728" t="n">
        <v>0</v>
      </c>
      <c r="L728" t="n">
        <v>0</v>
      </c>
      <c r="M728" t="n">
        <v>0</v>
      </c>
      <c r="N728" t="n">
        <v>0</v>
      </c>
      <c r="O728" t="n">
        <v>0</v>
      </c>
      <c r="P728" t="n">
        <v>0</v>
      </c>
      <c r="Q728" t="n">
        <v>1</v>
      </c>
      <c r="R728" s="2" t="inlineStr">
        <is>
          <t>Grön sköldmossa</t>
        </is>
      </c>
      <c r="S728">
        <f>HYPERLINK("https://klasma.github.io/Logging_0381/artfynd/A 18416-2024 artfynd.xlsx", "A 18416-2024")</f>
        <v/>
      </c>
      <c r="T728">
        <f>HYPERLINK("https://klasma.github.io/Logging_0381/kartor/A 18416-2024 karta.png", "A 18416-2024")</f>
        <v/>
      </c>
      <c r="V728">
        <f>HYPERLINK("https://klasma.github.io/Logging_0381/klagomål/A 18416-2024 FSC-klagomål.docx", "A 18416-2024")</f>
        <v/>
      </c>
      <c r="W728">
        <f>HYPERLINK("https://klasma.github.io/Logging_0381/klagomålsmail/A 18416-2024 FSC-klagomål mail.docx", "A 18416-2024")</f>
        <v/>
      </c>
      <c r="X728">
        <f>HYPERLINK("https://klasma.github.io/Logging_0381/tillsyn/A 18416-2024 tillsynsbegäran.docx", "A 18416-2024")</f>
        <v/>
      </c>
      <c r="Y728">
        <f>HYPERLINK("https://klasma.github.io/Logging_0381/tillsynsmail/A 18416-2024 tillsynsbegäran mail.docx", "A 18416-2024")</f>
        <v/>
      </c>
    </row>
    <row r="729" ht="15" customHeight="1">
      <c r="A729" t="inlineStr">
        <is>
          <t>A 18509-2024</t>
        </is>
      </c>
      <c r="B729" s="1" t="n">
        <v>45425</v>
      </c>
      <c r="C729" s="1" t="n">
        <v>45846</v>
      </c>
      <c r="D729" t="inlineStr">
        <is>
          <t>UPPSALA LÄN</t>
        </is>
      </c>
      <c r="E729" t="inlineStr">
        <is>
          <t>UPPSALA</t>
        </is>
      </c>
      <c r="G729" t="n">
        <v>4</v>
      </c>
      <c r="H729" t="n">
        <v>0</v>
      </c>
      <c r="I729" t="n">
        <v>1</v>
      </c>
      <c r="J729" t="n">
        <v>0</v>
      </c>
      <c r="K729" t="n">
        <v>0</v>
      </c>
      <c r="L729" t="n">
        <v>0</v>
      </c>
      <c r="M729" t="n">
        <v>0</v>
      </c>
      <c r="N729" t="n">
        <v>0</v>
      </c>
      <c r="O729" t="n">
        <v>0</v>
      </c>
      <c r="P729" t="n">
        <v>0</v>
      </c>
      <c r="Q729" t="n">
        <v>1</v>
      </c>
      <c r="R729" s="2" t="inlineStr">
        <is>
          <t>Fällmossa</t>
        </is>
      </c>
      <c r="S729">
        <f>HYPERLINK("https://klasma.github.io/Logging_0380/artfynd/A 18509-2024 artfynd.xlsx", "A 18509-2024")</f>
        <v/>
      </c>
      <c r="T729">
        <f>HYPERLINK("https://klasma.github.io/Logging_0380/kartor/A 18509-2024 karta.png", "A 18509-2024")</f>
        <v/>
      </c>
      <c r="V729">
        <f>HYPERLINK("https://klasma.github.io/Logging_0380/klagomål/A 18509-2024 FSC-klagomål.docx", "A 18509-2024")</f>
        <v/>
      </c>
      <c r="W729">
        <f>HYPERLINK("https://klasma.github.io/Logging_0380/klagomålsmail/A 18509-2024 FSC-klagomål mail.docx", "A 18509-2024")</f>
        <v/>
      </c>
      <c r="X729">
        <f>HYPERLINK("https://klasma.github.io/Logging_0380/tillsyn/A 18509-2024 tillsynsbegäran.docx", "A 18509-2024")</f>
        <v/>
      </c>
      <c r="Y729">
        <f>HYPERLINK("https://klasma.github.io/Logging_0380/tillsynsmail/A 18509-2024 tillsynsbegäran mail.docx", "A 18509-2024")</f>
        <v/>
      </c>
    </row>
    <row r="730" ht="15" customHeight="1">
      <c r="A730" t="inlineStr">
        <is>
          <t>A 19139-2024</t>
        </is>
      </c>
      <c r="B730" s="1" t="n">
        <v>45428</v>
      </c>
      <c r="C730" s="1" t="n">
        <v>45846</v>
      </c>
      <c r="D730" t="inlineStr">
        <is>
          <t>UPPSALA LÄN</t>
        </is>
      </c>
      <c r="E730" t="inlineStr">
        <is>
          <t>HEBY</t>
        </is>
      </c>
      <c r="G730" t="n">
        <v>11.8</v>
      </c>
      <c r="H730" t="n">
        <v>0</v>
      </c>
      <c r="I730" t="n">
        <v>1</v>
      </c>
      <c r="J730" t="n">
        <v>0</v>
      </c>
      <c r="K730" t="n">
        <v>0</v>
      </c>
      <c r="L730" t="n">
        <v>0</v>
      </c>
      <c r="M730" t="n">
        <v>0</v>
      </c>
      <c r="N730" t="n">
        <v>0</v>
      </c>
      <c r="O730" t="n">
        <v>0</v>
      </c>
      <c r="P730" t="n">
        <v>0</v>
      </c>
      <c r="Q730" t="n">
        <v>1</v>
      </c>
      <c r="R730" s="2" t="inlineStr">
        <is>
          <t>Ögonpyrola</t>
        </is>
      </c>
      <c r="S730">
        <f>HYPERLINK("https://klasma.github.io/Logging_0331/artfynd/A 19139-2024 artfynd.xlsx", "A 19139-2024")</f>
        <v/>
      </c>
      <c r="T730">
        <f>HYPERLINK("https://klasma.github.io/Logging_0331/kartor/A 19139-2024 karta.png", "A 19139-2024")</f>
        <v/>
      </c>
      <c r="V730">
        <f>HYPERLINK("https://klasma.github.io/Logging_0331/klagomål/A 19139-2024 FSC-klagomål.docx", "A 19139-2024")</f>
        <v/>
      </c>
      <c r="W730">
        <f>HYPERLINK("https://klasma.github.io/Logging_0331/klagomålsmail/A 19139-2024 FSC-klagomål mail.docx", "A 19139-2024")</f>
        <v/>
      </c>
      <c r="X730">
        <f>HYPERLINK("https://klasma.github.io/Logging_0331/tillsyn/A 19139-2024 tillsynsbegäran.docx", "A 19139-2024")</f>
        <v/>
      </c>
      <c r="Y730">
        <f>HYPERLINK("https://klasma.github.io/Logging_0331/tillsynsmail/A 19139-2024 tillsynsbegäran mail.docx", "A 19139-2024")</f>
        <v/>
      </c>
    </row>
    <row r="731" ht="15" customHeight="1">
      <c r="A731" t="inlineStr">
        <is>
          <t>A 19300-2024</t>
        </is>
      </c>
      <c r="B731" s="1" t="n">
        <v>45428</v>
      </c>
      <c r="C731" s="1" t="n">
        <v>45846</v>
      </c>
      <c r="D731" t="inlineStr">
        <is>
          <t>UPPSALA LÄN</t>
        </is>
      </c>
      <c r="E731" t="inlineStr">
        <is>
          <t>ÄLVKARLEBY</t>
        </is>
      </c>
      <c r="G731" t="n">
        <v>0.9</v>
      </c>
      <c r="H731" t="n">
        <v>1</v>
      </c>
      <c r="I731" t="n">
        <v>0</v>
      </c>
      <c r="J731" t="n">
        <v>0</v>
      </c>
      <c r="K731" t="n">
        <v>1</v>
      </c>
      <c r="L731" t="n">
        <v>0</v>
      </c>
      <c r="M731" t="n">
        <v>0</v>
      </c>
      <c r="N731" t="n">
        <v>0</v>
      </c>
      <c r="O731" t="n">
        <v>1</v>
      </c>
      <c r="P731" t="n">
        <v>1</v>
      </c>
      <c r="Q731" t="n">
        <v>1</v>
      </c>
      <c r="R731" s="2" t="inlineStr">
        <is>
          <t>Kricka</t>
        </is>
      </c>
      <c r="S731">
        <f>HYPERLINK("https://klasma.github.io/Logging_0319/artfynd/A 19300-2024 artfynd.xlsx", "A 19300-2024")</f>
        <v/>
      </c>
      <c r="T731">
        <f>HYPERLINK("https://klasma.github.io/Logging_0319/kartor/A 19300-2024 karta.png", "A 19300-2024")</f>
        <v/>
      </c>
      <c r="V731">
        <f>HYPERLINK("https://klasma.github.io/Logging_0319/klagomål/A 19300-2024 FSC-klagomål.docx", "A 19300-2024")</f>
        <v/>
      </c>
      <c r="W731">
        <f>HYPERLINK("https://klasma.github.io/Logging_0319/klagomålsmail/A 19300-2024 FSC-klagomål mail.docx", "A 19300-2024")</f>
        <v/>
      </c>
      <c r="X731">
        <f>HYPERLINK("https://klasma.github.io/Logging_0319/tillsyn/A 19300-2024 tillsynsbegäran.docx", "A 19300-2024")</f>
        <v/>
      </c>
      <c r="Y731">
        <f>HYPERLINK("https://klasma.github.io/Logging_0319/tillsynsmail/A 19300-2024 tillsynsbegäran mail.docx", "A 19300-2024")</f>
        <v/>
      </c>
      <c r="Z731">
        <f>HYPERLINK("https://klasma.github.io/Logging_0319/fåglar/A 19300-2024 prioriterade fågelarter.docx", "A 19300-2024")</f>
        <v/>
      </c>
    </row>
    <row r="732" ht="15" customHeight="1">
      <c r="A732" t="inlineStr">
        <is>
          <t>A 19481-2024</t>
        </is>
      </c>
      <c r="B732" s="1" t="n">
        <v>45429</v>
      </c>
      <c r="C732" s="1" t="n">
        <v>45846</v>
      </c>
      <c r="D732" t="inlineStr">
        <is>
          <t>UPPSALA LÄN</t>
        </is>
      </c>
      <c r="E732" t="inlineStr">
        <is>
          <t>HEBY</t>
        </is>
      </c>
      <c r="G732" t="n">
        <v>15.7</v>
      </c>
      <c r="H732" t="n">
        <v>0</v>
      </c>
      <c r="I732" t="n">
        <v>0</v>
      </c>
      <c r="J732" t="n">
        <v>1</v>
      </c>
      <c r="K732" t="n">
        <v>0</v>
      </c>
      <c r="L732" t="n">
        <v>0</v>
      </c>
      <c r="M732" t="n">
        <v>0</v>
      </c>
      <c r="N732" t="n">
        <v>0</v>
      </c>
      <c r="O732" t="n">
        <v>1</v>
      </c>
      <c r="P732" t="n">
        <v>0</v>
      </c>
      <c r="Q732" t="n">
        <v>1</v>
      </c>
      <c r="R732" s="2" t="inlineStr">
        <is>
          <t>Ullticka</t>
        </is>
      </c>
      <c r="S732">
        <f>HYPERLINK("https://klasma.github.io/Logging_0331/artfynd/A 19481-2024 artfynd.xlsx", "A 19481-2024")</f>
        <v/>
      </c>
      <c r="T732">
        <f>HYPERLINK("https://klasma.github.io/Logging_0331/kartor/A 19481-2024 karta.png", "A 19481-2024")</f>
        <v/>
      </c>
      <c r="V732">
        <f>HYPERLINK("https://klasma.github.io/Logging_0331/klagomål/A 19481-2024 FSC-klagomål.docx", "A 19481-2024")</f>
        <v/>
      </c>
      <c r="W732">
        <f>HYPERLINK("https://klasma.github.io/Logging_0331/klagomålsmail/A 19481-2024 FSC-klagomål mail.docx", "A 19481-2024")</f>
        <v/>
      </c>
      <c r="X732">
        <f>HYPERLINK("https://klasma.github.io/Logging_0331/tillsyn/A 19481-2024 tillsynsbegäran.docx", "A 19481-2024")</f>
        <v/>
      </c>
      <c r="Y732">
        <f>HYPERLINK("https://klasma.github.io/Logging_0331/tillsynsmail/A 19481-2024 tillsynsbegäran mail.docx", "A 19481-2024")</f>
        <v/>
      </c>
    </row>
    <row r="733" ht="15" customHeight="1">
      <c r="A733" t="inlineStr">
        <is>
          <t>A 21671-2024</t>
        </is>
      </c>
      <c r="B733" s="1" t="n">
        <v>45442</v>
      </c>
      <c r="C733" s="1" t="n">
        <v>45846</v>
      </c>
      <c r="D733" t="inlineStr">
        <is>
          <t>UPPSALA LÄN</t>
        </is>
      </c>
      <c r="E733" t="inlineStr">
        <is>
          <t>UPPSALA</t>
        </is>
      </c>
      <c r="G733" t="n">
        <v>3.7</v>
      </c>
      <c r="H733" t="n">
        <v>1</v>
      </c>
      <c r="I733" t="n">
        <v>0</v>
      </c>
      <c r="J733" t="n">
        <v>0</v>
      </c>
      <c r="K733" t="n">
        <v>1</v>
      </c>
      <c r="L733" t="n">
        <v>0</v>
      </c>
      <c r="M733" t="n">
        <v>0</v>
      </c>
      <c r="N733" t="n">
        <v>0</v>
      </c>
      <c r="O733" t="n">
        <v>1</v>
      </c>
      <c r="P733" t="n">
        <v>1</v>
      </c>
      <c r="Q733" t="n">
        <v>1</v>
      </c>
      <c r="R733" s="2" t="inlineStr">
        <is>
          <t>Knärot</t>
        </is>
      </c>
      <c r="S733">
        <f>HYPERLINK("https://klasma.github.io/Logging_0380/artfynd/A 21671-2024 artfynd.xlsx", "A 21671-2024")</f>
        <v/>
      </c>
      <c r="T733">
        <f>HYPERLINK("https://klasma.github.io/Logging_0380/kartor/A 21671-2024 karta.png", "A 21671-2024")</f>
        <v/>
      </c>
      <c r="U733">
        <f>HYPERLINK("https://klasma.github.io/Logging_0380/knärot/A 21671-2024 karta knärot.png", "A 21671-2024")</f>
        <v/>
      </c>
      <c r="V733">
        <f>HYPERLINK("https://klasma.github.io/Logging_0380/klagomål/A 21671-2024 FSC-klagomål.docx", "A 21671-2024")</f>
        <v/>
      </c>
      <c r="W733">
        <f>HYPERLINK("https://klasma.github.io/Logging_0380/klagomålsmail/A 21671-2024 FSC-klagomål mail.docx", "A 21671-2024")</f>
        <v/>
      </c>
      <c r="X733">
        <f>HYPERLINK("https://klasma.github.io/Logging_0380/tillsyn/A 21671-2024 tillsynsbegäran.docx", "A 21671-2024")</f>
        <v/>
      </c>
      <c r="Y733">
        <f>HYPERLINK("https://klasma.github.io/Logging_0380/tillsynsmail/A 21671-2024 tillsynsbegäran mail.docx", "A 21671-2024")</f>
        <v/>
      </c>
    </row>
    <row r="734" ht="15" customHeight="1">
      <c r="A734" t="inlineStr">
        <is>
          <t>A 21700-2024</t>
        </is>
      </c>
      <c r="B734" s="1" t="n">
        <v>45442</v>
      </c>
      <c r="C734" s="1" t="n">
        <v>45846</v>
      </c>
      <c r="D734" t="inlineStr">
        <is>
          <t>UPPSALA LÄN</t>
        </is>
      </c>
      <c r="E734" t="inlineStr">
        <is>
          <t>ÄLVKARLEBY</t>
        </is>
      </c>
      <c r="F734" t="inlineStr">
        <is>
          <t>Bergvik skog väst AB</t>
        </is>
      </c>
      <c r="G734" t="n">
        <v>1.1</v>
      </c>
      <c r="H734" t="n">
        <v>0</v>
      </c>
      <c r="I734" t="n">
        <v>0</v>
      </c>
      <c r="J734" t="n">
        <v>0</v>
      </c>
      <c r="K734" t="n">
        <v>1</v>
      </c>
      <c r="L734" t="n">
        <v>0</v>
      </c>
      <c r="M734" t="n">
        <v>0</v>
      </c>
      <c r="N734" t="n">
        <v>0</v>
      </c>
      <c r="O734" t="n">
        <v>1</v>
      </c>
      <c r="P734" t="n">
        <v>1</v>
      </c>
      <c r="Q734" t="n">
        <v>1</v>
      </c>
      <c r="R734" s="2" t="inlineStr">
        <is>
          <t>Töcknig trymal</t>
        </is>
      </c>
      <c r="S734">
        <f>HYPERLINK("https://klasma.github.io/Logging_0319/artfynd/A 21700-2024 artfynd.xlsx", "A 21700-2024")</f>
        <v/>
      </c>
      <c r="T734">
        <f>HYPERLINK("https://klasma.github.io/Logging_0319/kartor/A 21700-2024 karta.png", "A 21700-2024")</f>
        <v/>
      </c>
      <c r="V734">
        <f>HYPERLINK("https://klasma.github.io/Logging_0319/klagomål/A 21700-2024 FSC-klagomål.docx", "A 21700-2024")</f>
        <v/>
      </c>
      <c r="W734">
        <f>HYPERLINK("https://klasma.github.io/Logging_0319/klagomålsmail/A 21700-2024 FSC-klagomål mail.docx", "A 21700-2024")</f>
        <v/>
      </c>
      <c r="X734">
        <f>HYPERLINK("https://klasma.github.io/Logging_0319/tillsyn/A 21700-2024 tillsynsbegäran.docx", "A 21700-2024")</f>
        <v/>
      </c>
      <c r="Y734">
        <f>HYPERLINK("https://klasma.github.io/Logging_0319/tillsynsmail/A 21700-2024 tillsynsbegäran mail.docx", "A 21700-2024")</f>
        <v/>
      </c>
    </row>
    <row r="735" ht="15" customHeight="1">
      <c r="A735" t="inlineStr">
        <is>
          <t>A 21831-2024</t>
        </is>
      </c>
      <c r="B735" s="1" t="n">
        <v>45442</v>
      </c>
      <c r="C735" s="1" t="n">
        <v>45846</v>
      </c>
      <c r="D735" t="inlineStr">
        <is>
          <t>UPPSALA LÄN</t>
        </is>
      </c>
      <c r="E735" t="inlineStr">
        <is>
          <t>KNIVSTA</t>
        </is>
      </c>
      <c r="G735" t="n">
        <v>4.5</v>
      </c>
      <c r="H735" t="n">
        <v>1</v>
      </c>
      <c r="I735" t="n">
        <v>0</v>
      </c>
      <c r="J735" t="n">
        <v>0</v>
      </c>
      <c r="K735" t="n">
        <v>0</v>
      </c>
      <c r="L735" t="n">
        <v>0</v>
      </c>
      <c r="M735" t="n">
        <v>0</v>
      </c>
      <c r="N735" t="n">
        <v>0</v>
      </c>
      <c r="O735" t="n">
        <v>0</v>
      </c>
      <c r="P735" t="n">
        <v>0</v>
      </c>
      <c r="Q735" t="n">
        <v>1</v>
      </c>
      <c r="R735" s="2" t="inlineStr">
        <is>
          <t>Blåsippa</t>
        </is>
      </c>
      <c r="S735">
        <f>HYPERLINK("https://klasma.github.io/Logging_0330/artfynd/A 21831-2024 artfynd.xlsx", "A 21831-2024")</f>
        <v/>
      </c>
      <c r="T735">
        <f>HYPERLINK("https://klasma.github.io/Logging_0330/kartor/A 21831-2024 karta.png", "A 21831-2024")</f>
        <v/>
      </c>
      <c r="V735">
        <f>HYPERLINK("https://klasma.github.io/Logging_0330/klagomål/A 21831-2024 FSC-klagomål.docx", "A 21831-2024")</f>
        <v/>
      </c>
      <c r="W735">
        <f>HYPERLINK("https://klasma.github.io/Logging_0330/klagomålsmail/A 21831-2024 FSC-klagomål mail.docx", "A 21831-2024")</f>
        <v/>
      </c>
      <c r="X735">
        <f>HYPERLINK("https://klasma.github.io/Logging_0330/tillsyn/A 21831-2024 tillsynsbegäran.docx", "A 21831-2024")</f>
        <v/>
      </c>
      <c r="Y735">
        <f>HYPERLINK("https://klasma.github.io/Logging_0330/tillsynsmail/A 21831-2024 tillsynsbegäran mail.docx", "A 21831-2024")</f>
        <v/>
      </c>
    </row>
    <row r="736" ht="15" customHeight="1">
      <c r="A736" t="inlineStr">
        <is>
          <t>A 22375-2024</t>
        </is>
      </c>
      <c r="B736" s="1" t="n">
        <v>45446</v>
      </c>
      <c r="C736" s="1" t="n">
        <v>45846</v>
      </c>
      <c r="D736" t="inlineStr">
        <is>
          <t>UPPSALA LÄN</t>
        </is>
      </c>
      <c r="E736" t="inlineStr">
        <is>
          <t>ÖSTHAMMAR</t>
        </is>
      </c>
      <c r="F736" t="inlineStr">
        <is>
          <t>Bergvik skog öst AB</t>
        </is>
      </c>
      <c r="G736" t="n">
        <v>2.2</v>
      </c>
      <c r="H736" t="n">
        <v>0</v>
      </c>
      <c r="I736" t="n">
        <v>0</v>
      </c>
      <c r="J736" t="n">
        <v>1</v>
      </c>
      <c r="K736" t="n">
        <v>0</v>
      </c>
      <c r="L736" t="n">
        <v>0</v>
      </c>
      <c r="M736" t="n">
        <v>0</v>
      </c>
      <c r="N736" t="n">
        <v>0</v>
      </c>
      <c r="O736" t="n">
        <v>1</v>
      </c>
      <c r="P736" t="n">
        <v>0</v>
      </c>
      <c r="Q736" t="n">
        <v>1</v>
      </c>
      <c r="R736" s="2" t="inlineStr">
        <is>
          <t>Slåtterfibbla</t>
        </is>
      </c>
      <c r="S736">
        <f>HYPERLINK("https://klasma.github.io/Logging_0382/artfynd/A 22375-2024 artfynd.xlsx", "A 22375-2024")</f>
        <v/>
      </c>
      <c r="T736">
        <f>HYPERLINK("https://klasma.github.io/Logging_0382/kartor/A 22375-2024 karta.png", "A 22375-2024")</f>
        <v/>
      </c>
      <c r="V736">
        <f>HYPERLINK("https://klasma.github.io/Logging_0382/klagomål/A 22375-2024 FSC-klagomål.docx", "A 22375-2024")</f>
        <v/>
      </c>
      <c r="W736">
        <f>HYPERLINK("https://klasma.github.io/Logging_0382/klagomålsmail/A 22375-2024 FSC-klagomål mail.docx", "A 22375-2024")</f>
        <v/>
      </c>
      <c r="X736">
        <f>HYPERLINK("https://klasma.github.io/Logging_0382/tillsyn/A 22375-2024 tillsynsbegäran.docx", "A 22375-2024")</f>
        <v/>
      </c>
      <c r="Y736">
        <f>HYPERLINK("https://klasma.github.io/Logging_0382/tillsynsmail/A 22375-2024 tillsynsbegäran mail.docx", "A 22375-2024")</f>
        <v/>
      </c>
    </row>
    <row r="737" ht="15" customHeight="1">
      <c r="A737" t="inlineStr">
        <is>
          <t>A 23321-2024</t>
        </is>
      </c>
      <c r="B737" s="1" t="n">
        <v>45453</v>
      </c>
      <c r="C737" s="1" t="n">
        <v>45846</v>
      </c>
      <c r="D737" t="inlineStr">
        <is>
          <t>UPPSALA LÄN</t>
        </is>
      </c>
      <c r="E737" t="inlineStr">
        <is>
          <t>UPPSALA</t>
        </is>
      </c>
      <c r="G737" t="n">
        <v>11.8</v>
      </c>
      <c r="H737" t="n">
        <v>1</v>
      </c>
      <c r="I737" t="n">
        <v>0</v>
      </c>
      <c r="J737" t="n">
        <v>1</v>
      </c>
      <c r="K737" t="n">
        <v>0</v>
      </c>
      <c r="L737" t="n">
        <v>0</v>
      </c>
      <c r="M737" t="n">
        <v>0</v>
      </c>
      <c r="N737" t="n">
        <v>0</v>
      </c>
      <c r="O737" t="n">
        <v>1</v>
      </c>
      <c r="P737" t="n">
        <v>0</v>
      </c>
      <c r="Q737" t="n">
        <v>1</v>
      </c>
      <c r="R737" s="2" t="inlineStr">
        <is>
          <t>Talltita</t>
        </is>
      </c>
      <c r="S737">
        <f>HYPERLINK("https://klasma.github.io/Logging_0380/artfynd/A 23321-2024 artfynd.xlsx", "A 23321-2024")</f>
        <v/>
      </c>
      <c r="T737">
        <f>HYPERLINK("https://klasma.github.io/Logging_0380/kartor/A 23321-2024 karta.png", "A 23321-2024")</f>
        <v/>
      </c>
      <c r="U737">
        <f>HYPERLINK("https://klasma.github.io/Logging_0380/knärot/A 23321-2024 karta knärot.png", "A 23321-2024")</f>
        <v/>
      </c>
      <c r="V737">
        <f>HYPERLINK("https://klasma.github.io/Logging_0380/klagomål/A 23321-2024 FSC-klagomål.docx", "A 23321-2024")</f>
        <v/>
      </c>
      <c r="W737">
        <f>HYPERLINK("https://klasma.github.io/Logging_0380/klagomålsmail/A 23321-2024 FSC-klagomål mail.docx", "A 23321-2024")</f>
        <v/>
      </c>
      <c r="X737">
        <f>HYPERLINK("https://klasma.github.io/Logging_0380/tillsyn/A 23321-2024 tillsynsbegäran.docx", "A 23321-2024")</f>
        <v/>
      </c>
      <c r="Y737">
        <f>HYPERLINK("https://klasma.github.io/Logging_0380/tillsynsmail/A 23321-2024 tillsynsbegäran mail.docx", "A 23321-2024")</f>
        <v/>
      </c>
      <c r="Z737">
        <f>HYPERLINK("https://klasma.github.io/Logging_0380/fåglar/A 23321-2024 prioriterade fågelarter.docx", "A 23321-2024")</f>
        <v/>
      </c>
    </row>
    <row r="738" ht="15" customHeight="1">
      <c r="A738" t="inlineStr">
        <is>
          <t>A 23384-2024</t>
        </is>
      </c>
      <c r="B738" s="1" t="n">
        <v>45453</v>
      </c>
      <c r="C738" s="1" t="n">
        <v>45846</v>
      </c>
      <c r="D738" t="inlineStr">
        <is>
          <t>UPPSALA LÄN</t>
        </is>
      </c>
      <c r="E738" t="inlineStr">
        <is>
          <t>HEBY</t>
        </is>
      </c>
      <c r="F738" t="inlineStr">
        <is>
          <t>Bergvik skog väst AB</t>
        </is>
      </c>
      <c r="G738" t="n">
        <v>30.3</v>
      </c>
      <c r="H738" t="n">
        <v>0</v>
      </c>
      <c r="I738" t="n">
        <v>1</v>
      </c>
      <c r="J738" t="n">
        <v>0</v>
      </c>
      <c r="K738" t="n">
        <v>0</v>
      </c>
      <c r="L738" t="n">
        <v>0</v>
      </c>
      <c r="M738" t="n">
        <v>0</v>
      </c>
      <c r="N738" t="n">
        <v>0</v>
      </c>
      <c r="O738" t="n">
        <v>0</v>
      </c>
      <c r="P738" t="n">
        <v>0</v>
      </c>
      <c r="Q738" t="n">
        <v>1</v>
      </c>
      <c r="R738" s="2" t="inlineStr">
        <is>
          <t>Grönpyrola</t>
        </is>
      </c>
      <c r="S738">
        <f>HYPERLINK("https://klasma.github.io/Logging_0331/artfynd/A 23384-2024 artfynd.xlsx", "A 23384-2024")</f>
        <v/>
      </c>
      <c r="T738">
        <f>HYPERLINK("https://klasma.github.io/Logging_0331/kartor/A 23384-2024 karta.png", "A 23384-2024")</f>
        <v/>
      </c>
      <c r="V738">
        <f>HYPERLINK("https://klasma.github.io/Logging_0331/klagomål/A 23384-2024 FSC-klagomål.docx", "A 23384-2024")</f>
        <v/>
      </c>
      <c r="W738">
        <f>HYPERLINK("https://klasma.github.io/Logging_0331/klagomålsmail/A 23384-2024 FSC-klagomål mail.docx", "A 23384-2024")</f>
        <v/>
      </c>
      <c r="X738">
        <f>HYPERLINK("https://klasma.github.io/Logging_0331/tillsyn/A 23384-2024 tillsynsbegäran.docx", "A 23384-2024")</f>
        <v/>
      </c>
      <c r="Y738">
        <f>HYPERLINK("https://klasma.github.io/Logging_0331/tillsynsmail/A 23384-2024 tillsynsbegäran mail.docx", "A 23384-2024")</f>
        <v/>
      </c>
    </row>
    <row r="739" ht="15" customHeight="1">
      <c r="A739" t="inlineStr">
        <is>
          <t>A 24221-2024</t>
        </is>
      </c>
      <c r="B739" s="1" t="n">
        <v>45457</v>
      </c>
      <c r="C739" s="1" t="n">
        <v>45846</v>
      </c>
      <c r="D739" t="inlineStr">
        <is>
          <t>UPPSALA LÄN</t>
        </is>
      </c>
      <c r="E739" t="inlineStr">
        <is>
          <t>TIERP</t>
        </is>
      </c>
      <c r="G739" t="n">
        <v>7.9</v>
      </c>
      <c r="H739" t="n">
        <v>1</v>
      </c>
      <c r="I739" t="n">
        <v>1</v>
      </c>
      <c r="J739" t="n">
        <v>0</v>
      </c>
      <c r="K739" t="n">
        <v>0</v>
      </c>
      <c r="L739" t="n">
        <v>0</v>
      </c>
      <c r="M739" t="n">
        <v>0</v>
      </c>
      <c r="N739" t="n">
        <v>0</v>
      </c>
      <c r="O739" t="n">
        <v>0</v>
      </c>
      <c r="P739" t="n">
        <v>0</v>
      </c>
      <c r="Q739" t="n">
        <v>1</v>
      </c>
      <c r="R739" s="2" t="inlineStr">
        <is>
          <t>Skogsknipprot</t>
        </is>
      </c>
      <c r="S739">
        <f>HYPERLINK("https://klasma.github.io/Logging_0360/artfynd/A 24221-2024 artfynd.xlsx", "A 24221-2024")</f>
        <v/>
      </c>
      <c r="T739">
        <f>HYPERLINK("https://klasma.github.io/Logging_0360/kartor/A 24221-2024 karta.png", "A 24221-2024")</f>
        <v/>
      </c>
      <c r="V739">
        <f>HYPERLINK("https://klasma.github.io/Logging_0360/klagomål/A 24221-2024 FSC-klagomål.docx", "A 24221-2024")</f>
        <v/>
      </c>
      <c r="W739">
        <f>HYPERLINK("https://klasma.github.io/Logging_0360/klagomålsmail/A 24221-2024 FSC-klagomål mail.docx", "A 24221-2024")</f>
        <v/>
      </c>
      <c r="X739">
        <f>HYPERLINK("https://klasma.github.io/Logging_0360/tillsyn/A 24221-2024 tillsynsbegäran.docx", "A 24221-2024")</f>
        <v/>
      </c>
      <c r="Y739">
        <f>HYPERLINK("https://klasma.github.io/Logging_0360/tillsynsmail/A 24221-2024 tillsynsbegäran mail.docx", "A 24221-2024")</f>
        <v/>
      </c>
    </row>
    <row r="740" ht="15" customHeight="1">
      <c r="A740" t="inlineStr">
        <is>
          <t>A 25482-2024</t>
        </is>
      </c>
      <c r="B740" s="1" t="n">
        <v>45463</v>
      </c>
      <c r="C740" s="1" t="n">
        <v>45846</v>
      </c>
      <c r="D740" t="inlineStr">
        <is>
          <t>UPPSALA LÄN</t>
        </is>
      </c>
      <c r="E740" t="inlineStr">
        <is>
          <t>UPPSALA</t>
        </is>
      </c>
      <c r="F740" t="inlineStr">
        <is>
          <t>Övriga Aktiebolag</t>
        </is>
      </c>
      <c r="G740" t="n">
        <v>1</v>
      </c>
      <c r="H740" t="n">
        <v>0</v>
      </c>
      <c r="I740" t="n">
        <v>1</v>
      </c>
      <c r="J740" t="n">
        <v>0</v>
      </c>
      <c r="K740" t="n">
        <v>0</v>
      </c>
      <c r="L740" t="n">
        <v>0</v>
      </c>
      <c r="M740" t="n">
        <v>0</v>
      </c>
      <c r="N740" t="n">
        <v>0</v>
      </c>
      <c r="O740" t="n">
        <v>0</v>
      </c>
      <c r="P740" t="n">
        <v>0</v>
      </c>
      <c r="Q740" t="n">
        <v>1</v>
      </c>
      <c r="R740" s="2" t="inlineStr">
        <is>
          <t>Stor aspticka</t>
        </is>
      </c>
      <c r="S740">
        <f>HYPERLINK("https://klasma.github.io/Logging_0380/artfynd/A 25482-2024 artfynd.xlsx", "A 25482-2024")</f>
        <v/>
      </c>
      <c r="T740">
        <f>HYPERLINK("https://klasma.github.io/Logging_0380/kartor/A 25482-2024 karta.png", "A 25482-2024")</f>
        <v/>
      </c>
      <c r="V740">
        <f>HYPERLINK("https://klasma.github.io/Logging_0380/klagomål/A 25482-2024 FSC-klagomål.docx", "A 25482-2024")</f>
        <v/>
      </c>
      <c r="W740">
        <f>HYPERLINK("https://klasma.github.io/Logging_0380/klagomålsmail/A 25482-2024 FSC-klagomål mail.docx", "A 25482-2024")</f>
        <v/>
      </c>
      <c r="X740">
        <f>HYPERLINK("https://klasma.github.io/Logging_0380/tillsyn/A 25482-2024 tillsynsbegäran.docx", "A 25482-2024")</f>
        <v/>
      </c>
      <c r="Y740">
        <f>HYPERLINK("https://klasma.github.io/Logging_0380/tillsynsmail/A 25482-2024 tillsynsbegäran mail.docx", "A 25482-2024")</f>
        <v/>
      </c>
    </row>
    <row r="741" ht="15" customHeight="1">
      <c r="A741" t="inlineStr">
        <is>
          <t>A 25729-2024</t>
        </is>
      </c>
      <c r="B741" s="1" t="n">
        <v>45464</v>
      </c>
      <c r="C741" s="1" t="n">
        <v>45846</v>
      </c>
      <c r="D741" t="inlineStr">
        <is>
          <t>UPPSALA LÄN</t>
        </is>
      </c>
      <c r="E741" t="inlineStr">
        <is>
          <t>UPPSALA</t>
        </is>
      </c>
      <c r="G741" t="n">
        <v>22.3</v>
      </c>
      <c r="H741" t="n">
        <v>0</v>
      </c>
      <c r="I741" t="n">
        <v>0</v>
      </c>
      <c r="J741" t="n">
        <v>1</v>
      </c>
      <c r="K741" t="n">
        <v>0</v>
      </c>
      <c r="L741" t="n">
        <v>0</v>
      </c>
      <c r="M741" t="n">
        <v>0</v>
      </c>
      <c r="N741" t="n">
        <v>0</v>
      </c>
      <c r="O741" t="n">
        <v>1</v>
      </c>
      <c r="P741" t="n">
        <v>0</v>
      </c>
      <c r="Q741" t="n">
        <v>1</v>
      </c>
      <c r="R741" s="2" t="inlineStr">
        <is>
          <t>Ullticka</t>
        </is>
      </c>
      <c r="S741">
        <f>HYPERLINK("https://klasma.github.io/Logging_0380/artfynd/A 25729-2024 artfynd.xlsx", "A 25729-2024")</f>
        <v/>
      </c>
      <c r="T741">
        <f>HYPERLINK("https://klasma.github.io/Logging_0380/kartor/A 25729-2024 karta.png", "A 25729-2024")</f>
        <v/>
      </c>
      <c r="V741">
        <f>HYPERLINK("https://klasma.github.io/Logging_0380/klagomål/A 25729-2024 FSC-klagomål.docx", "A 25729-2024")</f>
        <v/>
      </c>
      <c r="W741">
        <f>HYPERLINK("https://klasma.github.io/Logging_0380/klagomålsmail/A 25729-2024 FSC-klagomål mail.docx", "A 25729-2024")</f>
        <v/>
      </c>
      <c r="X741">
        <f>HYPERLINK("https://klasma.github.io/Logging_0380/tillsyn/A 25729-2024 tillsynsbegäran.docx", "A 25729-2024")</f>
        <v/>
      </c>
      <c r="Y741">
        <f>HYPERLINK("https://klasma.github.io/Logging_0380/tillsynsmail/A 25729-2024 tillsynsbegäran mail.docx", "A 25729-2024")</f>
        <v/>
      </c>
    </row>
    <row r="742" ht="15" customHeight="1">
      <c r="A742" t="inlineStr">
        <is>
          <t>A 26598-2024</t>
        </is>
      </c>
      <c r="B742" s="1" t="n">
        <v>45469</v>
      </c>
      <c r="C742" s="1" t="n">
        <v>45846</v>
      </c>
      <c r="D742" t="inlineStr">
        <is>
          <t>UPPSALA LÄN</t>
        </is>
      </c>
      <c r="E742" t="inlineStr">
        <is>
          <t>HEBY</t>
        </is>
      </c>
      <c r="G742" t="n">
        <v>3.5</v>
      </c>
      <c r="H742" t="n">
        <v>0</v>
      </c>
      <c r="I742" t="n">
        <v>0</v>
      </c>
      <c r="J742" t="n">
        <v>1</v>
      </c>
      <c r="K742" t="n">
        <v>0</v>
      </c>
      <c r="L742" t="n">
        <v>0</v>
      </c>
      <c r="M742" t="n">
        <v>0</v>
      </c>
      <c r="N742" t="n">
        <v>0</v>
      </c>
      <c r="O742" t="n">
        <v>1</v>
      </c>
      <c r="P742" t="n">
        <v>0</v>
      </c>
      <c r="Q742" t="n">
        <v>1</v>
      </c>
      <c r="R742" s="2" t="inlineStr">
        <is>
          <t>Motaggsvamp</t>
        </is>
      </c>
      <c r="S742">
        <f>HYPERLINK("https://klasma.github.io/Logging_0331/artfynd/A 26598-2024 artfynd.xlsx", "A 26598-2024")</f>
        <v/>
      </c>
      <c r="T742">
        <f>HYPERLINK("https://klasma.github.io/Logging_0331/kartor/A 26598-2024 karta.png", "A 26598-2024")</f>
        <v/>
      </c>
      <c r="V742">
        <f>HYPERLINK("https://klasma.github.io/Logging_0331/klagomål/A 26598-2024 FSC-klagomål.docx", "A 26598-2024")</f>
        <v/>
      </c>
      <c r="W742">
        <f>HYPERLINK("https://klasma.github.io/Logging_0331/klagomålsmail/A 26598-2024 FSC-klagomål mail.docx", "A 26598-2024")</f>
        <v/>
      </c>
      <c r="X742">
        <f>HYPERLINK("https://klasma.github.io/Logging_0331/tillsyn/A 26598-2024 tillsynsbegäran.docx", "A 26598-2024")</f>
        <v/>
      </c>
      <c r="Y742">
        <f>HYPERLINK("https://klasma.github.io/Logging_0331/tillsynsmail/A 26598-2024 tillsynsbegäran mail.docx", "A 26598-2024")</f>
        <v/>
      </c>
    </row>
    <row r="743" ht="15" customHeight="1">
      <c r="A743" t="inlineStr">
        <is>
          <t>A 26591-2024</t>
        </is>
      </c>
      <c r="B743" s="1" t="n">
        <v>45469</v>
      </c>
      <c r="C743" s="1" t="n">
        <v>45846</v>
      </c>
      <c r="D743" t="inlineStr">
        <is>
          <t>UPPSALA LÄN</t>
        </is>
      </c>
      <c r="E743" t="inlineStr">
        <is>
          <t>HEBY</t>
        </is>
      </c>
      <c r="G743" t="n">
        <v>3.7</v>
      </c>
      <c r="H743" t="n">
        <v>0</v>
      </c>
      <c r="I743" t="n">
        <v>0</v>
      </c>
      <c r="J743" t="n">
        <v>1</v>
      </c>
      <c r="K743" t="n">
        <v>0</v>
      </c>
      <c r="L743" t="n">
        <v>0</v>
      </c>
      <c r="M743" t="n">
        <v>0</v>
      </c>
      <c r="N743" t="n">
        <v>0</v>
      </c>
      <c r="O743" t="n">
        <v>1</v>
      </c>
      <c r="P743" t="n">
        <v>0</v>
      </c>
      <c r="Q743" t="n">
        <v>1</v>
      </c>
      <c r="R743" s="2" t="inlineStr">
        <is>
          <t>Motaggsvamp</t>
        </is>
      </c>
      <c r="S743">
        <f>HYPERLINK("https://klasma.github.io/Logging_0331/artfynd/A 26591-2024 artfynd.xlsx", "A 26591-2024")</f>
        <v/>
      </c>
      <c r="T743">
        <f>HYPERLINK("https://klasma.github.io/Logging_0331/kartor/A 26591-2024 karta.png", "A 26591-2024")</f>
        <v/>
      </c>
      <c r="V743">
        <f>HYPERLINK("https://klasma.github.io/Logging_0331/klagomål/A 26591-2024 FSC-klagomål.docx", "A 26591-2024")</f>
        <v/>
      </c>
      <c r="W743">
        <f>HYPERLINK("https://klasma.github.io/Logging_0331/klagomålsmail/A 26591-2024 FSC-klagomål mail.docx", "A 26591-2024")</f>
        <v/>
      </c>
      <c r="X743">
        <f>HYPERLINK("https://klasma.github.io/Logging_0331/tillsyn/A 26591-2024 tillsynsbegäran.docx", "A 26591-2024")</f>
        <v/>
      </c>
      <c r="Y743">
        <f>HYPERLINK("https://klasma.github.io/Logging_0331/tillsynsmail/A 26591-2024 tillsynsbegäran mail.docx", "A 26591-2024")</f>
        <v/>
      </c>
    </row>
    <row r="744" ht="15" customHeight="1">
      <c r="A744" t="inlineStr">
        <is>
          <t>A 26471-2024</t>
        </is>
      </c>
      <c r="B744" s="1" t="n">
        <v>45469</v>
      </c>
      <c r="C744" s="1" t="n">
        <v>45846</v>
      </c>
      <c r="D744" t="inlineStr">
        <is>
          <t>UPPSALA LÄN</t>
        </is>
      </c>
      <c r="E744" t="inlineStr">
        <is>
          <t>ÄLVKARLEBY</t>
        </is>
      </c>
      <c r="F744" t="inlineStr">
        <is>
          <t>Bergvik skog väst AB</t>
        </is>
      </c>
      <c r="G744" t="n">
        <v>5.3</v>
      </c>
      <c r="H744" t="n">
        <v>1</v>
      </c>
      <c r="I744" t="n">
        <v>0</v>
      </c>
      <c r="J744" t="n">
        <v>1</v>
      </c>
      <c r="K744" t="n">
        <v>0</v>
      </c>
      <c r="L744" t="n">
        <v>0</v>
      </c>
      <c r="M744" t="n">
        <v>0</v>
      </c>
      <c r="N744" t="n">
        <v>0</v>
      </c>
      <c r="O744" t="n">
        <v>1</v>
      </c>
      <c r="P744" t="n">
        <v>0</v>
      </c>
      <c r="Q744" t="n">
        <v>1</v>
      </c>
      <c r="R744" s="2" t="inlineStr">
        <is>
          <t>Slaguggla</t>
        </is>
      </c>
      <c r="S744">
        <f>HYPERLINK("https://klasma.github.io/Logging_0319/artfynd/A 26471-2024 artfynd.xlsx", "A 26471-2024")</f>
        <v/>
      </c>
      <c r="T744">
        <f>HYPERLINK("https://klasma.github.io/Logging_0319/kartor/A 26471-2024 karta.png", "A 26471-2024")</f>
        <v/>
      </c>
      <c r="V744">
        <f>HYPERLINK("https://klasma.github.io/Logging_0319/klagomål/A 26471-2024 FSC-klagomål.docx", "A 26471-2024")</f>
        <v/>
      </c>
      <c r="W744">
        <f>HYPERLINK("https://klasma.github.io/Logging_0319/klagomålsmail/A 26471-2024 FSC-klagomål mail.docx", "A 26471-2024")</f>
        <v/>
      </c>
      <c r="X744">
        <f>HYPERLINK("https://klasma.github.io/Logging_0319/tillsyn/A 26471-2024 tillsynsbegäran.docx", "A 26471-2024")</f>
        <v/>
      </c>
      <c r="Y744">
        <f>HYPERLINK("https://klasma.github.io/Logging_0319/tillsynsmail/A 26471-2024 tillsynsbegäran mail.docx", "A 26471-2024")</f>
        <v/>
      </c>
      <c r="Z744">
        <f>HYPERLINK("https://klasma.github.io/Logging_0319/fåglar/A 26471-2024 prioriterade fågelarter.docx", "A 26471-2024")</f>
        <v/>
      </c>
    </row>
    <row r="745" ht="15" customHeight="1">
      <c r="A745" t="inlineStr">
        <is>
          <t>A 28847-2024</t>
        </is>
      </c>
      <c r="B745" s="1" t="n">
        <v>45478</v>
      </c>
      <c r="C745" s="1" t="n">
        <v>45846</v>
      </c>
      <c r="D745" t="inlineStr">
        <is>
          <t>UPPSALA LÄN</t>
        </is>
      </c>
      <c r="E745" t="inlineStr">
        <is>
          <t>ENKÖPING</t>
        </is>
      </c>
      <c r="G745" t="n">
        <v>3</v>
      </c>
      <c r="H745" t="n">
        <v>1</v>
      </c>
      <c r="I745" t="n">
        <v>0</v>
      </c>
      <c r="J745" t="n">
        <v>0</v>
      </c>
      <c r="K745" t="n">
        <v>0</v>
      </c>
      <c r="L745" t="n">
        <v>0</v>
      </c>
      <c r="M745" t="n">
        <v>0</v>
      </c>
      <c r="N745" t="n">
        <v>0</v>
      </c>
      <c r="O745" t="n">
        <v>0</v>
      </c>
      <c r="P745" t="n">
        <v>0</v>
      </c>
      <c r="Q745" t="n">
        <v>1</v>
      </c>
      <c r="R745" s="2" t="inlineStr">
        <is>
          <t>Revlummer</t>
        </is>
      </c>
      <c r="S745">
        <f>HYPERLINK("https://klasma.github.io/Logging_0381/artfynd/A 28847-2024 artfynd.xlsx", "A 28847-2024")</f>
        <v/>
      </c>
      <c r="T745">
        <f>HYPERLINK("https://klasma.github.io/Logging_0381/kartor/A 28847-2024 karta.png", "A 28847-2024")</f>
        <v/>
      </c>
      <c r="V745">
        <f>HYPERLINK("https://klasma.github.io/Logging_0381/klagomål/A 28847-2024 FSC-klagomål.docx", "A 28847-2024")</f>
        <v/>
      </c>
      <c r="W745">
        <f>HYPERLINK("https://klasma.github.io/Logging_0381/klagomålsmail/A 28847-2024 FSC-klagomål mail.docx", "A 28847-2024")</f>
        <v/>
      </c>
      <c r="X745">
        <f>HYPERLINK("https://klasma.github.io/Logging_0381/tillsyn/A 28847-2024 tillsynsbegäran.docx", "A 28847-2024")</f>
        <v/>
      </c>
      <c r="Y745">
        <f>HYPERLINK("https://klasma.github.io/Logging_0381/tillsynsmail/A 28847-2024 tillsynsbegäran mail.docx", "A 28847-2024")</f>
        <v/>
      </c>
    </row>
    <row r="746" ht="15" customHeight="1">
      <c r="A746" t="inlineStr">
        <is>
          <t>A 28900-2024</t>
        </is>
      </c>
      <c r="B746" s="1" t="n">
        <v>45480</v>
      </c>
      <c r="C746" s="1" t="n">
        <v>45846</v>
      </c>
      <c r="D746" t="inlineStr">
        <is>
          <t>UPPSALA LÄN</t>
        </is>
      </c>
      <c r="E746" t="inlineStr">
        <is>
          <t>ENKÖPING</t>
        </is>
      </c>
      <c r="G746" t="n">
        <v>8.6</v>
      </c>
      <c r="H746" t="n">
        <v>1</v>
      </c>
      <c r="I746" t="n">
        <v>0</v>
      </c>
      <c r="J746" t="n">
        <v>0</v>
      </c>
      <c r="K746" t="n">
        <v>0</v>
      </c>
      <c r="L746" t="n">
        <v>0</v>
      </c>
      <c r="M746" t="n">
        <v>0</v>
      </c>
      <c r="N746" t="n">
        <v>0</v>
      </c>
      <c r="O746" t="n">
        <v>0</v>
      </c>
      <c r="P746" t="n">
        <v>0</v>
      </c>
      <c r="Q746" t="n">
        <v>1</v>
      </c>
      <c r="R746" s="2" t="inlineStr">
        <is>
          <t>Blåsippa</t>
        </is>
      </c>
      <c r="S746">
        <f>HYPERLINK("https://klasma.github.io/Logging_0381/artfynd/A 28900-2024 artfynd.xlsx", "A 28900-2024")</f>
        <v/>
      </c>
      <c r="T746">
        <f>HYPERLINK("https://klasma.github.io/Logging_0381/kartor/A 28900-2024 karta.png", "A 28900-2024")</f>
        <v/>
      </c>
      <c r="V746">
        <f>HYPERLINK("https://klasma.github.io/Logging_0381/klagomål/A 28900-2024 FSC-klagomål.docx", "A 28900-2024")</f>
        <v/>
      </c>
      <c r="W746">
        <f>HYPERLINK("https://klasma.github.io/Logging_0381/klagomålsmail/A 28900-2024 FSC-klagomål mail.docx", "A 28900-2024")</f>
        <v/>
      </c>
      <c r="X746">
        <f>HYPERLINK("https://klasma.github.io/Logging_0381/tillsyn/A 28900-2024 tillsynsbegäran.docx", "A 28900-2024")</f>
        <v/>
      </c>
      <c r="Y746">
        <f>HYPERLINK("https://klasma.github.io/Logging_0381/tillsynsmail/A 28900-2024 tillsynsbegäran mail.docx", "A 28900-2024")</f>
        <v/>
      </c>
    </row>
    <row r="747" ht="15" customHeight="1">
      <c r="A747" t="inlineStr">
        <is>
          <t>A 29139-2024</t>
        </is>
      </c>
      <c r="B747" s="1" t="n">
        <v>45482</v>
      </c>
      <c r="C747" s="1" t="n">
        <v>45846</v>
      </c>
      <c r="D747" t="inlineStr">
        <is>
          <t>UPPSALA LÄN</t>
        </is>
      </c>
      <c r="E747" t="inlineStr">
        <is>
          <t>UPPSALA</t>
        </is>
      </c>
      <c r="F747" t="inlineStr">
        <is>
          <t>Allmännings- och besparingsskogar</t>
        </is>
      </c>
      <c r="G747" t="n">
        <v>26.4</v>
      </c>
      <c r="H747" t="n">
        <v>0</v>
      </c>
      <c r="I747" t="n">
        <v>0</v>
      </c>
      <c r="J747" t="n">
        <v>1</v>
      </c>
      <c r="K747" t="n">
        <v>0</v>
      </c>
      <c r="L747" t="n">
        <v>0</v>
      </c>
      <c r="M747" t="n">
        <v>0</v>
      </c>
      <c r="N747" t="n">
        <v>0</v>
      </c>
      <c r="O747" t="n">
        <v>1</v>
      </c>
      <c r="P747" t="n">
        <v>0</v>
      </c>
      <c r="Q747" t="n">
        <v>1</v>
      </c>
      <c r="R747" s="2" t="inlineStr">
        <is>
          <t>Granskugglöpare</t>
        </is>
      </c>
      <c r="S747">
        <f>HYPERLINK("https://klasma.github.io/Logging_0380/artfynd/A 29139-2024 artfynd.xlsx", "A 29139-2024")</f>
        <v/>
      </c>
      <c r="T747">
        <f>HYPERLINK("https://klasma.github.io/Logging_0380/kartor/A 29139-2024 karta.png", "A 29139-2024")</f>
        <v/>
      </c>
      <c r="V747">
        <f>HYPERLINK("https://klasma.github.io/Logging_0380/klagomål/A 29139-2024 FSC-klagomål.docx", "A 29139-2024")</f>
        <v/>
      </c>
      <c r="W747">
        <f>HYPERLINK("https://klasma.github.io/Logging_0380/klagomålsmail/A 29139-2024 FSC-klagomål mail.docx", "A 29139-2024")</f>
        <v/>
      </c>
      <c r="X747">
        <f>HYPERLINK("https://klasma.github.io/Logging_0380/tillsyn/A 29139-2024 tillsynsbegäran.docx", "A 29139-2024")</f>
        <v/>
      </c>
      <c r="Y747">
        <f>HYPERLINK("https://klasma.github.io/Logging_0380/tillsynsmail/A 29139-2024 tillsynsbegäran mail.docx", "A 29139-2024")</f>
        <v/>
      </c>
    </row>
    <row r="748" ht="15" customHeight="1">
      <c r="A748" t="inlineStr">
        <is>
          <t>A 30122-2024</t>
        </is>
      </c>
      <c r="B748" s="1" t="n">
        <v>45489</v>
      </c>
      <c r="C748" s="1" t="n">
        <v>45846</v>
      </c>
      <c r="D748" t="inlineStr">
        <is>
          <t>UPPSALA LÄN</t>
        </is>
      </c>
      <c r="E748" t="inlineStr">
        <is>
          <t>TIERP</t>
        </is>
      </c>
      <c r="G748" t="n">
        <v>3.4</v>
      </c>
      <c r="H748" t="n">
        <v>1</v>
      </c>
      <c r="I748" t="n">
        <v>1</v>
      </c>
      <c r="J748" t="n">
        <v>0</v>
      </c>
      <c r="K748" t="n">
        <v>0</v>
      </c>
      <c r="L748" t="n">
        <v>0</v>
      </c>
      <c r="M748" t="n">
        <v>0</v>
      </c>
      <c r="N748" t="n">
        <v>0</v>
      </c>
      <c r="O748" t="n">
        <v>0</v>
      </c>
      <c r="P748" t="n">
        <v>0</v>
      </c>
      <c r="Q748" t="n">
        <v>1</v>
      </c>
      <c r="R748" s="2" t="inlineStr">
        <is>
          <t>Nästrot</t>
        </is>
      </c>
      <c r="S748">
        <f>HYPERLINK("https://klasma.github.io/Logging_0360/artfynd/A 30122-2024 artfynd.xlsx", "A 30122-2024")</f>
        <v/>
      </c>
      <c r="T748">
        <f>HYPERLINK("https://klasma.github.io/Logging_0360/kartor/A 30122-2024 karta.png", "A 30122-2024")</f>
        <v/>
      </c>
      <c r="V748">
        <f>HYPERLINK("https://klasma.github.io/Logging_0360/klagomål/A 30122-2024 FSC-klagomål.docx", "A 30122-2024")</f>
        <v/>
      </c>
      <c r="W748">
        <f>HYPERLINK("https://klasma.github.io/Logging_0360/klagomålsmail/A 30122-2024 FSC-klagomål mail.docx", "A 30122-2024")</f>
        <v/>
      </c>
      <c r="X748">
        <f>HYPERLINK("https://klasma.github.io/Logging_0360/tillsyn/A 30122-2024 tillsynsbegäran.docx", "A 30122-2024")</f>
        <v/>
      </c>
      <c r="Y748">
        <f>HYPERLINK("https://klasma.github.io/Logging_0360/tillsynsmail/A 30122-2024 tillsynsbegäran mail.docx", "A 30122-2024")</f>
        <v/>
      </c>
    </row>
    <row r="749" ht="15" customHeight="1">
      <c r="A749" t="inlineStr">
        <is>
          <t>A 30510-2024</t>
        </is>
      </c>
      <c r="B749" s="1" t="n">
        <v>45492</v>
      </c>
      <c r="C749" s="1" t="n">
        <v>45846</v>
      </c>
      <c r="D749" t="inlineStr">
        <is>
          <t>UPPSALA LÄN</t>
        </is>
      </c>
      <c r="E749" t="inlineStr">
        <is>
          <t>TIERP</t>
        </is>
      </c>
      <c r="F749" t="inlineStr">
        <is>
          <t>Bergvik skog öst AB</t>
        </is>
      </c>
      <c r="G749" t="n">
        <v>4.9</v>
      </c>
      <c r="H749" t="n">
        <v>1</v>
      </c>
      <c r="I749" t="n">
        <v>0</v>
      </c>
      <c r="J749" t="n">
        <v>1</v>
      </c>
      <c r="K749" t="n">
        <v>0</v>
      </c>
      <c r="L749" t="n">
        <v>0</v>
      </c>
      <c r="M749" t="n">
        <v>0</v>
      </c>
      <c r="N749" t="n">
        <v>0</v>
      </c>
      <c r="O749" t="n">
        <v>1</v>
      </c>
      <c r="P749" t="n">
        <v>0</v>
      </c>
      <c r="Q749" t="n">
        <v>1</v>
      </c>
      <c r="R749" s="2" t="inlineStr">
        <is>
          <t>Gulsparv</t>
        </is>
      </c>
      <c r="S749">
        <f>HYPERLINK("https://klasma.github.io/Logging_0360/artfynd/A 30510-2024 artfynd.xlsx", "A 30510-2024")</f>
        <v/>
      </c>
      <c r="T749">
        <f>HYPERLINK("https://klasma.github.io/Logging_0360/kartor/A 30510-2024 karta.png", "A 30510-2024")</f>
        <v/>
      </c>
      <c r="V749">
        <f>HYPERLINK("https://klasma.github.io/Logging_0360/klagomål/A 30510-2024 FSC-klagomål.docx", "A 30510-2024")</f>
        <v/>
      </c>
      <c r="W749">
        <f>HYPERLINK("https://klasma.github.io/Logging_0360/klagomålsmail/A 30510-2024 FSC-klagomål mail.docx", "A 30510-2024")</f>
        <v/>
      </c>
      <c r="X749">
        <f>HYPERLINK("https://klasma.github.io/Logging_0360/tillsyn/A 30510-2024 tillsynsbegäran.docx", "A 30510-2024")</f>
        <v/>
      </c>
      <c r="Y749">
        <f>HYPERLINK("https://klasma.github.io/Logging_0360/tillsynsmail/A 30510-2024 tillsynsbegäran mail.docx", "A 30510-2024")</f>
        <v/>
      </c>
      <c r="Z749">
        <f>HYPERLINK("https://klasma.github.io/Logging_0360/fåglar/A 30510-2024 prioriterade fågelarter.docx", "A 30510-2024")</f>
        <v/>
      </c>
    </row>
    <row r="750" ht="15" customHeight="1">
      <c r="A750" t="inlineStr">
        <is>
          <t>A 31171-2024</t>
        </is>
      </c>
      <c r="B750" s="1" t="n">
        <v>45503</v>
      </c>
      <c r="C750" s="1" t="n">
        <v>45846</v>
      </c>
      <c r="D750" t="inlineStr">
        <is>
          <t>UPPSALA LÄN</t>
        </is>
      </c>
      <c r="E750" t="inlineStr">
        <is>
          <t>HEBY</t>
        </is>
      </c>
      <c r="G750" t="n">
        <v>6.8</v>
      </c>
      <c r="H750" t="n">
        <v>0</v>
      </c>
      <c r="I750" t="n">
        <v>0</v>
      </c>
      <c r="J750" t="n">
        <v>1</v>
      </c>
      <c r="K750" t="n">
        <v>0</v>
      </c>
      <c r="L750" t="n">
        <v>0</v>
      </c>
      <c r="M750" t="n">
        <v>0</v>
      </c>
      <c r="N750" t="n">
        <v>0</v>
      </c>
      <c r="O750" t="n">
        <v>1</v>
      </c>
      <c r="P750" t="n">
        <v>0</v>
      </c>
      <c r="Q750" t="n">
        <v>1</v>
      </c>
      <c r="R750" s="2" t="inlineStr">
        <is>
          <t>Motaggsvamp</t>
        </is>
      </c>
      <c r="S750">
        <f>HYPERLINK("https://klasma.github.io/Logging_0331/artfynd/A 31171-2024 artfynd.xlsx", "A 31171-2024")</f>
        <v/>
      </c>
      <c r="T750">
        <f>HYPERLINK("https://klasma.github.io/Logging_0331/kartor/A 31171-2024 karta.png", "A 31171-2024")</f>
        <v/>
      </c>
      <c r="V750">
        <f>HYPERLINK("https://klasma.github.io/Logging_0331/klagomål/A 31171-2024 FSC-klagomål.docx", "A 31171-2024")</f>
        <v/>
      </c>
      <c r="W750">
        <f>HYPERLINK("https://klasma.github.io/Logging_0331/klagomålsmail/A 31171-2024 FSC-klagomål mail.docx", "A 31171-2024")</f>
        <v/>
      </c>
      <c r="X750">
        <f>HYPERLINK("https://klasma.github.io/Logging_0331/tillsyn/A 31171-2024 tillsynsbegäran.docx", "A 31171-2024")</f>
        <v/>
      </c>
      <c r="Y750">
        <f>HYPERLINK("https://klasma.github.io/Logging_0331/tillsynsmail/A 31171-2024 tillsynsbegäran mail.docx", "A 31171-2024")</f>
        <v/>
      </c>
    </row>
    <row r="751" ht="15" customHeight="1">
      <c r="A751" t="inlineStr">
        <is>
          <t>A 31781-2024</t>
        </is>
      </c>
      <c r="B751" s="1" t="n">
        <v>45509</v>
      </c>
      <c r="C751" s="1" t="n">
        <v>45846</v>
      </c>
      <c r="D751" t="inlineStr">
        <is>
          <t>UPPSALA LÄN</t>
        </is>
      </c>
      <c r="E751" t="inlineStr">
        <is>
          <t>HEBY</t>
        </is>
      </c>
      <c r="G751" t="n">
        <v>2.4</v>
      </c>
      <c r="H751" t="n">
        <v>0</v>
      </c>
      <c r="I751" t="n">
        <v>0</v>
      </c>
      <c r="J751" t="n">
        <v>1</v>
      </c>
      <c r="K751" t="n">
        <v>0</v>
      </c>
      <c r="L751" t="n">
        <v>0</v>
      </c>
      <c r="M751" t="n">
        <v>0</v>
      </c>
      <c r="N751" t="n">
        <v>0</v>
      </c>
      <c r="O751" t="n">
        <v>1</v>
      </c>
      <c r="P751" t="n">
        <v>0</v>
      </c>
      <c r="Q751" t="n">
        <v>1</v>
      </c>
      <c r="R751" s="2" t="inlineStr">
        <is>
          <t>Motaggsvamp</t>
        </is>
      </c>
      <c r="S751">
        <f>HYPERLINK("https://klasma.github.io/Logging_0331/artfynd/A 31781-2024 artfynd.xlsx", "A 31781-2024")</f>
        <v/>
      </c>
      <c r="T751">
        <f>HYPERLINK("https://klasma.github.io/Logging_0331/kartor/A 31781-2024 karta.png", "A 31781-2024")</f>
        <v/>
      </c>
      <c r="V751">
        <f>HYPERLINK("https://klasma.github.io/Logging_0331/klagomål/A 31781-2024 FSC-klagomål.docx", "A 31781-2024")</f>
        <v/>
      </c>
      <c r="W751">
        <f>HYPERLINK("https://klasma.github.io/Logging_0331/klagomålsmail/A 31781-2024 FSC-klagomål mail.docx", "A 31781-2024")</f>
        <v/>
      </c>
      <c r="X751">
        <f>HYPERLINK("https://klasma.github.io/Logging_0331/tillsyn/A 31781-2024 tillsynsbegäran.docx", "A 31781-2024")</f>
        <v/>
      </c>
      <c r="Y751">
        <f>HYPERLINK("https://klasma.github.io/Logging_0331/tillsynsmail/A 31781-2024 tillsynsbegäran mail.docx", "A 31781-2024")</f>
        <v/>
      </c>
    </row>
    <row r="752" ht="15" customHeight="1">
      <c r="A752" t="inlineStr">
        <is>
          <t>A 32694-2024</t>
        </is>
      </c>
      <c r="B752" s="1" t="n">
        <v>45516</v>
      </c>
      <c r="C752" s="1" t="n">
        <v>45846</v>
      </c>
      <c r="D752" t="inlineStr">
        <is>
          <t>UPPSALA LÄN</t>
        </is>
      </c>
      <c r="E752" t="inlineStr">
        <is>
          <t>ENKÖPING</t>
        </is>
      </c>
      <c r="G752" t="n">
        <v>5.6</v>
      </c>
      <c r="H752" t="n">
        <v>1</v>
      </c>
      <c r="I752" t="n">
        <v>0</v>
      </c>
      <c r="J752" t="n">
        <v>0</v>
      </c>
      <c r="K752" t="n">
        <v>1</v>
      </c>
      <c r="L752" t="n">
        <v>0</v>
      </c>
      <c r="M752" t="n">
        <v>0</v>
      </c>
      <c r="N752" t="n">
        <v>0</v>
      </c>
      <c r="O752" t="n">
        <v>1</v>
      </c>
      <c r="P752" t="n">
        <v>1</v>
      </c>
      <c r="Q752" t="n">
        <v>1</v>
      </c>
      <c r="R752" s="2" t="inlineStr">
        <is>
          <t>Knärot</t>
        </is>
      </c>
      <c r="S752">
        <f>HYPERLINK("https://klasma.github.io/Logging_0381/artfynd/A 32694-2024 artfynd.xlsx", "A 32694-2024")</f>
        <v/>
      </c>
      <c r="T752">
        <f>HYPERLINK("https://klasma.github.io/Logging_0381/kartor/A 32694-2024 karta.png", "A 32694-2024")</f>
        <v/>
      </c>
      <c r="U752">
        <f>HYPERLINK("https://klasma.github.io/Logging_0381/knärot/A 32694-2024 karta knärot.png", "A 32694-2024")</f>
        <v/>
      </c>
      <c r="V752">
        <f>HYPERLINK("https://klasma.github.io/Logging_0381/klagomål/A 32694-2024 FSC-klagomål.docx", "A 32694-2024")</f>
        <v/>
      </c>
      <c r="W752">
        <f>HYPERLINK("https://klasma.github.io/Logging_0381/klagomålsmail/A 32694-2024 FSC-klagomål mail.docx", "A 32694-2024")</f>
        <v/>
      </c>
      <c r="X752">
        <f>HYPERLINK("https://klasma.github.io/Logging_0381/tillsyn/A 32694-2024 tillsynsbegäran.docx", "A 32694-2024")</f>
        <v/>
      </c>
      <c r="Y752">
        <f>HYPERLINK("https://klasma.github.io/Logging_0381/tillsynsmail/A 32694-2024 tillsynsbegäran mail.docx", "A 32694-2024")</f>
        <v/>
      </c>
    </row>
    <row r="753" ht="15" customHeight="1">
      <c r="A753" t="inlineStr">
        <is>
          <t>A 33339-2024</t>
        </is>
      </c>
      <c r="B753" s="1" t="n">
        <v>45519</v>
      </c>
      <c r="C753" s="1" t="n">
        <v>45846</v>
      </c>
      <c r="D753" t="inlineStr">
        <is>
          <t>UPPSALA LÄN</t>
        </is>
      </c>
      <c r="E753" t="inlineStr">
        <is>
          <t>ENKÖPING</t>
        </is>
      </c>
      <c r="G753" t="n">
        <v>2.3</v>
      </c>
      <c r="H753" t="n">
        <v>0</v>
      </c>
      <c r="I753" t="n">
        <v>0</v>
      </c>
      <c r="J753" t="n">
        <v>1</v>
      </c>
      <c r="K753" t="n">
        <v>0</v>
      </c>
      <c r="L753" t="n">
        <v>0</v>
      </c>
      <c r="M753" t="n">
        <v>0</v>
      </c>
      <c r="N753" t="n">
        <v>0</v>
      </c>
      <c r="O753" t="n">
        <v>1</v>
      </c>
      <c r="P753" t="n">
        <v>0</v>
      </c>
      <c r="Q753" t="n">
        <v>1</v>
      </c>
      <c r="R753" s="2" t="inlineStr">
        <is>
          <t>Ullticka</t>
        </is>
      </c>
      <c r="S753">
        <f>HYPERLINK("https://klasma.github.io/Logging_0381/artfynd/A 33339-2024 artfynd.xlsx", "A 33339-2024")</f>
        <v/>
      </c>
      <c r="T753">
        <f>HYPERLINK("https://klasma.github.io/Logging_0381/kartor/A 33339-2024 karta.png", "A 33339-2024")</f>
        <v/>
      </c>
      <c r="V753">
        <f>HYPERLINK("https://klasma.github.io/Logging_0381/klagomål/A 33339-2024 FSC-klagomål.docx", "A 33339-2024")</f>
        <v/>
      </c>
      <c r="W753">
        <f>HYPERLINK("https://klasma.github.io/Logging_0381/klagomålsmail/A 33339-2024 FSC-klagomål mail.docx", "A 33339-2024")</f>
        <v/>
      </c>
      <c r="X753">
        <f>HYPERLINK("https://klasma.github.io/Logging_0381/tillsyn/A 33339-2024 tillsynsbegäran.docx", "A 33339-2024")</f>
        <v/>
      </c>
      <c r="Y753">
        <f>HYPERLINK("https://klasma.github.io/Logging_0381/tillsynsmail/A 33339-2024 tillsynsbegäran mail.docx", "A 33339-2024")</f>
        <v/>
      </c>
    </row>
    <row r="754" ht="15" customHeight="1">
      <c r="A754" t="inlineStr">
        <is>
          <t>A 33775-2024</t>
        </is>
      </c>
      <c r="B754" s="1" t="n">
        <v>45520</v>
      </c>
      <c r="C754" s="1" t="n">
        <v>45846</v>
      </c>
      <c r="D754" t="inlineStr">
        <is>
          <t>UPPSALA LÄN</t>
        </is>
      </c>
      <c r="E754" t="inlineStr">
        <is>
          <t>ÄLVKARLEBY</t>
        </is>
      </c>
      <c r="F754" t="inlineStr">
        <is>
          <t>Bergvik skog väst AB</t>
        </is>
      </c>
      <c r="G754" t="n">
        <v>5.6</v>
      </c>
      <c r="H754" t="n">
        <v>0</v>
      </c>
      <c r="I754" t="n">
        <v>1</v>
      </c>
      <c r="J754" t="n">
        <v>0</v>
      </c>
      <c r="K754" t="n">
        <v>0</v>
      </c>
      <c r="L754" t="n">
        <v>0</v>
      </c>
      <c r="M754" t="n">
        <v>0</v>
      </c>
      <c r="N754" t="n">
        <v>0</v>
      </c>
      <c r="O754" t="n">
        <v>0</v>
      </c>
      <c r="P754" t="n">
        <v>0</v>
      </c>
      <c r="Q754" t="n">
        <v>1</v>
      </c>
      <c r="R754" s="2" t="inlineStr">
        <is>
          <t>Tibast</t>
        </is>
      </c>
      <c r="S754">
        <f>HYPERLINK("https://klasma.github.io/Logging_0319/artfynd/A 33775-2024 artfynd.xlsx", "A 33775-2024")</f>
        <v/>
      </c>
      <c r="T754">
        <f>HYPERLINK("https://klasma.github.io/Logging_0319/kartor/A 33775-2024 karta.png", "A 33775-2024")</f>
        <v/>
      </c>
      <c r="V754">
        <f>HYPERLINK("https://klasma.github.io/Logging_0319/klagomål/A 33775-2024 FSC-klagomål.docx", "A 33775-2024")</f>
        <v/>
      </c>
      <c r="W754">
        <f>HYPERLINK("https://klasma.github.io/Logging_0319/klagomålsmail/A 33775-2024 FSC-klagomål mail.docx", "A 33775-2024")</f>
        <v/>
      </c>
      <c r="X754">
        <f>HYPERLINK("https://klasma.github.io/Logging_0319/tillsyn/A 33775-2024 tillsynsbegäran.docx", "A 33775-2024")</f>
        <v/>
      </c>
      <c r="Y754">
        <f>HYPERLINK("https://klasma.github.io/Logging_0319/tillsynsmail/A 33775-2024 tillsynsbegäran mail.docx", "A 33775-2024")</f>
        <v/>
      </c>
    </row>
    <row r="755" ht="15" customHeight="1">
      <c r="A755" t="inlineStr">
        <is>
          <t>A 33796-2024</t>
        </is>
      </c>
      <c r="B755" s="1" t="n">
        <v>45520</v>
      </c>
      <c r="C755" s="1" t="n">
        <v>45846</v>
      </c>
      <c r="D755" t="inlineStr">
        <is>
          <t>UPPSALA LÄN</t>
        </is>
      </c>
      <c r="E755" t="inlineStr">
        <is>
          <t>ÄLVKARLEBY</t>
        </is>
      </c>
      <c r="F755" t="inlineStr">
        <is>
          <t>Bergvik skog väst AB</t>
        </is>
      </c>
      <c r="G755" t="n">
        <v>4.6</v>
      </c>
      <c r="H755" t="n">
        <v>1</v>
      </c>
      <c r="I755" t="n">
        <v>0</v>
      </c>
      <c r="J755" t="n">
        <v>0</v>
      </c>
      <c r="K755" t="n">
        <v>0</v>
      </c>
      <c r="L755" t="n">
        <v>0</v>
      </c>
      <c r="M755" t="n">
        <v>0</v>
      </c>
      <c r="N755" t="n">
        <v>0</v>
      </c>
      <c r="O755" t="n">
        <v>0</v>
      </c>
      <c r="P755" t="n">
        <v>0</v>
      </c>
      <c r="Q755" t="n">
        <v>1</v>
      </c>
      <c r="R755" s="2" t="inlineStr">
        <is>
          <t>Revlummer</t>
        </is>
      </c>
      <c r="S755">
        <f>HYPERLINK("https://klasma.github.io/Logging_0319/artfynd/A 33796-2024 artfynd.xlsx", "A 33796-2024")</f>
        <v/>
      </c>
      <c r="T755">
        <f>HYPERLINK("https://klasma.github.io/Logging_0319/kartor/A 33796-2024 karta.png", "A 33796-2024")</f>
        <v/>
      </c>
      <c r="V755">
        <f>HYPERLINK("https://klasma.github.io/Logging_0319/klagomål/A 33796-2024 FSC-klagomål.docx", "A 33796-2024")</f>
        <v/>
      </c>
      <c r="W755">
        <f>HYPERLINK("https://klasma.github.io/Logging_0319/klagomålsmail/A 33796-2024 FSC-klagomål mail.docx", "A 33796-2024")</f>
        <v/>
      </c>
      <c r="X755">
        <f>HYPERLINK("https://klasma.github.io/Logging_0319/tillsyn/A 33796-2024 tillsynsbegäran.docx", "A 33796-2024")</f>
        <v/>
      </c>
      <c r="Y755">
        <f>HYPERLINK("https://klasma.github.io/Logging_0319/tillsynsmail/A 33796-2024 tillsynsbegäran mail.docx", "A 33796-2024")</f>
        <v/>
      </c>
    </row>
    <row r="756" ht="15" customHeight="1">
      <c r="A756" t="inlineStr">
        <is>
          <t>A 33800-2024</t>
        </is>
      </c>
      <c r="B756" s="1" t="n">
        <v>45520</v>
      </c>
      <c r="C756" s="1" t="n">
        <v>45846</v>
      </c>
      <c r="D756" t="inlineStr">
        <is>
          <t>UPPSALA LÄN</t>
        </is>
      </c>
      <c r="E756" t="inlineStr">
        <is>
          <t>ÖSTHAMMAR</t>
        </is>
      </c>
      <c r="F756" t="inlineStr">
        <is>
          <t>Naturvårdsverket</t>
        </is>
      </c>
      <c r="G756" t="n">
        <v>1.5</v>
      </c>
      <c r="H756" t="n">
        <v>1</v>
      </c>
      <c r="I756" t="n">
        <v>0</v>
      </c>
      <c r="J756" t="n">
        <v>0</v>
      </c>
      <c r="K756" t="n">
        <v>0</v>
      </c>
      <c r="L756" t="n">
        <v>0</v>
      </c>
      <c r="M756" t="n">
        <v>0</v>
      </c>
      <c r="N756" t="n">
        <v>0</v>
      </c>
      <c r="O756" t="n">
        <v>0</v>
      </c>
      <c r="P756" t="n">
        <v>0</v>
      </c>
      <c r="Q756" t="n">
        <v>1</v>
      </c>
      <c r="R756" s="2" t="inlineStr">
        <is>
          <t>Fläcknycklar</t>
        </is>
      </c>
      <c r="S756">
        <f>HYPERLINK("https://klasma.github.io/Logging_0382/artfynd/A 33800-2024 artfynd.xlsx", "A 33800-2024")</f>
        <v/>
      </c>
      <c r="T756">
        <f>HYPERLINK("https://klasma.github.io/Logging_0382/kartor/A 33800-2024 karta.png", "A 33800-2024")</f>
        <v/>
      </c>
      <c r="V756">
        <f>HYPERLINK("https://klasma.github.io/Logging_0382/klagomål/A 33800-2024 FSC-klagomål.docx", "A 33800-2024")</f>
        <v/>
      </c>
      <c r="W756">
        <f>HYPERLINK("https://klasma.github.io/Logging_0382/klagomålsmail/A 33800-2024 FSC-klagomål mail.docx", "A 33800-2024")</f>
        <v/>
      </c>
      <c r="X756">
        <f>HYPERLINK("https://klasma.github.io/Logging_0382/tillsyn/A 33800-2024 tillsynsbegäran.docx", "A 33800-2024")</f>
        <v/>
      </c>
      <c r="Y756">
        <f>HYPERLINK("https://klasma.github.io/Logging_0382/tillsynsmail/A 33800-2024 tillsynsbegäran mail.docx", "A 33800-2024")</f>
        <v/>
      </c>
    </row>
    <row r="757" ht="15" customHeight="1">
      <c r="A757" t="inlineStr">
        <is>
          <t>A 34159-2024</t>
        </is>
      </c>
      <c r="B757" s="1" t="n">
        <v>45524</v>
      </c>
      <c r="C757" s="1" t="n">
        <v>45846</v>
      </c>
      <c r="D757" t="inlineStr">
        <is>
          <t>UPPSALA LÄN</t>
        </is>
      </c>
      <c r="E757" t="inlineStr">
        <is>
          <t>UPPSALA</t>
        </is>
      </c>
      <c r="G757" t="n">
        <v>3.7</v>
      </c>
      <c r="H757" t="n">
        <v>0</v>
      </c>
      <c r="I757" t="n">
        <v>1</v>
      </c>
      <c r="J757" t="n">
        <v>0</v>
      </c>
      <c r="K757" t="n">
        <v>0</v>
      </c>
      <c r="L757" t="n">
        <v>0</v>
      </c>
      <c r="M757" t="n">
        <v>0</v>
      </c>
      <c r="N757" t="n">
        <v>0</v>
      </c>
      <c r="O757" t="n">
        <v>0</v>
      </c>
      <c r="P757" t="n">
        <v>0</v>
      </c>
      <c r="Q757" t="n">
        <v>1</v>
      </c>
      <c r="R757" s="2" t="inlineStr">
        <is>
          <t>Granbarkgnagare</t>
        </is>
      </c>
      <c r="S757">
        <f>HYPERLINK("https://klasma.github.io/Logging_0380/artfynd/A 34159-2024 artfynd.xlsx", "A 34159-2024")</f>
        <v/>
      </c>
      <c r="T757">
        <f>HYPERLINK("https://klasma.github.io/Logging_0380/kartor/A 34159-2024 karta.png", "A 34159-2024")</f>
        <v/>
      </c>
      <c r="V757">
        <f>HYPERLINK("https://klasma.github.io/Logging_0380/klagomål/A 34159-2024 FSC-klagomål.docx", "A 34159-2024")</f>
        <v/>
      </c>
      <c r="W757">
        <f>HYPERLINK("https://klasma.github.io/Logging_0380/klagomålsmail/A 34159-2024 FSC-klagomål mail.docx", "A 34159-2024")</f>
        <v/>
      </c>
      <c r="X757">
        <f>HYPERLINK("https://klasma.github.io/Logging_0380/tillsyn/A 34159-2024 tillsynsbegäran.docx", "A 34159-2024")</f>
        <v/>
      </c>
      <c r="Y757">
        <f>HYPERLINK("https://klasma.github.io/Logging_0380/tillsynsmail/A 34159-2024 tillsynsbegäran mail.docx", "A 34159-2024")</f>
        <v/>
      </c>
    </row>
    <row r="758" ht="15" customHeight="1">
      <c r="A758" t="inlineStr">
        <is>
          <t>A 34464-2024</t>
        </is>
      </c>
      <c r="B758" s="1" t="n">
        <v>45525</v>
      </c>
      <c r="C758" s="1" t="n">
        <v>45846</v>
      </c>
      <c r="D758" t="inlineStr">
        <is>
          <t>UPPSALA LÄN</t>
        </is>
      </c>
      <c r="E758" t="inlineStr">
        <is>
          <t>TIERP</t>
        </is>
      </c>
      <c r="F758" t="inlineStr">
        <is>
          <t>Bergvik skog öst AB</t>
        </is>
      </c>
      <c r="G758" t="n">
        <v>0.9</v>
      </c>
      <c r="H758" t="n">
        <v>0</v>
      </c>
      <c r="I758" t="n">
        <v>1</v>
      </c>
      <c r="J758" t="n">
        <v>0</v>
      </c>
      <c r="K758" t="n">
        <v>0</v>
      </c>
      <c r="L758" t="n">
        <v>0</v>
      </c>
      <c r="M758" t="n">
        <v>0</v>
      </c>
      <c r="N758" t="n">
        <v>0</v>
      </c>
      <c r="O758" t="n">
        <v>0</v>
      </c>
      <c r="P758" t="n">
        <v>0</v>
      </c>
      <c r="Q758" t="n">
        <v>1</v>
      </c>
      <c r="R758" s="2" t="inlineStr">
        <is>
          <t>Svart trolldruva</t>
        </is>
      </c>
      <c r="S758">
        <f>HYPERLINK("https://klasma.github.io/Logging_0360/artfynd/A 34464-2024 artfynd.xlsx", "A 34464-2024")</f>
        <v/>
      </c>
      <c r="T758">
        <f>HYPERLINK("https://klasma.github.io/Logging_0360/kartor/A 34464-2024 karta.png", "A 34464-2024")</f>
        <v/>
      </c>
      <c r="V758">
        <f>HYPERLINK("https://klasma.github.io/Logging_0360/klagomål/A 34464-2024 FSC-klagomål.docx", "A 34464-2024")</f>
        <v/>
      </c>
      <c r="W758">
        <f>HYPERLINK("https://klasma.github.io/Logging_0360/klagomålsmail/A 34464-2024 FSC-klagomål mail.docx", "A 34464-2024")</f>
        <v/>
      </c>
      <c r="X758">
        <f>HYPERLINK("https://klasma.github.io/Logging_0360/tillsyn/A 34464-2024 tillsynsbegäran.docx", "A 34464-2024")</f>
        <v/>
      </c>
      <c r="Y758">
        <f>HYPERLINK("https://klasma.github.io/Logging_0360/tillsynsmail/A 34464-2024 tillsynsbegäran mail.docx", "A 34464-2024")</f>
        <v/>
      </c>
    </row>
    <row r="759" ht="15" customHeight="1">
      <c r="A759" t="inlineStr">
        <is>
          <t>A 36622-2024</t>
        </is>
      </c>
      <c r="B759" s="1" t="n">
        <v>45537</v>
      </c>
      <c r="C759" s="1" t="n">
        <v>45846</v>
      </c>
      <c r="D759" t="inlineStr">
        <is>
          <t>UPPSALA LÄN</t>
        </is>
      </c>
      <c r="E759" t="inlineStr">
        <is>
          <t>ÖSTHAMMAR</t>
        </is>
      </c>
      <c r="F759" t="inlineStr">
        <is>
          <t>Bergvik skog väst AB</t>
        </is>
      </c>
      <c r="G759" t="n">
        <v>5.2</v>
      </c>
      <c r="H759" t="n">
        <v>1</v>
      </c>
      <c r="I759" t="n">
        <v>0</v>
      </c>
      <c r="J759" t="n">
        <v>0</v>
      </c>
      <c r="K759" t="n">
        <v>0</v>
      </c>
      <c r="L759" t="n">
        <v>0</v>
      </c>
      <c r="M759" t="n">
        <v>0</v>
      </c>
      <c r="N759" t="n">
        <v>0</v>
      </c>
      <c r="O759" t="n">
        <v>0</v>
      </c>
      <c r="P759" t="n">
        <v>0</v>
      </c>
      <c r="Q759" t="n">
        <v>1</v>
      </c>
      <c r="R759" s="2" t="inlineStr">
        <is>
          <t>Blåsippa</t>
        </is>
      </c>
      <c r="S759">
        <f>HYPERLINK("https://klasma.github.io/Logging_0382/artfynd/A 36622-2024 artfynd.xlsx", "A 36622-2024")</f>
        <v/>
      </c>
      <c r="T759">
        <f>HYPERLINK("https://klasma.github.io/Logging_0382/kartor/A 36622-2024 karta.png", "A 36622-2024")</f>
        <v/>
      </c>
      <c r="V759">
        <f>HYPERLINK("https://klasma.github.io/Logging_0382/klagomål/A 36622-2024 FSC-klagomål.docx", "A 36622-2024")</f>
        <v/>
      </c>
      <c r="W759">
        <f>HYPERLINK("https://klasma.github.io/Logging_0382/klagomålsmail/A 36622-2024 FSC-klagomål mail.docx", "A 36622-2024")</f>
        <v/>
      </c>
      <c r="X759">
        <f>HYPERLINK("https://klasma.github.io/Logging_0382/tillsyn/A 36622-2024 tillsynsbegäran.docx", "A 36622-2024")</f>
        <v/>
      </c>
      <c r="Y759">
        <f>HYPERLINK("https://klasma.github.io/Logging_0382/tillsynsmail/A 36622-2024 tillsynsbegäran mail.docx", "A 36622-2024")</f>
        <v/>
      </c>
    </row>
    <row r="760" ht="15" customHeight="1">
      <c r="A760" t="inlineStr">
        <is>
          <t>A 36785-2024</t>
        </is>
      </c>
      <c r="B760" s="1" t="n">
        <v>45538</v>
      </c>
      <c r="C760" s="1" t="n">
        <v>45846</v>
      </c>
      <c r="D760" t="inlineStr">
        <is>
          <t>UPPSALA LÄN</t>
        </is>
      </c>
      <c r="E760" t="inlineStr">
        <is>
          <t>TIERP</t>
        </is>
      </c>
      <c r="G760" t="n">
        <v>4.4</v>
      </c>
      <c r="H760" t="n">
        <v>1</v>
      </c>
      <c r="I760" t="n">
        <v>0</v>
      </c>
      <c r="J760" t="n">
        <v>0</v>
      </c>
      <c r="K760" t="n">
        <v>0</v>
      </c>
      <c r="L760" t="n">
        <v>0</v>
      </c>
      <c r="M760" t="n">
        <v>0</v>
      </c>
      <c r="N760" t="n">
        <v>0</v>
      </c>
      <c r="O760" t="n">
        <v>0</v>
      </c>
      <c r="P760" t="n">
        <v>0</v>
      </c>
      <c r="Q760" t="n">
        <v>1</v>
      </c>
      <c r="R760" s="2" t="inlineStr">
        <is>
          <t>Blåsippa</t>
        </is>
      </c>
      <c r="S760">
        <f>HYPERLINK("https://klasma.github.io/Logging_0360/artfynd/A 36785-2024 artfynd.xlsx", "A 36785-2024")</f>
        <v/>
      </c>
      <c r="T760">
        <f>HYPERLINK("https://klasma.github.io/Logging_0360/kartor/A 36785-2024 karta.png", "A 36785-2024")</f>
        <v/>
      </c>
      <c r="V760">
        <f>HYPERLINK("https://klasma.github.io/Logging_0360/klagomål/A 36785-2024 FSC-klagomål.docx", "A 36785-2024")</f>
        <v/>
      </c>
      <c r="W760">
        <f>HYPERLINK("https://klasma.github.io/Logging_0360/klagomålsmail/A 36785-2024 FSC-klagomål mail.docx", "A 36785-2024")</f>
        <v/>
      </c>
      <c r="X760">
        <f>HYPERLINK("https://klasma.github.io/Logging_0360/tillsyn/A 36785-2024 tillsynsbegäran.docx", "A 36785-2024")</f>
        <v/>
      </c>
      <c r="Y760">
        <f>HYPERLINK("https://klasma.github.io/Logging_0360/tillsynsmail/A 36785-2024 tillsynsbegäran mail.docx", "A 36785-2024")</f>
        <v/>
      </c>
    </row>
    <row r="761" ht="15" customHeight="1">
      <c r="A761" t="inlineStr">
        <is>
          <t>A 37563-2024</t>
        </is>
      </c>
      <c r="B761" s="1" t="n">
        <v>45541</v>
      </c>
      <c r="C761" s="1" t="n">
        <v>45846</v>
      </c>
      <c r="D761" t="inlineStr">
        <is>
          <t>UPPSALA LÄN</t>
        </is>
      </c>
      <c r="E761" t="inlineStr">
        <is>
          <t>UPPSALA</t>
        </is>
      </c>
      <c r="F761" t="inlineStr">
        <is>
          <t>Övriga Aktiebolag</t>
        </is>
      </c>
      <c r="G761" t="n">
        <v>6.1</v>
      </c>
      <c r="H761" t="n">
        <v>0</v>
      </c>
      <c r="I761" t="n">
        <v>0</v>
      </c>
      <c r="J761" t="n">
        <v>1</v>
      </c>
      <c r="K761" t="n">
        <v>0</v>
      </c>
      <c r="L761" t="n">
        <v>0</v>
      </c>
      <c r="M761" t="n">
        <v>0</v>
      </c>
      <c r="N761" t="n">
        <v>0</v>
      </c>
      <c r="O761" t="n">
        <v>1</v>
      </c>
      <c r="P761" t="n">
        <v>0</v>
      </c>
      <c r="Q761" t="n">
        <v>1</v>
      </c>
      <c r="R761" s="2" t="inlineStr">
        <is>
          <t>Skogshare</t>
        </is>
      </c>
      <c r="S761">
        <f>HYPERLINK("https://klasma.github.io/Logging_0380/artfynd/A 37563-2024 artfynd.xlsx", "A 37563-2024")</f>
        <v/>
      </c>
      <c r="T761">
        <f>HYPERLINK("https://klasma.github.io/Logging_0380/kartor/A 37563-2024 karta.png", "A 37563-2024")</f>
        <v/>
      </c>
      <c r="V761">
        <f>HYPERLINK("https://klasma.github.io/Logging_0380/klagomål/A 37563-2024 FSC-klagomål.docx", "A 37563-2024")</f>
        <v/>
      </c>
      <c r="W761">
        <f>HYPERLINK("https://klasma.github.io/Logging_0380/klagomålsmail/A 37563-2024 FSC-klagomål mail.docx", "A 37563-2024")</f>
        <v/>
      </c>
      <c r="X761">
        <f>HYPERLINK("https://klasma.github.io/Logging_0380/tillsyn/A 37563-2024 tillsynsbegäran.docx", "A 37563-2024")</f>
        <v/>
      </c>
      <c r="Y761">
        <f>HYPERLINK("https://klasma.github.io/Logging_0380/tillsynsmail/A 37563-2024 tillsynsbegäran mail.docx", "A 37563-2024")</f>
        <v/>
      </c>
    </row>
    <row r="762" ht="15" customHeight="1">
      <c r="A762" t="inlineStr">
        <is>
          <t>A 37595-2024</t>
        </is>
      </c>
      <c r="B762" s="1" t="n">
        <v>45541</v>
      </c>
      <c r="C762" s="1" t="n">
        <v>45846</v>
      </c>
      <c r="D762" t="inlineStr">
        <is>
          <t>UPPSALA LÄN</t>
        </is>
      </c>
      <c r="E762" t="inlineStr">
        <is>
          <t>KNIVSTA</t>
        </is>
      </c>
      <c r="G762" t="n">
        <v>6.4</v>
      </c>
      <c r="H762" t="n">
        <v>0</v>
      </c>
      <c r="I762" t="n">
        <v>0</v>
      </c>
      <c r="J762" t="n">
        <v>0</v>
      </c>
      <c r="K762" t="n">
        <v>1</v>
      </c>
      <c r="L762" t="n">
        <v>0</v>
      </c>
      <c r="M762" t="n">
        <v>0</v>
      </c>
      <c r="N762" t="n">
        <v>0</v>
      </c>
      <c r="O762" t="n">
        <v>1</v>
      </c>
      <c r="P762" t="n">
        <v>1</v>
      </c>
      <c r="Q762" t="n">
        <v>1</v>
      </c>
      <c r="R762" s="2" t="inlineStr">
        <is>
          <t>Violett fingersvamp</t>
        </is>
      </c>
      <c r="S762">
        <f>HYPERLINK("https://klasma.github.io/Logging_0330/artfynd/A 37595-2024 artfynd.xlsx", "A 37595-2024")</f>
        <v/>
      </c>
      <c r="T762">
        <f>HYPERLINK("https://klasma.github.io/Logging_0330/kartor/A 37595-2024 karta.png", "A 37595-2024")</f>
        <v/>
      </c>
      <c r="V762">
        <f>HYPERLINK("https://klasma.github.io/Logging_0330/klagomål/A 37595-2024 FSC-klagomål.docx", "A 37595-2024")</f>
        <v/>
      </c>
      <c r="W762">
        <f>HYPERLINK("https://klasma.github.io/Logging_0330/klagomålsmail/A 37595-2024 FSC-klagomål mail.docx", "A 37595-2024")</f>
        <v/>
      </c>
      <c r="X762">
        <f>HYPERLINK("https://klasma.github.io/Logging_0330/tillsyn/A 37595-2024 tillsynsbegäran.docx", "A 37595-2024")</f>
        <v/>
      </c>
      <c r="Y762">
        <f>HYPERLINK("https://klasma.github.io/Logging_0330/tillsynsmail/A 37595-2024 tillsynsbegäran mail.docx", "A 37595-2024")</f>
        <v/>
      </c>
    </row>
    <row r="763" ht="15" customHeight="1">
      <c r="A763" t="inlineStr">
        <is>
          <t>A 40720-2024</t>
        </is>
      </c>
      <c r="B763" s="1" t="n">
        <v>45558</v>
      </c>
      <c r="C763" s="1" t="n">
        <v>45846</v>
      </c>
      <c r="D763" t="inlineStr">
        <is>
          <t>UPPSALA LÄN</t>
        </is>
      </c>
      <c r="E763" t="inlineStr">
        <is>
          <t>TIERP</t>
        </is>
      </c>
      <c r="G763" t="n">
        <v>0.7</v>
      </c>
      <c r="H763" t="n">
        <v>1</v>
      </c>
      <c r="I763" t="n">
        <v>0</v>
      </c>
      <c r="J763" t="n">
        <v>1</v>
      </c>
      <c r="K763" t="n">
        <v>0</v>
      </c>
      <c r="L763" t="n">
        <v>0</v>
      </c>
      <c r="M763" t="n">
        <v>0</v>
      </c>
      <c r="N763" t="n">
        <v>0</v>
      </c>
      <c r="O763" t="n">
        <v>1</v>
      </c>
      <c r="P763" t="n">
        <v>0</v>
      </c>
      <c r="Q763" t="n">
        <v>1</v>
      </c>
      <c r="R763" s="2" t="inlineStr">
        <is>
          <t>Gulsparv</t>
        </is>
      </c>
      <c r="S763">
        <f>HYPERLINK("https://klasma.github.io/Logging_0360/artfynd/A 40720-2024 artfynd.xlsx", "A 40720-2024")</f>
        <v/>
      </c>
      <c r="T763">
        <f>HYPERLINK("https://klasma.github.io/Logging_0360/kartor/A 40720-2024 karta.png", "A 40720-2024")</f>
        <v/>
      </c>
      <c r="V763">
        <f>HYPERLINK("https://klasma.github.io/Logging_0360/klagomål/A 40720-2024 FSC-klagomål.docx", "A 40720-2024")</f>
        <v/>
      </c>
      <c r="W763">
        <f>HYPERLINK("https://klasma.github.io/Logging_0360/klagomålsmail/A 40720-2024 FSC-klagomål mail.docx", "A 40720-2024")</f>
        <v/>
      </c>
      <c r="X763">
        <f>HYPERLINK("https://klasma.github.io/Logging_0360/tillsyn/A 40720-2024 tillsynsbegäran.docx", "A 40720-2024")</f>
        <v/>
      </c>
      <c r="Y763">
        <f>HYPERLINK("https://klasma.github.io/Logging_0360/tillsynsmail/A 40720-2024 tillsynsbegäran mail.docx", "A 40720-2024")</f>
        <v/>
      </c>
      <c r="Z763">
        <f>HYPERLINK("https://klasma.github.io/Logging_0360/fåglar/A 40720-2024 prioriterade fågelarter.docx", "A 40720-2024")</f>
        <v/>
      </c>
    </row>
    <row r="764" ht="15" customHeight="1">
      <c r="A764" t="inlineStr">
        <is>
          <t>A 42787-2024</t>
        </is>
      </c>
      <c r="B764" s="1" t="n">
        <v>45566</v>
      </c>
      <c r="C764" s="1" t="n">
        <v>45846</v>
      </c>
      <c r="D764" t="inlineStr">
        <is>
          <t>UPPSALA LÄN</t>
        </is>
      </c>
      <c r="E764" t="inlineStr">
        <is>
          <t>UPPSALA</t>
        </is>
      </c>
      <c r="G764" t="n">
        <v>3.2</v>
      </c>
      <c r="H764" t="n">
        <v>1</v>
      </c>
      <c r="I764" t="n">
        <v>0</v>
      </c>
      <c r="J764" t="n">
        <v>0</v>
      </c>
      <c r="K764" t="n">
        <v>0</v>
      </c>
      <c r="L764" t="n">
        <v>0</v>
      </c>
      <c r="M764" t="n">
        <v>0</v>
      </c>
      <c r="N764" t="n">
        <v>0</v>
      </c>
      <c r="O764" t="n">
        <v>0</v>
      </c>
      <c r="P764" t="n">
        <v>0</v>
      </c>
      <c r="Q764" t="n">
        <v>1</v>
      </c>
      <c r="R764" s="2" t="inlineStr">
        <is>
          <t>Mattlummer</t>
        </is>
      </c>
      <c r="S764">
        <f>HYPERLINK("https://klasma.github.io/Logging_0380/artfynd/A 42787-2024 artfynd.xlsx", "A 42787-2024")</f>
        <v/>
      </c>
      <c r="T764">
        <f>HYPERLINK("https://klasma.github.io/Logging_0380/kartor/A 42787-2024 karta.png", "A 42787-2024")</f>
        <v/>
      </c>
      <c r="V764">
        <f>HYPERLINK("https://klasma.github.io/Logging_0380/klagomål/A 42787-2024 FSC-klagomål.docx", "A 42787-2024")</f>
        <v/>
      </c>
      <c r="W764">
        <f>HYPERLINK("https://klasma.github.io/Logging_0380/klagomålsmail/A 42787-2024 FSC-klagomål mail.docx", "A 42787-2024")</f>
        <v/>
      </c>
      <c r="X764">
        <f>HYPERLINK("https://klasma.github.io/Logging_0380/tillsyn/A 42787-2024 tillsynsbegäran.docx", "A 42787-2024")</f>
        <v/>
      </c>
      <c r="Y764">
        <f>HYPERLINK("https://klasma.github.io/Logging_0380/tillsynsmail/A 42787-2024 tillsynsbegäran mail.docx", "A 42787-2024")</f>
        <v/>
      </c>
    </row>
    <row r="765" ht="15" customHeight="1">
      <c r="A765" t="inlineStr">
        <is>
          <t>A 46527-2024</t>
        </is>
      </c>
      <c r="B765" s="1" t="n">
        <v>45582</v>
      </c>
      <c r="C765" s="1" t="n">
        <v>45846</v>
      </c>
      <c r="D765" t="inlineStr">
        <is>
          <t>UPPSALA LÄN</t>
        </is>
      </c>
      <c r="E765" t="inlineStr">
        <is>
          <t>TIERP</t>
        </is>
      </c>
      <c r="F765" t="inlineStr">
        <is>
          <t>Bergvik skog väst AB</t>
        </is>
      </c>
      <c r="G765" t="n">
        <v>7.2</v>
      </c>
      <c r="H765" t="n">
        <v>0</v>
      </c>
      <c r="I765" t="n">
        <v>1</v>
      </c>
      <c r="J765" t="n">
        <v>0</v>
      </c>
      <c r="K765" t="n">
        <v>0</v>
      </c>
      <c r="L765" t="n">
        <v>0</v>
      </c>
      <c r="M765" t="n">
        <v>0</v>
      </c>
      <c r="N765" t="n">
        <v>0</v>
      </c>
      <c r="O765" t="n">
        <v>0</v>
      </c>
      <c r="P765" t="n">
        <v>0</v>
      </c>
      <c r="Q765" t="n">
        <v>1</v>
      </c>
      <c r="R765" s="2" t="inlineStr">
        <is>
          <t>Rödgul trumpetsvamp</t>
        </is>
      </c>
      <c r="S765">
        <f>HYPERLINK("https://klasma.github.io/Logging_0360/artfynd/A 46527-2024 artfynd.xlsx", "A 46527-2024")</f>
        <v/>
      </c>
      <c r="T765">
        <f>HYPERLINK("https://klasma.github.io/Logging_0360/kartor/A 46527-2024 karta.png", "A 46527-2024")</f>
        <v/>
      </c>
      <c r="V765">
        <f>HYPERLINK("https://klasma.github.io/Logging_0360/klagomål/A 46527-2024 FSC-klagomål.docx", "A 46527-2024")</f>
        <v/>
      </c>
      <c r="W765">
        <f>HYPERLINK("https://klasma.github.io/Logging_0360/klagomålsmail/A 46527-2024 FSC-klagomål mail.docx", "A 46527-2024")</f>
        <v/>
      </c>
      <c r="X765">
        <f>HYPERLINK("https://klasma.github.io/Logging_0360/tillsyn/A 46527-2024 tillsynsbegäran.docx", "A 46527-2024")</f>
        <v/>
      </c>
      <c r="Y765">
        <f>HYPERLINK("https://klasma.github.io/Logging_0360/tillsynsmail/A 46527-2024 tillsynsbegäran mail.docx", "A 46527-2024")</f>
        <v/>
      </c>
    </row>
    <row r="766" ht="15" customHeight="1">
      <c r="A766" t="inlineStr">
        <is>
          <t>A 46632-2024</t>
        </is>
      </c>
      <c r="B766" s="1" t="n">
        <v>45583</v>
      </c>
      <c r="C766" s="1" t="n">
        <v>45846</v>
      </c>
      <c r="D766" t="inlineStr">
        <is>
          <t>UPPSALA LÄN</t>
        </is>
      </c>
      <c r="E766" t="inlineStr">
        <is>
          <t>ÖSTHAMMAR</t>
        </is>
      </c>
      <c r="F766" t="inlineStr">
        <is>
          <t>Bergvik skog öst AB</t>
        </is>
      </c>
      <c r="G766" t="n">
        <v>5.3</v>
      </c>
      <c r="H766" t="n">
        <v>0</v>
      </c>
      <c r="I766" t="n">
        <v>0</v>
      </c>
      <c r="J766" t="n">
        <v>1</v>
      </c>
      <c r="K766" t="n">
        <v>0</v>
      </c>
      <c r="L766" t="n">
        <v>0</v>
      </c>
      <c r="M766" t="n">
        <v>0</v>
      </c>
      <c r="N766" t="n">
        <v>0</v>
      </c>
      <c r="O766" t="n">
        <v>1</v>
      </c>
      <c r="P766" t="n">
        <v>0</v>
      </c>
      <c r="Q766" t="n">
        <v>1</v>
      </c>
      <c r="R766" s="2" t="inlineStr">
        <is>
          <t>Sexfläckig bastardsvärmare</t>
        </is>
      </c>
      <c r="S766">
        <f>HYPERLINK("https://klasma.github.io/Logging_0382/artfynd/A 46632-2024 artfynd.xlsx", "A 46632-2024")</f>
        <v/>
      </c>
      <c r="T766">
        <f>HYPERLINK("https://klasma.github.io/Logging_0382/kartor/A 46632-2024 karta.png", "A 46632-2024")</f>
        <v/>
      </c>
      <c r="V766">
        <f>HYPERLINK("https://klasma.github.io/Logging_0382/klagomål/A 46632-2024 FSC-klagomål.docx", "A 46632-2024")</f>
        <v/>
      </c>
      <c r="W766">
        <f>HYPERLINK("https://klasma.github.io/Logging_0382/klagomålsmail/A 46632-2024 FSC-klagomål mail.docx", "A 46632-2024")</f>
        <v/>
      </c>
      <c r="X766">
        <f>HYPERLINK("https://klasma.github.io/Logging_0382/tillsyn/A 46632-2024 tillsynsbegäran.docx", "A 46632-2024")</f>
        <v/>
      </c>
      <c r="Y766">
        <f>HYPERLINK("https://klasma.github.io/Logging_0382/tillsynsmail/A 46632-2024 tillsynsbegäran mail.docx", "A 46632-2024")</f>
        <v/>
      </c>
    </row>
    <row r="767" ht="15" customHeight="1">
      <c r="A767" t="inlineStr">
        <is>
          <t>A 46749-2024</t>
        </is>
      </c>
      <c r="B767" s="1" t="n">
        <v>45583</v>
      </c>
      <c r="C767" s="1" t="n">
        <v>45846</v>
      </c>
      <c r="D767" t="inlineStr">
        <is>
          <t>UPPSALA LÄN</t>
        </is>
      </c>
      <c r="E767" t="inlineStr">
        <is>
          <t>ENKÖPING</t>
        </is>
      </c>
      <c r="G767" t="n">
        <v>8.5</v>
      </c>
      <c r="H767" t="n">
        <v>0</v>
      </c>
      <c r="I767" t="n">
        <v>0</v>
      </c>
      <c r="J767" t="n">
        <v>1</v>
      </c>
      <c r="K767" t="n">
        <v>0</v>
      </c>
      <c r="L767" t="n">
        <v>0</v>
      </c>
      <c r="M767" t="n">
        <v>0</v>
      </c>
      <c r="N767" t="n">
        <v>0</v>
      </c>
      <c r="O767" t="n">
        <v>1</v>
      </c>
      <c r="P767" t="n">
        <v>0</v>
      </c>
      <c r="Q767" t="n">
        <v>1</v>
      </c>
      <c r="R767" s="2" t="inlineStr">
        <is>
          <t>Leptoporus erubescens</t>
        </is>
      </c>
      <c r="S767">
        <f>HYPERLINK("https://klasma.github.io/Logging_0381/artfynd/A 46749-2024 artfynd.xlsx", "A 46749-2024")</f>
        <v/>
      </c>
      <c r="T767">
        <f>HYPERLINK("https://klasma.github.io/Logging_0381/kartor/A 46749-2024 karta.png", "A 46749-2024")</f>
        <v/>
      </c>
      <c r="V767">
        <f>HYPERLINK("https://klasma.github.io/Logging_0381/klagomål/A 46749-2024 FSC-klagomål.docx", "A 46749-2024")</f>
        <v/>
      </c>
      <c r="W767">
        <f>HYPERLINK("https://klasma.github.io/Logging_0381/klagomålsmail/A 46749-2024 FSC-klagomål mail.docx", "A 46749-2024")</f>
        <v/>
      </c>
      <c r="X767">
        <f>HYPERLINK("https://klasma.github.io/Logging_0381/tillsyn/A 46749-2024 tillsynsbegäran.docx", "A 46749-2024")</f>
        <v/>
      </c>
      <c r="Y767">
        <f>HYPERLINK("https://klasma.github.io/Logging_0381/tillsynsmail/A 46749-2024 tillsynsbegäran mail.docx", "A 46749-2024")</f>
        <v/>
      </c>
    </row>
    <row r="768" ht="15" customHeight="1">
      <c r="A768" t="inlineStr">
        <is>
          <t>A 46629-2024</t>
        </is>
      </c>
      <c r="B768" s="1" t="n">
        <v>45583</v>
      </c>
      <c r="C768" s="1" t="n">
        <v>45846</v>
      </c>
      <c r="D768" t="inlineStr">
        <is>
          <t>UPPSALA LÄN</t>
        </is>
      </c>
      <c r="E768" t="inlineStr">
        <is>
          <t>ÖSTHAMMAR</t>
        </is>
      </c>
      <c r="F768" t="inlineStr">
        <is>
          <t>Bergvik skog öst AB</t>
        </is>
      </c>
      <c r="G768" t="n">
        <v>0.7</v>
      </c>
      <c r="H768" t="n">
        <v>0</v>
      </c>
      <c r="I768" t="n">
        <v>0</v>
      </c>
      <c r="J768" t="n">
        <v>1</v>
      </c>
      <c r="K768" t="n">
        <v>0</v>
      </c>
      <c r="L768" t="n">
        <v>0</v>
      </c>
      <c r="M768" t="n">
        <v>0</v>
      </c>
      <c r="N768" t="n">
        <v>0</v>
      </c>
      <c r="O768" t="n">
        <v>1</v>
      </c>
      <c r="P768" t="n">
        <v>0</v>
      </c>
      <c r="Q768" t="n">
        <v>1</v>
      </c>
      <c r="R768" s="2" t="inlineStr">
        <is>
          <t>Slåtterfibbla</t>
        </is>
      </c>
      <c r="S768">
        <f>HYPERLINK("https://klasma.github.io/Logging_0382/artfynd/A 46629-2024 artfynd.xlsx", "A 46629-2024")</f>
        <v/>
      </c>
      <c r="T768">
        <f>HYPERLINK("https://klasma.github.io/Logging_0382/kartor/A 46629-2024 karta.png", "A 46629-2024")</f>
        <v/>
      </c>
      <c r="V768">
        <f>HYPERLINK("https://klasma.github.io/Logging_0382/klagomål/A 46629-2024 FSC-klagomål.docx", "A 46629-2024")</f>
        <v/>
      </c>
      <c r="W768">
        <f>HYPERLINK("https://klasma.github.io/Logging_0382/klagomålsmail/A 46629-2024 FSC-klagomål mail.docx", "A 46629-2024")</f>
        <v/>
      </c>
      <c r="X768">
        <f>HYPERLINK("https://klasma.github.io/Logging_0382/tillsyn/A 46629-2024 tillsynsbegäran.docx", "A 46629-2024")</f>
        <v/>
      </c>
      <c r="Y768">
        <f>HYPERLINK("https://klasma.github.io/Logging_0382/tillsynsmail/A 46629-2024 tillsynsbegäran mail.docx", "A 46629-2024")</f>
        <v/>
      </c>
    </row>
    <row r="769" ht="15" customHeight="1">
      <c r="A769" t="inlineStr">
        <is>
          <t>A 47168-2024</t>
        </is>
      </c>
      <c r="B769" s="1" t="n">
        <v>45586</v>
      </c>
      <c r="C769" s="1" t="n">
        <v>45846</v>
      </c>
      <c r="D769" t="inlineStr">
        <is>
          <t>UPPSALA LÄN</t>
        </is>
      </c>
      <c r="E769" t="inlineStr">
        <is>
          <t>ENKÖPING</t>
        </is>
      </c>
      <c r="G769" t="n">
        <v>7.3</v>
      </c>
      <c r="H769" t="n">
        <v>0</v>
      </c>
      <c r="I769" t="n">
        <v>1</v>
      </c>
      <c r="J769" t="n">
        <v>0</v>
      </c>
      <c r="K769" t="n">
        <v>0</v>
      </c>
      <c r="L769" t="n">
        <v>0</v>
      </c>
      <c r="M769" t="n">
        <v>0</v>
      </c>
      <c r="N769" t="n">
        <v>0</v>
      </c>
      <c r="O769" t="n">
        <v>0</v>
      </c>
      <c r="P769" t="n">
        <v>0</v>
      </c>
      <c r="Q769" t="n">
        <v>1</v>
      </c>
      <c r="R769" s="2" t="inlineStr">
        <is>
          <t>Svavelriska</t>
        </is>
      </c>
      <c r="S769">
        <f>HYPERLINK("https://klasma.github.io/Logging_0381/artfynd/A 47168-2024 artfynd.xlsx", "A 47168-2024")</f>
        <v/>
      </c>
      <c r="T769">
        <f>HYPERLINK("https://klasma.github.io/Logging_0381/kartor/A 47168-2024 karta.png", "A 47168-2024")</f>
        <v/>
      </c>
      <c r="V769">
        <f>HYPERLINK("https://klasma.github.io/Logging_0381/klagomål/A 47168-2024 FSC-klagomål.docx", "A 47168-2024")</f>
        <v/>
      </c>
      <c r="W769">
        <f>HYPERLINK("https://klasma.github.io/Logging_0381/klagomålsmail/A 47168-2024 FSC-klagomål mail.docx", "A 47168-2024")</f>
        <v/>
      </c>
      <c r="X769">
        <f>HYPERLINK("https://klasma.github.io/Logging_0381/tillsyn/A 47168-2024 tillsynsbegäran.docx", "A 47168-2024")</f>
        <v/>
      </c>
      <c r="Y769">
        <f>HYPERLINK("https://klasma.github.io/Logging_0381/tillsynsmail/A 47168-2024 tillsynsbegäran mail.docx", "A 47168-2024")</f>
        <v/>
      </c>
    </row>
    <row r="770" ht="15" customHeight="1">
      <c r="A770" t="inlineStr">
        <is>
          <t>A 48722-2024</t>
        </is>
      </c>
      <c r="B770" s="1" t="n">
        <v>45593</v>
      </c>
      <c r="C770" s="1" t="n">
        <v>45846</v>
      </c>
      <c r="D770" t="inlineStr">
        <is>
          <t>UPPSALA LÄN</t>
        </is>
      </c>
      <c r="E770" t="inlineStr">
        <is>
          <t>HEBY</t>
        </is>
      </c>
      <c r="F770" t="inlineStr">
        <is>
          <t>Allmännings- och besparingsskogar</t>
        </is>
      </c>
      <c r="G770" t="n">
        <v>9.6</v>
      </c>
      <c r="H770" t="n">
        <v>0</v>
      </c>
      <c r="I770" t="n">
        <v>0</v>
      </c>
      <c r="J770" t="n">
        <v>1</v>
      </c>
      <c r="K770" t="n">
        <v>0</v>
      </c>
      <c r="L770" t="n">
        <v>0</v>
      </c>
      <c r="M770" t="n">
        <v>0</v>
      </c>
      <c r="N770" t="n">
        <v>0</v>
      </c>
      <c r="O770" t="n">
        <v>1</v>
      </c>
      <c r="P770" t="n">
        <v>0</v>
      </c>
      <c r="Q770" t="n">
        <v>1</v>
      </c>
      <c r="R770" s="2" t="inlineStr">
        <is>
          <t>Blå taggsvamp</t>
        </is>
      </c>
      <c r="S770">
        <f>HYPERLINK("https://klasma.github.io/Logging_0331/artfynd/A 48722-2024 artfynd.xlsx", "A 48722-2024")</f>
        <v/>
      </c>
      <c r="T770">
        <f>HYPERLINK("https://klasma.github.io/Logging_0331/kartor/A 48722-2024 karta.png", "A 48722-2024")</f>
        <v/>
      </c>
      <c r="V770">
        <f>HYPERLINK("https://klasma.github.io/Logging_0331/klagomål/A 48722-2024 FSC-klagomål.docx", "A 48722-2024")</f>
        <v/>
      </c>
      <c r="W770">
        <f>HYPERLINK("https://klasma.github.io/Logging_0331/klagomålsmail/A 48722-2024 FSC-klagomål mail.docx", "A 48722-2024")</f>
        <v/>
      </c>
      <c r="X770">
        <f>HYPERLINK("https://klasma.github.io/Logging_0331/tillsyn/A 48722-2024 tillsynsbegäran.docx", "A 48722-2024")</f>
        <v/>
      </c>
      <c r="Y770">
        <f>HYPERLINK("https://klasma.github.io/Logging_0331/tillsynsmail/A 48722-2024 tillsynsbegäran mail.docx", "A 48722-2024")</f>
        <v/>
      </c>
    </row>
    <row r="771" ht="15" customHeight="1">
      <c r="A771" t="inlineStr">
        <is>
          <t>A 49692-2024</t>
        </is>
      </c>
      <c r="B771" s="1" t="n">
        <v>45596</v>
      </c>
      <c r="C771" s="1" t="n">
        <v>45846</v>
      </c>
      <c r="D771" t="inlineStr">
        <is>
          <t>UPPSALA LÄN</t>
        </is>
      </c>
      <c r="E771" t="inlineStr">
        <is>
          <t>TIERP</t>
        </is>
      </c>
      <c r="G771" t="n">
        <v>3.7</v>
      </c>
      <c r="H771" t="n">
        <v>1</v>
      </c>
      <c r="I771" t="n">
        <v>0</v>
      </c>
      <c r="J771" t="n">
        <v>0</v>
      </c>
      <c r="K771" t="n">
        <v>0</v>
      </c>
      <c r="L771" t="n">
        <v>0</v>
      </c>
      <c r="M771" t="n">
        <v>0</v>
      </c>
      <c r="N771" t="n">
        <v>0</v>
      </c>
      <c r="O771" t="n">
        <v>0</v>
      </c>
      <c r="P771" t="n">
        <v>0</v>
      </c>
      <c r="Q771" t="n">
        <v>1</v>
      </c>
      <c r="R771" s="2" t="inlineStr">
        <is>
          <t>Mattlummer</t>
        </is>
      </c>
      <c r="S771">
        <f>HYPERLINK("https://klasma.github.io/Logging_0360/artfynd/A 49692-2024 artfynd.xlsx", "A 49692-2024")</f>
        <v/>
      </c>
      <c r="T771">
        <f>HYPERLINK("https://klasma.github.io/Logging_0360/kartor/A 49692-2024 karta.png", "A 49692-2024")</f>
        <v/>
      </c>
      <c r="V771">
        <f>HYPERLINK("https://klasma.github.io/Logging_0360/klagomål/A 49692-2024 FSC-klagomål.docx", "A 49692-2024")</f>
        <v/>
      </c>
      <c r="W771">
        <f>HYPERLINK("https://klasma.github.io/Logging_0360/klagomålsmail/A 49692-2024 FSC-klagomål mail.docx", "A 49692-2024")</f>
        <v/>
      </c>
      <c r="X771">
        <f>HYPERLINK("https://klasma.github.io/Logging_0360/tillsyn/A 49692-2024 tillsynsbegäran.docx", "A 49692-2024")</f>
        <v/>
      </c>
      <c r="Y771">
        <f>HYPERLINK("https://klasma.github.io/Logging_0360/tillsynsmail/A 49692-2024 tillsynsbegäran mail.docx", "A 49692-2024")</f>
        <v/>
      </c>
    </row>
    <row r="772" ht="15" customHeight="1">
      <c r="A772" t="inlineStr">
        <is>
          <t>A 50039-2024</t>
        </is>
      </c>
      <c r="B772" s="1" t="n">
        <v>45600</v>
      </c>
      <c r="C772" s="1" t="n">
        <v>45846</v>
      </c>
      <c r="D772" t="inlineStr">
        <is>
          <t>UPPSALA LÄN</t>
        </is>
      </c>
      <c r="E772" t="inlineStr">
        <is>
          <t>KNIVSTA</t>
        </is>
      </c>
      <c r="G772" t="n">
        <v>2</v>
      </c>
      <c r="H772" t="n">
        <v>0</v>
      </c>
      <c r="I772" t="n">
        <v>1</v>
      </c>
      <c r="J772" t="n">
        <v>0</v>
      </c>
      <c r="K772" t="n">
        <v>0</v>
      </c>
      <c r="L772" t="n">
        <v>0</v>
      </c>
      <c r="M772" t="n">
        <v>0</v>
      </c>
      <c r="N772" t="n">
        <v>0</v>
      </c>
      <c r="O772" t="n">
        <v>0</v>
      </c>
      <c r="P772" t="n">
        <v>0</v>
      </c>
      <c r="Q772" t="n">
        <v>1</v>
      </c>
      <c r="R772" s="2" t="inlineStr">
        <is>
          <t>Tallfingersvamp</t>
        </is>
      </c>
      <c r="S772">
        <f>HYPERLINK("https://klasma.github.io/Logging_0330/artfynd/A 50039-2024 artfynd.xlsx", "A 50039-2024")</f>
        <v/>
      </c>
      <c r="T772">
        <f>HYPERLINK("https://klasma.github.io/Logging_0330/kartor/A 50039-2024 karta.png", "A 50039-2024")</f>
        <v/>
      </c>
      <c r="V772">
        <f>HYPERLINK("https://klasma.github.io/Logging_0330/klagomål/A 50039-2024 FSC-klagomål.docx", "A 50039-2024")</f>
        <v/>
      </c>
      <c r="W772">
        <f>HYPERLINK("https://klasma.github.io/Logging_0330/klagomålsmail/A 50039-2024 FSC-klagomål mail.docx", "A 50039-2024")</f>
        <v/>
      </c>
      <c r="X772">
        <f>HYPERLINK("https://klasma.github.io/Logging_0330/tillsyn/A 50039-2024 tillsynsbegäran.docx", "A 50039-2024")</f>
        <v/>
      </c>
      <c r="Y772">
        <f>HYPERLINK("https://klasma.github.io/Logging_0330/tillsynsmail/A 50039-2024 tillsynsbegäran mail.docx", "A 50039-2024")</f>
        <v/>
      </c>
    </row>
    <row r="773" ht="15" customHeight="1">
      <c r="A773" t="inlineStr">
        <is>
          <t>A 53590-2024</t>
        </is>
      </c>
      <c r="B773" s="1" t="n">
        <v>45614</v>
      </c>
      <c r="C773" s="1" t="n">
        <v>45846</v>
      </c>
      <c r="D773" t="inlineStr">
        <is>
          <t>UPPSALA LÄN</t>
        </is>
      </c>
      <c r="E773" t="inlineStr">
        <is>
          <t>ENKÖPING</t>
        </is>
      </c>
      <c r="G773" t="n">
        <v>1</v>
      </c>
      <c r="H773" t="n">
        <v>0</v>
      </c>
      <c r="I773" t="n">
        <v>0</v>
      </c>
      <c r="J773" t="n">
        <v>1</v>
      </c>
      <c r="K773" t="n">
        <v>0</v>
      </c>
      <c r="L773" t="n">
        <v>0</v>
      </c>
      <c r="M773" t="n">
        <v>0</v>
      </c>
      <c r="N773" t="n">
        <v>0</v>
      </c>
      <c r="O773" t="n">
        <v>1</v>
      </c>
      <c r="P773" t="n">
        <v>0</v>
      </c>
      <c r="Q773" t="n">
        <v>1</v>
      </c>
      <c r="R773" s="2" t="inlineStr">
        <is>
          <t>Humlerotfjäril</t>
        </is>
      </c>
      <c r="S773">
        <f>HYPERLINK("https://klasma.github.io/Logging_0381/artfynd/A 53590-2024 artfynd.xlsx", "A 53590-2024")</f>
        <v/>
      </c>
      <c r="T773">
        <f>HYPERLINK("https://klasma.github.io/Logging_0381/kartor/A 53590-2024 karta.png", "A 53590-2024")</f>
        <v/>
      </c>
      <c r="V773">
        <f>HYPERLINK("https://klasma.github.io/Logging_0381/klagomål/A 53590-2024 FSC-klagomål.docx", "A 53590-2024")</f>
        <v/>
      </c>
      <c r="W773">
        <f>HYPERLINK("https://klasma.github.io/Logging_0381/klagomålsmail/A 53590-2024 FSC-klagomål mail.docx", "A 53590-2024")</f>
        <v/>
      </c>
      <c r="X773">
        <f>HYPERLINK("https://klasma.github.io/Logging_0381/tillsyn/A 53590-2024 tillsynsbegäran.docx", "A 53590-2024")</f>
        <v/>
      </c>
      <c r="Y773">
        <f>HYPERLINK("https://klasma.github.io/Logging_0381/tillsynsmail/A 53590-2024 tillsynsbegäran mail.docx", "A 53590-2024")</f>
        <v/>
      </c>
    </row>
    <row r="774" ht="15" customHeight="1">
      <c r="A774" t="inlineStr">
        <is>
          <t>A 53866-2024</t>
        </is>
      </c>
      <c r="B774" s="1" t="n">
        <v>45614</v>
      </c>
      <c r="C774" s="1" t="n">
        <v>45846</v>
      </c>
      <c r="D774" t="inlineStr">
        <is>
          <t>UPPSALA LÄN</t>
        </is>
      </c>
      <c r="E774" t="inlineStr">
        <is>
          <t>HÅBO</t>
        </is>
      </c>
      <c r="G774" t="n">
        <v>2.9</v>
      </c>
      <c r="H774" t="n">
        <v>1</v>
      </c>
      <c r="I774" t="n">
        <v>0</v>
      </c>
      <c r="J774" t="n">
        <v>0</v>
      </c>
      <c r="K774" t="n">
        <v>0</v>
      </c>
      <c r="L774" t="n">
        <v>0</v>
      </c>
      <c r="M774" t="n">
        <v>0</v>
      </c>
      <c r="N774" t="n">
        <v>0</v>
      </c>
      <c r="O774" t="n">
        <v>0</v>
      </c>
      <c r="P774" t="n">
        <v>0</v>
      </c>
      <c r="Q774" t="n">
        <v>1</v>
      </c>
      <c r="R774" s="2" t="inlineStr">
        <is>
          <t>Nattviol</t>
        </is>
      </c>
      <c r="S774">
        <f>HYPERLINK("https://klasma.github.io/Logging_0305/artfynd/A 53866-2024 artfynd.xlsx", "A 53866-2024")</f>
        <v/>
      </c>
      <c r="T774">
        <f>HYPERLINK("https://klasma.github.io/Logging_0305/kartor/A 53866-2024 karta.png", "A 53866-2024")</f>
        <v/>
      </c>
      <c r="V774">
        <f>HYPERLINK("https://klasma.github.io/Logging_0305/klagomål/A 53866-2024 FSC-klagomål.docx", "A 53866-2024")</f>
        <v/>
      </c>
      <c r="W774">
        <f>HYPERLINK("https://klasma.github.io/Logging_0305/klagomålsmail/A 53866-2024 FSC-klagomål mail.docx", "A 53866-2024")</f>
        <v/>
      </c>
      <c r="X774">
        <f>HYPERLINK("https://klasma.github.io/Logging_0305/tillsyn/A 53866-2024 tillsynsbegäran.docx", "A 53866-2024")</f>
        <v/>
      </c>
      <c r="Y774">
        <f>HYPERLINK("https://klasma.github.io/Logging_0305/tillsynsmail/A 53866-2024 tillsynsbegäran mail.docx", "A 53866-2024")</f>
        <v/>
      </c>
    </row>
    <row r="775" ht="15" customHeight="1">
      <c r="A775" t="inlineStr">
        <is>
          <t>A 54144-2024</t>
        </is>
      </c>
      <c r="B775" s="1" t="n">
        <v>45616</v>
      </c>
      <c r="C775" s="1" t="n">
        <v>45846</v>
      </c>
      <c r="D775" t="inlineStr">
        <is>
          <t>UPPSALA LÄN</t>
        </is>
      </c>
      <c r="E775" t="inlineStr">
        <is>
          <t>UPPSALA</t>
        </is>
      </c>
      <c r="G775" t="n">
        <v>3.2</v>
      </c>
      <c r="H775" t="n">
        <v>0</v>
      </c>
      <c r="I775" t="n">
        <v>1</v>
      </c>
      <c r="J775" t="n">
        <v>0</v>
      </c>
      <c r="K775" t="n">
        <v>0</v>
      </c>
      <c r="L775" t="n">
        <v>0</v>
      </c>
      <c r="M775" t="n">
        <v>0</v>
      </c>
      <c r="N775" t="n">
        <v>0</v>
      </c>
      <c r="O775" t="n">
        <v>0</v>
      </c>
      <c r="P775" t="n">
        <v>0</v>
      </c>
      <c r="Q775" t="n">
        <v>1</v>
      </c>
      <c r="R775" s="2" t="inlineStr">
        <is>
          <t>Svavelriska</t>
        </is>
      </c>
      <c r="S775">
        <f>HYPERLINK("https://klasma.github.io/Logging_0380/artfynd/A 54144-2024 artfynd.xlsx", "A 54144-2024")</f>
        <v/>
      </c>
      <c r="T775">
        <f>HYPERLINK("https://klasma.github.io/Logging_0380/kartor/A 54144-2024 karta.png", "A 54144-2024")</f>
        <v/>
      </c>
      <c r="V775">
        <f>HYPERLINK("https://klasma.github.io/Logging_0380/klagomål/A 54144-2024 FSC-klagomål.docx", "A 54144-2024")</f>
        <v/>
      </c>
      <c r="W775">
        <f>HYPERLINK("https://klasma.github.io/Logging_0380/klagomålsmail/A 54144-2024 FSC-klagomål mail.docx", "A 54144-2024")</f>
        <v/>
      </c>
      <c r="X775">
        <f>HYPERLINK("https://klasma.github.io/Logging_0380/tillsyn/A 54144-2024 tillsynsbegäran.docx", "A 54144-2024")</f>
        <v/>
      </c>
      <c r="Y775">
        <f>HYPERLINK("https://klasma.github.io/Logging_0380/tillsynsmail/A 54144-2024 tillsynsbegäran mail.docx", "A 54144-2024")</f>
        <v/>
      </c>
    </row>
    <row r="776" ht="15" customHeight="1">
      <c r="A776" t="inlineStr">
        <is>
          <t>A 54368-2024</t>
        </is>
      </c>
      <c r="B776" s="1" t="n">
        <v>45617</v>
      </c>
      <c r="C776" s="1" t="n">
        <v>45846</v>
      </c>
      <c r="D776" t="inlineStr">
        <is>
          <t>UPPSALA LÄN</t>
        </is>
      </c>
      <c r="E776" t="inlineStr">
        <is>
          <t>HEBY</t>
        </is>
      </c>
      <c r="F776" t="inlineStr">
        <is>
          <t>Allmännings- och besparingsskogar</t>
        </is>
      </c>
      <c r="G776" t="n">
        <v>13.9</v>
      </c>
      <c r="H776" t="n">
        <v>1</v>
      </c>
      <c r="I776" t="n">
        <v>0</v>
      </c>
      <c r="J776" t="n">
        <v>1</v>
      </c>
      <c r="K776" t="n">
        <v>0</v>
      </c>
      <c r="L776" t="n">
        <v>0</v>
      </c>
      <c r="M776" t="n">
        <v>0</v>
      </c>
      <c r="N776" t="n">
        <v>0</v>
      </c>
      <c r="O776" t="n">
        <v>1</v>
      </c>
      <c r="P776" t="n">
        <v>0</v>
      </c>
      <c r="Q776" t="n">
        <v>1</v>
      </c>
      <c r="R776" s="2" t="inlineStr">
        <is>
          <t>Talltita</t>
        </is>
      </c>
      <c r="S776">
        <f>HYPERLINK("https://klasma.github.io/Logging_0331/artfynd/A 54368-2024 artfynd.xlsx", "A 54368-2024")</f>
        <v/>
      </c>
      <c r="T776">
        <f>HYPERLINK("https://klasma.github.io/Logging_0331/kartor/A 54368-2024 karta.png", "A 54368-2024")</f>
        <v/>
      </c>
      <c r="V776">
        <f>HYPERLINK("https://klasma.github.io/Logging_0331/klagomål/A 54368-2024 FSC-klagomål.docx", "A 54368-2024")</f>
        <v/>
      </c>
      <c r="W776">
        <f>HYPERLINK("https://klasma.github.io/Logging_0331/klagomålsmail/A 54368-2024 FSC-klagomål mail.docx", "A 54368-2024")</f>
        <v/>
      </c>
      <c r="X776">
        <f>HYPERLINK("https://klasma.github.io/Logging_0331/tillsyn/A 54368-2024 tillsynsbegäran.docx", "A 54368-2024")</f>
        <v/>
      </c>
      <c r="Y776">
        <f>HYPERLINK("https://klasma.github.io/Logging_0331/tillsynsmail/A 54368-2024 tillsynsbegäran mail.docx", "A 54368-2024")</f>
        <v/>
      </c>
      <c r="Z776">
        <f>HYPERLINK("https://klasma.github.io/Logging_0331/fåglar/A 54368-2024 prioriterade fågelarter.docx", "A 54368-2024")</f>
        <v/>
      </c>
    </row>
    <row r="777" ht="15" customHeight="1">
      <c r="A777" t="inlineStr">
        <is>
          <t>A 55331-2024</t>
        </is>
      </c>
      <c r="B777" s="1" t="n">
        <v>45621</v>
      </c>
      <c r="C777" s="1" t="n">
        <v>45846</v>
      </c>
      <c r="D777" t="inlineStr">
        <is>
          <t>UPPSALA LÄN</t>
        </is>
      </c>
      <c r="E777" t="inlineStr">
        <is>
          <t>TIERP</t>
        </is>
      </c>
      <c r="F777" t="inlineStr">
        <is>
          <t>Bergvik skog väst AB</t>
        </is>
      </c>
      <c r="G777" t="n">
        <v>7.3</v>
      </c>
      <c r="H777" t="n">
        <v>1</v>
      </c>
      <c r="I777" t="n">
        <v>0</v>
      </c>
      <c r="J777" t="n">
        <v>1</v>
      </c>
      <c r="K777" t="n">
        <v>0</v>
      </c>
      <c r="L777" t="n">
        <v>0</v>
      </c>
      <c r="M777" t="n">
        <v>0</v>
      </c>
      <c r="N777" t="n">
        <v>0</v>
      </c>
      <c r="O777" t="n">
        <v>1</v>
      </c>
      <c r="P777" t="n">
        <v>0</v>
      </c>
      <c r="Q777" t="n">
        <v>1</v>
      </c>
      <c r="R777" s="2" t="inlineStr">
        <is>
          <t>Talltita</t>
        </is>
      </c>
      <c r="S777">
        <f>HYPERLINK("https://klasma.github.io/Logging_0360/artfynd/A 55331-2024 artfynd.xlsx", "A 55331-2024")</f>
        <v/>
      </c>
      <c r="T777">
        <f>HYPERLINK("https://klasma.github.io/Logging_0360/kartor/A 55331-2024 karta.png", "A 55331-2024")</f>
        <v/>
      </c>
      <c r="V777">
        <f>HYPERLINK("https://klasma.github.io/Logging_0360/klagomål/A 55331-2024 FSC-klagomål.docx", "A 55331-2024")</f>
        <v/>
      </c>
      <c r="W777">
        <f>HYPERLINK("https://klasma.github.io/Logging_0360/klagomålsmail/A 55331-2024 FSC-klagomål mail.docx", "A 55331-2024")</f>
        <v/>
      </c>
      <c r="X777">
        <f>HYPERLINK("https://klasma.github.io/Logging_0360/tillsyn/A 55331-2024 tillsynsbegäran.docx", "A 55331-2024")</f>
        <v/>
      </c>
      <c r="Y777">
        <f>HYPERLINK("https://klasma.github.io/Logging_0360/tillsynsmail/A 55331-2024 tillsynsbegäran mail.docx", "A 55331-2024")</f>
        <v/>
      </c>
      <c r="Z777">
        <f>HYPERLINK("https://klasma.github.io/Logging_0360/fåglar/A 55331-2024 prioriterade fågelarter.docx", "A 55331-2024")</f>
        <v/>
      </c>
    </row>
    <row r="778" ht="15" customHeight="1">
      <c r="A778" t="inlineStr">
        <is>
          <t>A 55082-2024</t>
        </is>
      </c>
      <c r="B778" s="1" t="n">
        <v>45621</v>
      </c>
      <c r="C778" s="1" t="n">
        <v>45846</v>
      </c>
      <c r="D778" t="inlineStr">
        <is>
          <t>UPPSALA LÄN</t>
        </is>
      </c>
      <c r="E778" t="inlineStr">
        <is>
          <t>HEBY</t>
        </is>
      </c>
      <c r="G778" t="n">
        <v>5.2</v>
      </c>
      <c r="H778" t="n">
        <v>0</v>
      </c>
      <c r="I778" t="n">
        <v>0</v>
      </c>
      <c r="J778" t="n">
        <v>1</v>
      </c>
      <c r="K778" t="n">
        <v>0</v>
      </c>
      <c r="L778" t="n">
        <v>0</v>
      </c>
      <c r="M778" t="n">
        <v>0</v>
      </c>
      <c r="N778" t="n">
        <v>0</v>
      </c>
      <c r="O778" t="n">
        <v>1</v>
      </c>
      <c r="P778" t="n">
        <v>0</v>
      </c>
      <c r="Q778" t="n">
        <v>1</v>
      </c>
      <c r="R778" s="2" t="inlineStr">
        <is>
          <t>Kolflarnlav</t>
        </is>
      </c>
      <c r="S778">
        <f>HYPERLINK("https://klasma.github.io/Logging_0331/artfynd/A 55082-2024 artfynd.xlsx", "A 55082-2024")</f>
        <v/>
      </c>
      <c r="T778">
        <f>HYPERLINK("https://klasma.github.io/Logging_0331/kartor/A 55082-2024 karta.png", "A 55082-2024")</f>
        <v/>
      </c>
      <c r="V778">
        <f>HYPERLINK("https://klasma.github.io/Logging_0331/klagomål/A 55082-2024 FSC-klagomål.docx", "A 55082-2024")</f>
        <v/>
      </c>
      <c r="W778">
        <f>HYPERLINK("https://klasma.github.io/Logging_0331/klagomålsmail/A 55082-2024 FSC-klagomål mail.docx", "A 55082-2024")</f>
        <v/>
      </c>
      <c r="X778">
        <f>HYPERLINK("https://klasma.github.io/Logging_0331/tillsyn/A 55082-2024 tillsynsbegäran.docx", "A 55082-2024")</f>
        <v/>
      </c>
      <c r="Y778">
        <f>HYPERLINK("https://klasma.github.io/Logging_0331/tillsynsmail/A 55082-2024 tillsynsbegäran mail.docx", "A 55082-2024")</f>
        <v/>
      </c>
    </row>
    <row r="779" ht="15" customHeight="1">
      <c r="A779" t="inlineStr">
        <is>
          <t>A 55169-2024</t>
        </is>
      </c>
      <c r="B779" s="1" t="n">
        <v>45621</v>
      </c>
      <c r="C779" s="1" t="n">
        <v>45846</v>
      </c>
      <c r="D779" t="inlineStr">
        <is>
          <t>UPPSALA LÄN</t>
        </is>
      </c>
      <c r="E779" t="inlineStr">
        <is>
          <t>ÖSTHAMMAR</t>
        </is>
      </c>
      <c r="G779" t="n">
        <v>1.1</v>
      </c>
      <c r="H779" t="n">
        <v>0</v>
      </c>
      <c r="I779" t="n">
        <v>1</v>
      </c>
      <c r="J779" t="n">
        <v>0</v>
      </c>
      <c r="K779" t="n">
        <v>0</v>
      </c>
      <c r="L779" t="n">
        <v>0</v>
      </c>
      <c r="M779" t="n">
        <v>0</v>
      </c>
      <c r="N779" t="n">
        <v>0</v>
      </c>
      <c r="O779" t="n">
        <v>0</v>
      </c>
      <c r="P779" t="n">
        <v>0</v>
      </c>
      <c r="Q779" t="n">
        <v>1</v>
      </c>
      <c r="R779" s="2" t="inlineStr">
        <is>
          <t>Svavelriska</t>
        </is>
      </c>
      <c r="S779">
        <f>HYPERLINK("https://klasma.github.io/Logging_0382/artfynd/A 55169-2024 artfynd.xlsx", "A 55169-2024")</f>
        <v/>
      </c>
      <c r="T779">
        <f>HYPERLINK("https://klasma.github.io/Logging_0382/kartor/A 55169-2024 karta.png", "A 55169-2024")</f>
        <v/>
      </c>
      <c r="V779">
        <f>HYPERLINK("https://klasma.github.io/Logging_0382/klagomål/A 55169-2024 FSC-klagomål.docx", "A 55169-2024")</f>
        <v/>
      </c>
      <c r="W779">
        <f>HYPERLINK("https://klasma.github.io/Logging_0382/klagomålsmail/A 55169-2024 FSC-klagomål mail.docx", "A 55169-2024")</f>
        <v/>
      </c>
      <c r="X779">
        <f>HYPERLINK("https://klasma.github.io/Logging_0382/tillsyn/A 55169-2024 tillsynsbegäran.docx", "A 55169-2024")</f>
        <v/>
      </c>
      <c r="Y779">
        <f>HYPERLINK("https://klasma.github.io/Logging_0382/tillsynsmail/A 55169-2024 tillsynsbegäran mail.docx", "A 55169-2024")</f>
        <v/>
      </c>
    </row>
    <row r="780" ht="15" customHeight="1">
      <c r="A780" t="inlineStr">
        <is>
          <t>A 55663-2024</t>
        </is>
      </c>
      <c r="B780" s="1" t="n">
        <v>45622</v>
      </c>
      <c r="C780" s="1" t="n">
        <v>45846</v>
      </c>
      <c r="D780" t="inlineStr">
        <is>
          <t>UPPSALA LÄN</t>
        </is>
      </c>
      <c r="E780" t="inlineStr">
        <is>
          <t>HEBY</t>
        </is>
      </c>
      <c r="F780" t="inlineStr">
        <is>
          <t>Bergvik skog väst AB</t>
        </is>
      </c>
      <c r="G780" t="n">
        <v>4.5</v>
      </c>
      <c r="H780" t="n">
        <v>0</v>
      </c>
      <c r="I780" t="n">
        <v>0</v>
      </c>
      <c r="J780" t="n">
        <v>1</v>
      </c>
      <c r="K780" t="n">
        <v>0</v>
      </c>
      <c r="L780" t="n">
        <v>0</v>
      </c>
      <c r="M780" t="n">
        <v>0</v>
      </c>
      <c r="N780" t="n">
        <v>0</v>
      </c>
      <c r="O780" t="n">
        <v>1</v>
      </c>
      <c r="P780" t="n">
        <v>0</v>
      </c>
      <c r="Q780" t="n">
        <v>1</v>
      </c>
      <c r="R780" s="2" t="inlineStr">
        <is>
          <t>Ullticka</t>
        </is>
      </c>
      <c r="S780">
        <f>HYPERLINK("https://klasma.github.io/Logging_0331/artfynd/A 55663-2024 artfynd.xlsx", "A 55663-2024")</f>
        <v/>
      </c>
      <c r="T780">
        <f>HYPERLINK("https://klasma.github.io/Logging_0331/kartor/A 55663-2024 karta.png", "A 55663-2024")</f>
        <v/>
      </c>
      <c r="V780">
        <f>HYPERLINK("https://klasma.github.io/Logging_0331/klagomål/A 55663-2024 FSC-klagomål.docx", "A 55663-2024")</f>
        <v/>
      </c>
      <c r="W780">
        <f>HYPERLINK("https://klasma.github.io/Logging_0331/klagomålsmail/A 55663-2024 FSC-klagomål mail.docx", "A 55663-2024")</f>
        <v/>
      </c>
      <c r="X780">
        <f>HYPERLINK("https://klasma.github.io/Logging_0331/tillsyn/A 55663-2024 tillsynsbegäran.docx", "A 55663-2024")</f>
        <v/>
      </c>
      <c r="Y780">
        <f>HYPERLINK("https://klasma.github.io/Logging_0331/tillsynsmail/A 55663-2024 tillsynsbegäran mail.docx", "A 55663-2024")</f>
        <v/>
      </c>
    </row>
    <row r="781" ht="15" customHeight="1">
      <c r="A781" t="inlineStr">
        <is>
          <t>A 57398-2024</t>
        </is>
      </c>
      <c r="B781" s="1" t="n">
        <v>45629</v>
      </c>
      <c r="C781" s="1" t="n">
        <v>45846</v>
      </c>
      <c r="D781" t="inlineStr">
        <is>
          <t>UPPSALA LÄN</t>
        </is>
      </c>
      <c r="E781" t="inlineStr">
        <is>
          <t>TIERP</t>
        </is>
      </c>
      <c r="G781" t="n">
        <v>2.2</v>
      </c>
      <c r="H781" t="n">
        <v>0</v>
      </c>
      <c r="I781" t="n">
        <v>0</v>
      </c>
      <c r="J781" t="n">
        <v>0</v>
      </c>
      <c r="K781" t="n">
        <v>1</v>
      </c>
      <c r="L781" t="n">
        <v>0</v>
      </c>
      <c r="M781" t="n">
        <v>0</v>
      </c>
      <c r="N781" t="n">
        <v>0</v>
      </c>
      <c r="O781" t="n">
        <v>1</v>
      </c>
      <c r="P781" t="n">
        <v>1</v>
      </c>
      <c r="Q781" t="n">
        <v>1</v>
      </c>
      <c r="R781" s="2" t="inlineStr">
        <is>
          <t>Ängsskäreplattmal</t>
        </is>
      </c>
      <c r="S781">
        <f>HYPERLINK("https://klasma.github.io/Logging_0360/artfynd/A 57398-2024 artfynd.xlsx", "A 57398-2024")</f>
        <v/>
      </c>
      <c r="T781">
        <f>HYPERLINK("https://klasma.github.io/Logging_0360/kartor/A 57398-2024 karta.png", "A 57398-2024")</f>
        <v/>
      </c>
      <c r="V781">
        <f>HYPERLINK("https://klasma.github.io/Logging_0360/klagomål/A 57398-2024 FSC-klagomål.docx", "A 57398-2024")</f>
        <v/>
      </c>
      <c r="W781">
        <f>HYPERLINK("https://klasma.github.io/Logging_0360/klagomålsmail/A 57398-2024 FSC-klagomål mail.docx", "A 57398-2024")</f>
        <v/>
      </c>
      <c r="X781">
        <f>HYPERLINK("https://klasma.github.io/Logging_0360/tillsyn/A 57398-2024 tillsynsbegäran.docx", "A 57398-2024")</f>
        <v/>
      </c>
      <c r="Y781">
        <f>HYPERLINK("https://klasma.github.io/Logging_0360/tillsynsmail/A 57398-2024 tillsynsbegäran mail.docx", "A 57398-2024")</f>
        <v/>
      </c>
    </row>
    <row r="782" ht="15" customHeight="1">
      <c r="A782" t="inlineStr">
        <is>
          <t>A 58107-2024</t>
        </is>
      </c>
      <c r="B782" s="1" t="n">
        <v>45632</v>
      </c>
      <c r="C782" s="1" t="n">
        <v>45846</v>
      </c>
      <c r="D782" t="inlineStr">
        <is>
          <t>UPPSALA LÄN</t>
        </is>
      </c>
      <c r="E782" t="inlineStr">
        <is>
          <t>TIERP</t>
        </is>
      </c>
      <c r="G782" t="n">
        <v>0.6</v>
      </c>
      <c r="H782" t="n">
        <v>1</v>
      </c>
      <c r="I782" t="n">
        <v>1</v>
      </c>
      <c r="J782" t="n">
        <v>0</v>
      </c>
      <c r="K782" t="n">
        <v>0</v>
      </c>
      <c r="L782" t="n">
        <v>0</v>
      </c>
      <c r="M782" t="n">
        <v>0</v>
      </c>
      <c r="N782" t="n">
        <v>0</v>
      </c>
      <c r="O782" t="n">
        <v>0</v>
      </c>
      <c r="P782" t="n">
        <v>0</v>
      </c>
      <c r="Q782" t="n">
        <v>1</v>
      </c>
      <c r="R782" s="2" t="inlineStr">
        <is>
          <t>Skogsknipprot</t>
        </is>
      </c>
      <c r="S782">
        <f>HYPERLINK("https://klasma.github.io/Logging_0360/artfynd/A 58107-2024 artfynd.xlsx", "A 58107-2024")</f>
        <v/>
      </c>
      <c r="T782">
        <f>HYPERLINK("https://klasma.github.io/Logging_0360/kartor/A 58107-2024 karta.png", "A 58107-2024")</f>
        <v/>
      </c>
      <c r="V782">
        <f>HYPERLINK("https://klasma.github.io/Logging_0360/klagomål/A 58107-2024 FSC-klagomål.docx", "A 58107-2024")</f>
        <v/>
      </c>
      <c r="W782">
        <f>HYPERLINK("https://klasma.github.io/Logging_0360/klagomålsmail/A 58107-2024 FSC-klagomål mail.docx", "A 58107-2024")</f>
        <v/>
      </c>
      <c r="X782">
        <f>HYPERLINK("https://klasma.github.io/Logging_0360/tillsyn/A 58107-2024 tillsynsbegäran.docx", "A 58107-2024")</f>
        <v/>
      </c>
      <c r="Y782">
        <f>HYPERLINK("https://klasma.github.io/Logging_0360/tillsynsmail/A 58107-2024 tillsynsbegäran mail.docx", "A 58107-2024")</f>
        <v/>
      </c>
    </row>
    <row r="783" ht="15" customHeight="1">
      <c r="A783" t="inlineStr">
        <is>
          <t>A 59117-2024</t>
        </is>
      </c>
      <c r="B783" s="1" t="n">
        <v>45637</v>
      </c>
      <c r="C783" s="1" t="n">
        <v>45846</v>
      </c>
      <c r="D783" t="inlineStr">
        <is>
          <t>UPPSALA LÄN</t>
        </is>
      </c>
      <c r="E783" t="inlineStr">
        <is>
          <t>TIERP</t>
        </is>
      </c>
      <c r="F783" t="inlineStr">
        <is>
          <t>Bergvik skog öst AB</t>
        </is>
      </c>
      <c r="G783" t="n">
        <v>14.9</v>
      </c>
      <c r="H783" t="n">
        <v>0</v>
      </c>
      <c r="I783" t="n">
        <v>1</v>
      </c>
      <c r="J783" t="n">
        <v>0</v>
      </c>
      <c r="K783" t="n">
        <v>0</v>
      </c>
      <c r="L783" t="n">
        <v>0</v>
      </c>
      <c r="M783" t="n">
        <v>0</v>
      </c>
      <c r="N783" t="n">
        <v>0</v>
      </c>
      <c r="O783" t="n">
        <v>0</v>
      </c>
      <c r="P783" t="n">
        <v>0</v>
      </c>
      <c r="Q783" t="n">
        <v>1</v>
      </c>
      <c r="R783" s="2" t="inlineStr">
        <is>
          <t>Fjällig taggsvamp s.str.</t>
        </is>
      </c>
      <c r="S783">
        <f>HYPERLINK("https://klasma.github.io/Logging_0360/artfynd/A 59117-2024 artfynd.xlsx", "A 59117-2024")</f>
        <v/>
      </c>
      <c r="T783">
        <f>HYPERLINK("https://klasma.github.io/Logging_0360/kartor/A 59117-2024 karta.png", "A 59117-2024")</f>
        <v/>
      </c>
      <c r="V783">
        <f>HYPERLINK("https://klasma.github.io/Logging_0360/klagomål/A 59117-2024 FSC-klagomål.docx", "A 59117-2024")</f>
        <v/>
      </c>
      <c r="W783">
        <f>HYPERLINK("https://klasma.github.io/Logging_0360/klagomålsmail/A 59117-2024 FSC-klagomål mail.docx", "A 59117-2024")</f>
        <v/>
      </c>
      <c r="X783">
        <f>HYPERLINK("https://klasma.github.io/Logging_0360/tillsyn/A 59117-2024 tillsynsbegäran.docx", "A 59117-2024")</f>
        <v/>
      </c>
      <c r="Y783">
        <f>HYPERLINK("https://klasma.github.io/Logging_0360/tillsynsmail/A 59117-2024 tillsynsbegäran mail.docx", "A 59117-2024")</f>
        <v/>
      </c>
    </row>
    <row r="784" ht="15" customHeight="1">
      <c r="A784" t="inlineStr">
        <is>
          <t>A 59588-2024</t>
        </is>
      </c>
      <c r="B784" s="1" t="n">
        <v>45638</v>
      </c>
      <c r="C784" s="1" t="n">
        <v>45846</v>
      </c>
      <c r="D784" t="inlineStr">
        <is>
          <t>UPPSALA LÄN</t>
        </is>
      </c>
      <c r="E784" t="inlineStr">
        <is>
          <t>UPPSALA</t>
        </is>
      </c>
      <c r="G784" t="n">
        <v>3.4</v>
      </c>
      <c r="H784" t="n">
        <v>1</v>
      </c>
      <c r="I784" t="n">
        <v>0</v>
      </c>
      <c r="J784" t="n">
        <v>0</v>
      </c>
      <c r="K784" t="n">
        <v>1</v>
      </c>
      <c r="L784" t="n">
        <v>0</v>
      </c>
      <c r="M784" t="n">
        <v>0</v>
      </c>
      <c r="N784" t="n">
        <v>0</v>
      </c>
      <c r="O784" t="n">
        <v>1</v>
      </c>
      <c r="P784" t="n">
        <v>1</v>
      </c>
      <c r="Q784" t="n">
        <v>1</v>
      </c>
      <c r="R784" s="2" t="inlineStr">
        <is>
          <t>Knärot</t>
        </is>
      </c>
      <c r="S784">
        <f>HYPERLINK("https://klasma.github.io/Logging_0380/artfynd/A 59588-2024 artfynd.xlsx", "A 59588-2024")</f>
        <v/>
      </c>
      <c r="T784">
        <f>HYPERLINK("https://klasma.github.io/Logging_0380/kartor/A 59588-2024 karta.png", "A 59588-2024")</f>
        <v/>
      </c>
      <c r="U784">
        <f>HYPERLINK("https://klasma.github.io/Logging_0380/knärot/A 59588-2024 karta knärot.png", "A 59588-2024")</f>
        <v/>
      </c>
      <c r="V784">
        <f>HYPERLINK("https://klasma.github.io/Logging_0380/klagomål/A 59588-2024 FSC-klagomål.docx", "A 59588-2024")</f>
        <v/>
      </c>
      <c r="W784">
        <f>HYPERLINK("https://klasma.github.io/Logging_0380/klagomålsmail/A 59588-2024 FSC-klagomål mail.docx", "A 59588-2024")</f>
        <v/>
      </c>
      <c r="X784">
        <f>HYPERLINK("https://klasma.github.io/Logging_0380/tillsyn/A 59588-2024 tillsynsbegäran.docx", "A 59588-2024")</f>
        <v/>
      </c>
      <c r="Y784">
        <f>HYPERLINK("https://klasma.github.io/Logging_0380/tillsynsmail/A 59588-2024 tillsynsbegäran mail.docx", "A 59588-2024")</f>
        <v/>
      </c>
    </row>
    <row r="785" ht="15" customHeight="1">
      <c r="A785" t="inlineStr">
        <is>
          <t>A 60266-2024</t>
        </is>
      </c>
      <c r="B785" s="1" t="n">
        <v>45642</v>
      </c>
      <c r="C785" s="1" t="n">
        <v>45846</v>
      </c>
      <c r="D785" t="inlineStr">
        <is>
          <t>UPPSALA LÄN</t>
        </is>
      </c>
      <c r="E785" t="inlineStr">
        <is>
          <t>ENKÖPING</t>
        </is>
      </c>
      <c r="G785" t="n">
        <v>14.5</v>
      </c>
      <c r="H785" t="n">
        <v>0</v>
      </c>
      <c r="I785" t="n">
        <v>1</v>
      </c>
      <c r="J785" t="n">
        <v>0</v>
      </c>
      <c r="K785" t="n">
        <v>0</v>
      </c>
      <c r="L785" t="n">
        <v>0</v>
      </c>
      <c r="M785" t="n">
        <v>0</v>
      </c>
      <c r="N785" t="n">
        <v>0</v>
      </c>
      <c r="O785" t="n">
        <v>0</v>
      </c>
      <c r="P785" t="n">
        <v>0</v>
      </c>
      <c r="Q785" t="n">
        <v>1</v>
      </c>
      <c r="R785" s="2" t="inlineStr">
        <is>
          <t>Skarp dropptaggsvamp</t>
        </is>
      </c>
      <c r="S785">
        <f>HYPERLINK("https://klasma.github.io/Logging_0381/artfynd/A 60266-2024 artfynd.xlsx", "A 60266-2024")</f>
        <v/>
      </c>
      <c r="T785">
        <f>HYPERLINK("https://klasma.github.io/Logging_0381/kartor/A 60266-2024 karta.png", "A 60266-2024")</f>
        <v/>
      </c>
      <c r="V785">
        <f>HYPERLINK("https://klasma.github.io/Logging_0381/klagomål/A 60266-2024 FSC-klagomål.docx", "A 60266-2024")</f>
        <v/>
      </c>
      <c r="W785">
        <f>HYPERLINK("https://klasma.github.io/Logging_0381/klagomålsmail/A 60266-2024 FSC-klagomål mail.docx", "A 60266-2024")</f>
        <v/>
      </c>
      <c r="X785">
        <f>HYPERLINK("https://klasma.github.io/Logging_0381/tillsyn/A 60266-2024 tillsynsbegäran.docx", "A 60266-2024")</f>
        <v/>
      </c>
      <c r="Y785">
        <f>HYPERLINK("https://klasma.github.io/Logging_0381/tillsynsmail/A 60266-2024 tillsynsbegäran mail.docx", "A 60266-2024")</f>
        <v/>
      </c>
    </row>
    <row r="786" ht="15" customHeight="1">
      <c r="A786" t="inlineStr">
        <is>
          <t>A 2592-2025</t>
        </is>
      </c>
      <c r="B786" s="1" t="n">
        <v>45674</v>
      </c>
      <c r="C786" s="1" t="n">
        <v>45846</v>
      </c>
      <c r="D786" t="inlineStr">
        <is>
          <t>UPPSALA LÄN</t>
        </is>
      </c>
      <c r="E786" t="inlineStr">
        <is>
          <t>HEBY</t>
        </is>
      </c>
      <c r="F786" t="inlineStr">
        <is>
          <t>Allmännings- och besparingsskogar</t>
        </is>
      </c>
      <c r="G786" t="n">
        <v>15.8</v>
      </c>
      <c r="H786" t="n">
        <v>1</v>
      </c>
      <c r="I786" t="n">
        <v>0</v>
      </c>
      <c r="J786" t="n">
        <v>0</v>
      </c>
      <c r="K786" t="n">
        <v>0</v>
      </c>
      <c r="L786" t="n">
        <v>0</v>
      </c>
      <c r="M786" t="n">
        <v>0</v>
      </c>
      <c r="N786" t="n">
        <v>0</v>
      </c>
      <c r="O786" t="n">
        <v>0</v>
      </c>
      <c r="P786" t="n">
        <v>0</v>
      </c>
      <c r="Q786" t="n">
        <v>1</v>
      </c>
      <c r="R786" s="2" t="inlineStr">
        <is>
          <t>Fläcknycklar</t>
        </is>
      </c>
      <c r="S786">
        <f>HYPERLINK("https://klasma.github.io/Logging_0331/artfynd/A 2592-2025 artfynd.xlsx", "A 2592-2025")</f>
        <v/>
      </c>
      <c r="T786">
        <f>HYPERLINK("https://klasma.github.io/Logging_0331/kartor/A 2592-2025 karta.png", "A 2592-2025")</f>
        <v/>
      </c>
      <c r="V786">
        <f>HYPERLINK("https://klasma.github.io/Logging_0331/klagomål/A 2592-2025 FSC-klagomål.docx", "A 2592-2025")</f>
        <v/>
      </c>
      <c r="W786">
        <f>HYPERLINK("https://klasma.github.io/Logging_0331/klagomålsmail/A 2592-2025 FSC-klagomål mail.docx", "A 2592-2025")</f>
        <v/>
      </c>
      <c r="X786">
        <f>HYPERLINK("https://klasma.github.io/Logging_0331/tillsyn/A 2592-2025 tillsynsbegäran.docx", "A 2592-2025")</f>
        <v/>
      </c>
      <c r="Y786">
        <f>HYPERLINK("https://klasma.github.io/Logging_0331/tillsynsmail/A 2592-2025 tillsynsbegäran mail.docx", "A 2592-2025")</f>
        <v/>
      </c>
    </row>
    <row r="787" ht="15" customHeight="1">
      <c r="A787" t="inlineStr">
        <is>
          <t>A 2731-2025</t>
        </is>
      </c>
      <c r="B787" s="1" t="n">
        <v>45677</v>
      </c>
      <c r="C787" s="1" t="n">
        <v>45846</v>
      </c>
      <c r="D787" t="inlineStr">
        <is>
          <t>UPPSALA LÄN</t>
        </is>
      </c>
      <c r="E787" t="inlineStr">
        <is>
          <t>TIERP</t>
        </is>
      </c>
      <c r="G787" t="n">
        <v>5.8</v>
      </c>
      <c r="H787" t="n">
        <v>1</v>
      </c>
      <c r="I787" t="n">
        <v>0</v>
      </c>
      <c r="J787" t="n">
        <v>1</v>
      </c>
      <c r="K787" t="n">
        <v>0</v>
      </c>
      <c r="L787" t="n">
        <v>0</v>
      </c>
      <c r="M787" t="n">
        <v>0</v>
      </c>
      <c r="N787" t="n">
        <v>0</v>
      </c>
      <c r="O787" t="n">
        <v>1</v>
      </c>
      <c r="P787" t="n">
        <v>0</v>
      </c>
      <c r="Q787" t="n">
        <v>1</v>
      </c>
      <c r="R787" s="2" t="inlineStr">
        <is>
          <t>Rödvingetrast</t>
        </is>
      </c>
      <c r="S787">
        <f>HYPERLINK("https://klasma.github.io/Logging_0360/artfynd/A 2731-2025 artfynd.xlsx", "A 2731-2025")</f>
        <v/>
      </c>
      <c r="T787">
        <f>HYPERLINK("https://klasma.github.io/Logging_0360/kartor/A 2731-2025 karta.png", "A 2731-2025")</f>
        <v/>
      </c>
      <c r="V787">
        <f>HYPERLINK("https://klasma.github.io/Logging_0360/klagomål/A 2731-2025 FSC-klagomål.docx", "A 2731-2025")</f>
        <v/>
      </c>
      <c r="W787">
        <f>HYPERLINK("https://klasma.github.io/Logging_0360/klagomålsmail/A 2731-2025 FSC-klagomål mail.docx", "A 2731-2025")</f>
        <v/>
      </c>
      <c r="X787">
        <f>HYPERLINK("https://klasma.github.io/Logging_0360/tillsyn/A 2731-2025 tillsynsbegäran.docx", "A 2731-2025")</f>
        <v/>
      </c>
      <c r="Y787">
        <f>HYPERLINK("https://klasma.github.io/Logging_0360/tillsynsmail/A 2731-2025 tillsynsbegäran mail.docx", "A 2731-2025")</f>
        <v/>
      </c>
      <c r="Z787">
        <f>HYPERLINK("https://klasma.github.io/Logging_0360/fåglar/A 2731-2025 prioriterade fågelarter.docx", "A 2731-2025")</f>
        <v/>
      </c>
    </row>
    <row r="788" ht="15" customHeight="1">
      <c r="A788" t="inlineStr">
        <is>
          <t>A 3304-2025</t>
        </is>
      </c>
      <c r="B788" s="1" t="n">
        <v>45679</v>
      </c>
      <c r="C788" s="1" t="n">
        <v>45846</v>
      </c>
      <c r="D788" t="inlineStr">
        <is>
          <t>UPPSALA LÄN</t>
        </is>
      </c>
      <c r="E788" t="inlineStr">
        <is>
          <t>UPPSALA</t>
        </is>
      </c>
      <c r="F788" t="inlineStr">
        <is>
          <t>Övriga statliga verk och myndigheter</t>
        </is>
      </c>
      <c r="G788" t="n">
        <v>3.8</v>
      </c>
      <c r="H788" t="n">
        <v>1</v>
      </c>
      <c r="I788" t="n">
        <v>0</v>
      </c>
      <c r="J788" t="n">
        <v>0</v>
      </c>
      <c r="K788" t="n">
        <v>0</v>
      </c>
      <c r="L788" t="n">
        <v>0</v>
      </c>
      <c r="M788" t="n">
        <v>0</v>
      </c>
      <c r="N788" t="n">
        <v>0</v>
      </c>
      <c r="O788" t="n">
        <v>0</v>
      </c>
      <c r="P788" t="n">
        <v>0</v>
      </c>
      <c r="Q788" t="n">
        <v>1</v>
      </c>
      <c r="R788" s="2" t="inlineStr">
        <is>
          <t>Blåsippa</t>
        </is>
      </c>
      <c r="S788">
        <f>HYPERLINK("https://klasma.github.io/Logging_0380/artfynd/A 3304-2025 artfynd.xlsx", "A 3304-2025")</f>
        <v/>
      </c>
      <c r="T788">
        <f>HYPERLINK("https://klasma.github.io/Logging_0380/kartor/A 3304-2025 karta.png", "A 3304-2025")</f>
        <v/>
      </c>
      <c r="V788">
        <f>HYPERLINK("https://klasma.github.io/Logging_0380/klagomål/A 3304-2025 FSC-klagomål.docx", "A 3304-2025")</f>
        <v/>
      </c>
      <c r="W788">
        <f>HYPERLINK("https://klasma.github.io/Logging_0380/klagomålsmail/A 3304-2025 FSC-klagomål mail.docx", "A 3304-2025")</f>
        <v/>
      </c>
      <c r="X788">
        <f>HYPERLINK("https://klasma.github.io/Logging_0380/tillsyn/A 3304-2025 tillsynsbegäran.docx", "A 3304-2025")</f>
        <v/>
      </c>
      <c r="Y788">
        <f>HYPERLINK("https://klasma.github.io/Logging_0380/tillsynsmail/A 3304-2025 tillsynsbegäran mail.docx", "A 3304-2025")</f>
        <v/>
      </c>
    </row>
    <row r="789" ht="15" customHeight="1">
      <c r="A789" t="inlineStr">
        <is>
          <t>A 3853-2025</t>
        </is>
      </c>
      <c r="B789" s="1" t="n">
        <v>45683</v>
      </c>
      <c r="C789" s="1" t="n">
        <v>45846</v>
      </c>
      <c r="D789" t="inlineStr">
        <is>
          <t>UPPSALA LÄN</t>
        </is>
      </c>
      <c r="E789" t="inlineStr">
        <is>
          <t>TIERP</t>
        </is>
      </c>
      <c r="G789" t="n">
        <v>1.4</v>
      </c>
      <c r="H789" t="n">
        <v>1</v>
      </c>
      <c r="I789" t="n">
        <v>1</v>
      </c>
      <c r="J789" t="n">
        <v>0</v>
      </c>
      <c r="K789" t="n">
        <v>0</v>
      </c>
      <c r="L789" t="n">
        <v>0</v>
      </c>
      <c r="M789" t="n">
        <v>0</v>
      </c>
      <c r="N789" t="n">
        <v>0</v>
      </c>
      <c r="O789" t="n">
        <v>0</v>
      </c>
      <c r="P789" t="n">
        <v>0</v>
      </c>
      <c r="Q789" t="n">
        <v>1</v>
      </c>
      <c r="R789" s="2" t="inlineStr">
        <is>
          <t>Tvåblad</t>
        </is>
      </c>
      <c r="S789">
        <f>HYPERLINK("https://klasma.github.io/Logging_0360/artfynd/A 3853-2025 artfynd.xlsx", "A 3853-2025")</f>
        <v/>
      </c>
      <c r="T789">
        <f>HYPERLINK("https://klasma.github.io/Logging_0360/kartor/A 3853-2025 karta.png", "A 3853-2025")</f>
        <v/>
      </c>
      <c r="V789">
        <f>HYPERLINK("https://klasma.github.io/Logging_0360/klagomål/A 3853-2025 FSC-klagomål.docx", "A 3853-2025")</f>
        <v/>
      </c>
      <c r="W789">
        <f>HYPERLINK("https://klasma.github.io/Logging_0360/klagomålsmail/A 3853-2025 FSC-klagomål mail.docx", "A 3853-2025")</f>
        <v/>
      </c>
      <c r="X789">
        <f>HYPERLINK("https://klasma.github.io/Logging_0360/tillsyn/A 3853-2025 tillsynsbegäran.docx", "A 3853-2025")</f>
        <v/>
      </c>
      <c r="Y789">
        <f>HYPERLINK("https://klasma.github.io/Logging_0360/tillsynsmail/A 3853-2025 tillsynsbegäran mail.docx", "A 3853-2025")</f>
        <v/>
      </c>
    </row>
    <row r="790" ht="15" customHeight="1">
      <c r="A790" t="inlineStr">
        <is>
          <t>A 4067-2025</t>
        </is>
      </c>
      <c r="B790" s="1" t="n">
        <v>45684</v>
      </c>
      <c r="C790" s="1" t="n">
        <v>45846</v>
      </c>
      <c r="D790" t="inlineStr">
        <is>
          <t>UPPSALA LÄN</t>
        </is>
      </c>
      <c r="E790" t="inlineStr">
        <is>
          <t>ENKÖPING</t>
        </is>
      </c>
      <c r="G790" t="n">
        <v>2.9</v>
      </c>
      <c r="H790" t="n">
        <v>0</v>
      </c>
      <c r="I790" t="n">
        <v>0</v>
      </c>
      <c r="J790" t="n">
        <v>1</v>
      </c>
      <c r="K790" t="n">
        <v>0</v>
      </c>
      <c r="L790" t="n">
        <v>0</v>
      </c>
      <c r="M790" t="n">
        <v>0</v>
      </c>
      <c r="N790" t="n">
        <v>0</v>
      </c>
      <c r="O790" t="n">
        <v>1</v>
      </c>
      <c r="P790" t="n">
        <v>0</v>
      </c>
      <c r="Q790" t="n">
        <v>1</v>
      </c>
      <c r="R790" s="2" t="inlineStr">
        <is>
          <t>Dofttaggsvamp</t>
        </is>
      </c>
      <c r="S790">
        <f>HYPERLINK("https://klasma.github.io/Logging_0381/artfynd/A 4067-2025 artfynd.xlsx", "A 4067-2025")</f>
        <v/>
      </c>
      <c r="T790">
        <f>HYPERLINK("https://klasma.github.io/Logging_0381/kartor/A 4067-2025 karta.png", "A 4067-2025")</f>
        <v/>
      </c>
      <c r="V790">
        <f>HYPERLINK("https://klasma.github.io/Logging_0381/klagomål/A 4067-2025 FSC-klagomål.docx", "A 4067-2025")</f>
        <v/>
      </c>
      <c r="W790">
        <f>HYPERLINK("https://klasma.github.io/Logging_0381/klagomålsmail/A 4067-2025 FSC-klagomål mail.docx", "A 4067-2025")</f>
        <v/>
      </c>
      <c r="X790">
        <f>HYPERLINK("https://klasma.github.io/Logging_0381/tillsyn/A 4067-2025 tillsynsbegäran.docx", "A 4067-2025")</f>
        <v/>
      </c>
      <c r="Y790">
        <f>HYPERLINK("https://klasma.github.io/Logging_0381/tillsynsmail/A 4067-2025 tillsynsbegäran mail.docx", "A 4067-2025")</f>
        <v/>
      </c>
    </row>
    <row r="791" ht="15" customHeight="1">
      <c r="A791" t="inlineStr">
        <is>
          <t>A 4473-2025</t>
        </is>
      </c>
      <c r="B791" s="1" t="n">
        <v>45686</v>
      </c>
      <c r="C791" s="1" t="n">
        <v>45846</v>
      </c>
      <c r="D791" t="inlineStr">
        <is>
          <t>UPPSALA LÄN</t>
        </is>
      </c>
      <c r="E791" t="inlineStr">
        <is>
          <t>TIERP</t>
        </is>
      </c>
      <c r="F791" t="inlineStr">
        <is>
          <t>Bergvik skog öst AB</t>
        </is>
      </c>
      <c r="G791" t="n">
        <v>7.8</v>
      </c>
      <c r="H791" t="n">
        <v>0</v>
      </c>
      <c r="I791" t="n">
        <v>1</v>
      </c>
      <c r="J791" t="n">
        <v>0</v>
      </c>
      <c r="K791" t="n">
        <v>0</v>
      </c>
      <c r="L791" t="n">
        <v>0</v>
      </c>
      <c r="M791" t="n">
        <v>0</v>
      </c>
      <c r="N791" t="n">
        <v>0</v>
      </c>
      <c r="O791" t="n">
        <v>0</v>
      </c>
      <c r="P791" t="n">
        <v>0</v>
      </c>
      <c r="Q791" t="n">
        <v>1</v>
      </c>
      <c r="R791" s="2" t="inlineStr">
        <is>
          <t>Grönpyrola</t>
        </is>
      </c>
      <c r="S791">
        <f>HYPERLINK("https://klasma.github.io/Logging_0360/artfynd/A 4473-2025 artfynd.xlsx", "A 4473-2025")</f>
        <v/>
      </c>
      <c r="T791">
        <f>HYPERLINK("https://klasma.github.io/Logging_0360/kartor/A 4473-2025 karta.png", "A 4473-2025")</f>
        <v/>
      </c>
      <c r="V791">
        <f>HYPERLINK("https://klasma.github.io/Logging_0360/klagomål/A 4473-2025 FSC-klagomål.docx", "A 4473-2025")</f>
        <v/>
      </c>
      <c r="W791">
        <f>HYPERLINK("https://klasma.github.io/Logging_0360/klagomålsmail/A 4473-2025 FSC-klagomål mail.docx", "A 4473-2025")</f>
        <v/>
      </c>
      <c r="X791">
        <f>HYPERLINK("https://klasma.github.io/Logging_0360/tillsyn/A 4473-2025 tillsynsbegäran.docx", "A 4473-2025")</f>
        <v/>
      </c>
      <c r="Y791">
        <f>HYPERLINK("https://klasma.github.io/Logging_0360/tillsynsmail/A 4473-2025 tillsynsbegäran mail.docx", "A 4473-2025")</f>
        <v/>
      </c>
    </row>
    <row r="792" ht="15" customHeight="1">
      <c r="A792" t="inlineStr">
        <is>
          <t>A 4657-2025</t>
        </is>
      </c>
      <c r="B792" s="1" t="n">
        <v>45687</v>
      </c>
      <c r="C792" s="1" t="n">
        <v>45846</v>
      </c>
      <c r="D792" t="inlineStr">
        <is>
          <t>UPPSALA LÄN</t>
        </is>
      </c>
      <c r="E792" t="inlineStr">
        <is>
          <t>UPPSALA</t>
        </is>
      </c>
      <c r="G792" t="n">
        <v>2.9</v>
      </c>
      <c r="H792" t="n">
        <v>1</v>
      </c>
      <c r="I792" t="n">
        <v>0</v>
      </c>
      <c r="J792" t="n">
        <v>1</v>
      </c>
      <c r="K792" t="n">
        <v>0</v>
      </c>
      <c r="L792" t="n">
        <v>0</v>
      </c>
      <c r="M792" t="n">
        <v>0</v>
      </c>
      <c r="N792" t="n">
        <v>0</v>
      </c>
      <c r="O792" t="n">
        <v>1</v>
      </c>
      <c r="P792" t="n">
        <v>0</v>
      </c>
      <c r="Q792" t="n">
        <v>1</v>
      </c>
      <c r="R792" s="2" t="inlineStr">
        <is>
          <t>Grönsångare</t>
        </is>
      </c>
      <c r="S792">
        <f>HYPERLINK("https://klasma.github.io/Logging_0380/artfynd/A 4657-2025 artfynd.xlsx", "A 4657-2025")</f>
        <v/>
      </c>
      <c r="T792">
        <f>HYPERLINK("https://klasma.github.io/Logging_0380/kartor/A 4657-2025 karta.png", "A 4657-2025")</f>
        <v/>
      </c>
      <c r="V792">
        <f>HYPERLINK("https://klasma.github.io/Logging_0380/klagomål/A 4657-2025 FSC-klagomål.docx", "A 4657-2025")</f>
        <v/>
      </c>
      <c r="W792">
        <f>HYPERLINK("https://klasma.github.io/Logging_0380/klagomålsmail/A 4657-2025 FSC-klagomål mail.docx", "A 4657-2025")</f>
        <v/>
      </c>
      <c r="X792">
        <f>HYPERLINK("https://klasma.github.io/Logging_0380/tillsyn/A 4657-2025 tillsynsbegäran.docx", "A 4657-2025")</f>
        <v/>
      </c>
      <c r="Y792">
        <f>HYPERLINK("https://klasma.github.io/Logging_0380/tillsynsmail/A 4657-2025 tillsynsbegäran mail.docx", "A 4657-2025")</f>
        <v/>
      </c>
      <c r="Z792">
        <f>HYPERLINK("https://klasma.github.io/Logging_0380/fåglar/A 4657-2025 prioriterade fågelarter.docx", "A 4657-2025")</f>
        <v/>
      </c>
    </row>
    <row r="793" ht="15" customHeight="1">
      <c r="A793" t="inlineStr">
        <is>
          <t>A 5619-2025</t>
        </is>
      </c>
      <c r="B793" s="1" t="n">
        <v>45693</v>
      </c>
      <c r="C793" s="1" t="n">
        <v>45846</v>
      </c>
      <c r="D793" t="inlineStr">
        <is>
          <t>UPPSALA LÄN</t>
        </is>
      </c>
      <c r="E793" t="inlineStr">
        <is>
          <t>UPPSALA</t>
        </is>
      </c>
      <c r="G793" t="n">
        <v>6.8</v>
      </c>
      <c r="H793" t="n">
        <v>1</v>
      </c>
      <c r="I793" t="n">
        <v>0</v>
      </c>
      <c r="J793" t="n">
        <v>1</v>
      </c>
      <c r="K793" t="n">
        <v>0</v>
      </c>
      <c r="L793" t="n">
        <v>0</v>
      </c>
      <c r="M793" t="n">
        <v>0</v>
      </c>
      <c r="N793" t="n">
        <v>0</v>
      </c>
      <c r="O793" t="n">
        <v>1</v>
      </c>
      <c r="P793" t="n">
        <v>0</v>
      </c>
      <c r="Q793" t="n">
        <v>1</v>
      </c>
      <c r="R793" s="2" t="inlineStr">
        <is>
          <t>Spillkråka</t>
        </is>
      </c>
      <c r="S793">
        <f>HYPERLINK("https://klasma.github.io/Logging_0380/artfynd/A 5619-2025 artfynd.xlsx", "A 5619-2025")</f>
        <v/>
      </c>
      <c r="T793">
        <f>HYPERLINK("https://klasma.github.io/Logging_0380/kartor/A 5619-2025 karta.png", "A 5619-2025")</f>
        <v/>
      </c>
      <c r="V793">
        <f>HYPERLINK("https://klasma.github.io/Logging_0380/klagomål/A 5619-2025 FSC-klagomål.docx", "A 5619-2025")</f>
        <v/>
      </c>
      <c r="W793">
        <f>HYPERLINK("https://klasma.github.io/Logging_0380/klagomålsmail/A 5619-2025 FSC-klagomål mail.docx", "A 5619-2025")</f>
        <v/>
      </c>
      <c r="X793">
        <f>HYPERLINK("https://klasma.github.io/Logging_0380/tillsyn/A 5619-2025 tillsynsbegäran.docx", "A 5619-2025")</f>
        <v/>
      </c>
      <c r="Y793">
        <f>HYPERLINK("https://klasma.github.io/Logging_0380/tillsynsmail/A 5619-2025 tillsynsbegäran mail.docx", "A 5619-2025")</f>
        <v/>
      </c>
      <c r="Z793">
        <f>HYPERLINK("https://klasma.github.io/Logging_0380/fåglar/A 5619-2025 prioriterade fågelarter.docx", "A 5619-2025")</f>
        <v/>
      </c>
    </row>
    <row r="794" ht="15" customHeight="1">
      <c r="A794" t="inlineStr">
        <is>
          <t>A 5624-2025</t>
        </is>
      </c>
      <c r="B794" s="1" t="n">
        <v>45693</v>
      </c>
      <c r="C794" s="1" t="n">
        <v>45846</v>
      </c>
      <c r="D794" t="inlineStr">
        <is>
          <t>UPPSALA LÄN</t>
        </is>
      </c>
      <c r="E794" t="inlineStr">
        <is>
          <t>UPPSALA</t>
        </is>
      </c>
      <c r="G794" t="n">
        <v>6.1</v>
      </c>
      <c r="H794" t="n">
        <v>0</v>
      </c>
      <c r="I794" t="n">
        <v>1</v>
      </c>
      <c r="J794" t="n">
        <v>0</v>
      </c>
      <c r="K794" t="n">
        <v>0</v>
      </c>
      <c r="L794" t="n">
        <v>0</v>
      </c>
      <c r="M794" t="n">
        <v>0</v>
      </c>
      <c r="N794" t="n">
        <v>0</v>
      </c>
      <c r="O794" t="n">
        <v>0</v>
      </c>
      <c r="P794" t="n">
        <v>0</v>
      </c>
      <c r="Q794" t="n">
        <v>1</v>
      </c>
      <c r="R794" s="2" t="inlineStr">
        <is>
          <t>Mindre märgborre</t>
        </is>
      </c>
      <c r="S794">
        <f>HYPERLINK("https://klasma.github.io/Logging_0380/artfynd/A 5624-2025 artfynd.xlsx", "A 5624-2025")</f>
        <v/>
      </c>
      <c r="T794">
        <f>HYPERLINK("https://klasma.github.io/Logging_0380/kartor/A 5624-2025 karta.png", "A 5624-2025")</f>
        <v/>
      </c>
      <c r="V794">
        <f>HYPERLINK("https://klasma.github.io/Logging_0380/klagomål/A 5624-2025 FSC-klagomål.docx", "A 5624-2025")</f>
        <v/>
      </c>
      <c r="W794">
        <f>HYPERLINK("https://klasma.github.io/Logging_0380/klagomålsmail/A 5624-2025 FSC-klagomål mail.docx", "A 5624-2025")</f>
        <v/>
      </c>
      <c r="X794">
        <f>HYPERLINK("https://klasma.github.io/Logging_0380/tillsyn/A 5624-2025 tillsynsbegäran.docx", "A 5624-2025")</f>
        <v/>
      </c>
      <c r="Y794">
        <f>HYPERLINK("https://klasma.github.io/Logging_0380/tillsynsmail/A 5624-2025 tillsynsbegäran mail.docx", "A 5624-2025")</f>
        <v/>
      </c>
    </row>
    <row r="795" ht="15" customHeight="1">
      <c r="A795" t="inlineStr">
        <is>
          <t>A 5732-2025</t>
        </is>
      </c>
      <c r="B795" s="1" t="n">
        <v>45694</v>
      </c>
      <c r="C795" s="1" t="n">
        <v>45846</v>
      </c>
      <c r="D795" t="inlineStr">
        <is>
          <t>UPPSALA LÄN</t>
        </is>
      </c>
      <c r="E795" t="inlineStr">
        <is>
          <t>UPPSALA</t>
        </is>
      </c>
      <c r="G795" t="n">
        <v>1.9</v>
      </c>
      <c r="H795" t="n">
        <v>0</v>
      </c>
      <c r="I795" t="n">
        <v>1</v>
      </c>
      <c r="J795" t="n">
        <v>0</v>
      </c>
      <c r="K795" t="n">
        <v>0</v>
      </c>
      <c r="L795" t="n">
        <v>0</v>
      </c>
      <c r="M795" t="n">
        <v>0</v>
      </c>
      <c r="N795" t="n">
        <v>0</v>
      </c>
      <c r="O795" t="n">
        <v>0</v>
      </c>
      <c r="P795" t="n">
        <v>0</v>
      </c>
      <c r="Q795" t="n">
        <v>1</v>
      </c>
      <c r="R795" s="2" t="inlineStr">
        <is>
          <t>Fällmossa</t>
        </is>
      </c>
      <c r="S795">
        <f>HYPERLINK("https://klasma.github.io/Logging_0380/artfynd/A 5732-2025 artfynd.xlsx", "A 5732-2025")</f>
        <v/>
      </c>
      <c r="T795">
        <f>HYPERLINK("https://klasma.github.io/Logging_0380/kartor/A 5732-2025 karta.png", "A 5732-2025")</f>
        <v/>
      </c>
      <c r="V795">
        <f>HYPERLINK("https://klasma.github.io/Logging_0380/klagomål/A 5732-2025 FSC-klagomål.docx", "A 5732-2025")</f>
        <v/>
      </c>
      <c r="W795">
        <f>HYPERLINK("https://klasma.github.io/Logging_0380/klagomålsmail/A 5732-2025 FSC-klagomål mail.docx", "A 5732-2025")</f>
        <v/>
      </c>
      <c r="X795">
        <f>HYPERLINK("https://klasma.github.io/Logging_0380/tillsyn/A 5732-2025 tillsynsbegäran.docx", "A 5732-2025")</f>
        <v/>
      </c>
      <c r="Y795">
        <f>HYPERLINK("https://klasma.github.io/Logging_0380/tillsynsmail/A 5732-2025 tillsynsbegäran mail.docx", "A 5732-2025")</f>
        <v/>
      </c>
    </row>
    <row r="796" ht="15" customHeight="1">
      <c r="A796" t="inlineStr">
        <is>
          <t>A 6143-2025</t>
        </is>
      </c>
      <c r="B796" s="1" t="n">
        <v>45698</v>
      </c>
      <c r="C796" s="1" t="n">
        <v>45846</v>
      </c>
      <c r="D796" t="inlineStr">
        <is>
          <t>UPPSALA LÄN</t>
        </is>
      </c>
      <c r="E796" t="inlineStr">
        <is>
          <t>ÖSTHAMMAR</t>
        </is>
      </c>
      <c r="F796" t="inlineStr">
        <is>
          <t>Bergvik skog öst AB</t>
        </is>
      </c>
      <c r="G796" t="n">
        <v>3.6</v>
      </c>
      <c r="H796" t="n">
        <v>0</v>
      </c>
      <c r="I796" t="n">
        <v>1</v>
      </c>
      <c r="J796" t="n">
        <v>0</v>
      </c>
      <c r="K796" t="n">
        <v>0</v>
      </c>
      <c r="L796" t="n">
        <v>0</v>
      </c>
      <c r="M796" t="n">
        <v>0</v>
      </c>
      <c r="N796" t="n">
        <v>0</v>
      </c>
      <c r="O796" t="n">
        <v>0</v>
      </c>
      <c r="P796" t="n">
        <v>0</v>
      </c>
      <c r="Q796" t="n">
        <v>1</v>
      </c>
      <c r="R796" s="2" t="inlineStr">
        <is>
          <t>Svavelriska</t>
        </is>
      </c>
      <c r="S796">
        <f>HYPERLINK("https://klasma.github.io/Logging_0382/artfynd/A 6143-2025 artfynd.xlsx", "A 6143-2025")</f>
        <v/>
      </c>
      <c r="T796">
        <f>HYPERLINK("https://klasma.github.io/Logging_0382/kartor/A 6143-2025 karta.png", "A 6143-2025")</f>
        <v/>
      </c>
      <c r="V796">
        <f>HYPERLINK("https://klasma.github.io/Logging_0382/klagomål/A 6143-2025 FSC-klagomål.docx", "A 6143-2025")</f>
        <v/>
      </c>
      <c r="W796">
        <f>HYPERLINK("https://klasma.github.io/Logging_0382/klagomålsmail/A 6143-2025 FSC-klagomål mail.docx", "A 6143-2025")</f>
        <v/>
      </c>
      <c r="X796">
        <f>HYPERLINK("https://klasma.github.io/Logging_0382/tillsyn/A 6143-2025 tillsynsbegäran.docx", "A 6143-2025")</f>
        <v/>
      </c>
      <c r="Y796">
        <f>HYPERLINK("https://klasma.github.io/Logging_0382/tillsynsmail/A 6143-2025 tillsynsbegäran mail.docx", "A 6143-2025")</f>
        <v/>
      </c>
    </row>
    <row r="797" ht="15" customHeight="1">
      <c r="A797" t="inlineStr">
        <is>
          <t>A 6829-2025</t>
        </is>
      </c>
      <c r="B797" s="1" t="n">
        <v>45700</v>
      </c>
      <c r="C797" s="1" t="n">
        <v>45846</v>
      </c>
      <c r="D797" t="inlineStr">
        <is>
          <t>UPPSALA LÄN</t>
        </is>
      </c>
      <c r="E797" t="inlineStr">
        <is>
          <t>TIERP</t>
        </is>
      </c>
      <c r="G797" t="n">
        <v>5.1</v>
      </c>
      <c r="H797" t="n">
        <v>0</v>
      </c>
      <c r="I797" t="n">
        <v>1</v>
      </c>
      <c r="J797" t="n">
        <v>0</v>
      </c>
      <c r="K797" t="n">
        <v>0</v>
      </c>
      <c r="L797" t="n">
        <v>0</v>
      </c>
      <c r="M797" t="n">
        <v>0</v>
      </c>
      <c r="N797" t="n">
        <v>0</v>
      </c>
      <c r="O797" t="n">
        <v>0</v>
      </c>
      <c r="P797" t="n">
        <v>0</v>
      </c>
      <c r="Q797" t="n">
        <v>1</v>
      </c>
      <c r="R797" s="2" t="inlineStr">
        <is>
          <t>Tibast</t>
        </is>
      </c>
      <c r="S797">
        <f>HYPERLINK("https://klasma.github.io/Logging_0360/artfynd/A 6829-2025 artfynd.xlsx", "A 6829-2025")</f>
        <v/>
      </c>
      <c r="T797">
        <f>HYPERLINK("https://klasma.github.io/Logging_0360/kartor/A 6829-2025 karta.png", "A 6829-2025")</f>
        <v/>
      </c>
      <c r="V797">
        <f>HYPERLINK("https://klasma.github.io/Logging_0360/klagomål/A 6829-2025 FSC-klagomål.docx", "A 6829-2025")</f>
        <v/>
      </c>
      <c r="W797">
        <f>HYPERLINK("https://klasma.github.io/Logging_0360/klagomålsmail/A 6829-2025 FSC-klagomål mail.docx", "A 6829-2025")</f>
        <v/>
      </c>
      <c r="X797">
        <f>HYPERLINK("https://klasma.github.io/Logging_0360/tillsyn/A 6829-2025 tillsynsbegäran.docx", "A 6829-2025")</f>
        <v/>
      </c>
      <c r="Y797">
        <f>HYPERLINK("https://klasma.github.io/Logging_0360/tillsynsmail/A 6829-2025 tillsynsbegäran mail.docx", "A 6829-2025")</f>
        <v/>
      </c>
    </row>
    <row r="798" ht="15" customHeight="1">
      <c r="A798" t="inlineStr">
        <is>
          <t>A 7983-2025</t>
        </is>
      </c>
      <c r="B798" s="1" t="n">
        <v>45707</v>
      </c>
      <c r="C798" s="1" t="n">
        <v>45846</v>
      </c>
      <c r="D798" t="inlineStr">
        <is>
          <t>UPPSALA LÄN</t>
        </is>
      </c>
      <c r="E798" t="inlineStr">
        <is>
          <t>TIERP</t>
        </is>
      </c>
      <c r="F798" t="inlineStr">
        <is>
          <t>Bergvik skog öst AB</t>
        </is>
      </c>
      <c r="G798" t="n">
        <v>2.2</v>
      </c>
      <c r="H798" t="n">
        <v>1</v>
      </c>
      <c r="I798" t="n">
        <v>0</v>
      </c>
      <c r="J798" t="n">
        <v>0</v>
      </c>
      <c r="K798" t="n">
        <v>1</v>
      </c>
      <c r="L798" t="n">
        <v>0</v>
      </c>
      <c r="M798" t="n">
        <v>0</v>
      </c>
      <c r="N798" t="n">
        <v>0</v>
      </c>
      <c r="O798" t="n">
        <v>1</v>
      </c>
      <c r="P798" t="n">
        <v>1</v>
      </c>
      <c r="Q798" t="n">
        <v>1</v>
      </c>
      <c r="R798" s="2" t="inlineStr">
        <is>
          <t>Knärot</t>
        </is>
      </c>
      <c r="S798">
        <f>HYPERLINK("https://klasma.github.io/Logging_0360/artfynd/A 7983-2025 artfynd.xlsx", "A 7983-2025")</f>
        <v/>
      </c>
      <c r="T798">
        <f>HYPERLINK("https://klasma.github.io/Logging_0360/kartor/A 7983-2025 karta.png", "A 7983-2025")</f>
        <v/>
      </c>
      <c r="U798">
        <f>HYPERLINK("https://klasma.github.io/Logging_0360/knärot/A 7983-2025 karta knärot.png", "A 7983-2025")</f>
        <v/>
      </c>
      <c r="V798">
        <f>HYPERLINK("https://klasma.github.io/Logging_0360/klagomål/A 7983-2025 FSC-klagomål.docx", "A 7983-2025")</f>
        <v/>
      </c>
      <c r="W798">
        <f>HYPERLINK("https://klasma.github.io/Logging_0360/klagomålsmail/A 7983-2025 FSC-klagomål mail.docx", "A 7983-2025")</f>
        <v/>
      </c>
      <c r="X798">
        <f>HYPERLINK("https://klasma.github.io/Logging_0360/tillsyn/A 7983-2025 tillsynsbegäran.docx", "A 7983-2025")</f>
        <v/>
      </c>
      <c r="Y798">
        <f>HYPERLINK("https://klasma.github.io/Logging_0360/tillsynsmail/A 7983-2025 tillsynsbegäran mail.docx", "A 7983-2025")</f>
        <v/>
      </c>
    </row>
    <row r="799" ht="15" customHeight="1">
      <c r="A799" t="inlineStr">
        <is>
          <t>A 9553-2025</t>
        </is>
      </c>
      <c r="B799" s="1" t="n">
        <v>45715</v>
      </c>
      <c r="C799" s="1" t="n">
        <v>45846</v>
      </c>
      <c r="D799" t="inlineStr">
        <is>
          <t>UPPSALA LÄN</t>
        </is>
      </c>
      <c r="E799" t="inlineStr">
        <is>
          <t>KNIVSTA</t>
        </is>
      </c>
      <c r="G799" t="n">
        <v>3.5</v>
      </c>
      <c r="H799" t="n">
        <v>1</v>
      </c>
      <c r="I799" t="n">
        <v>0</v>
      </c>
      <c r="J799" t="n">
        <v>0</v>
      </c>
      <c r="K799" t="n">
        <v>0</v>
      </c>
      <c r="L799" t="n">
        <v>0</v>
      </c>
      <c r="M799" t="n">
        <v>0</v>
      </c>
      <c r="N799" t="n">
        <v>0</v>
      </c>
      <c r="O799" t="n">
        <v>0</v>
      </c>
      <c r="P799" t="n">
        <v>0</v>
      </c>
      <c r="Q799" t="n">
        <v>1</v>
      </c>
      <c r="R799" s="2" t="inlineStr">
        <is>
          <t>Nattviol</t>
        </is>
      </c>
      <c r="S799">
        <f>HYPERLINK("https://klasma.github.io/Logging_030330/artfynd/A 9553-2025 artfynd.xlsx", "A 9553-2025")</f>
        <v/>
      </c>
      <c r="T799">
        <f>HYPERLINK("https://klasma.github.io/Logging_030330/kartor/A 9553-2025 karta.png", "A 9553-2025")</f>
        <v/>
      </c>
      <c r="V799">
        <f>HYPERLINK("https://klasma.github.io/Logging_030330/klagomål/A 9553-2025 FSC-klagomål.docx", "A 9553-2025")</f>
        <v/>
      </c>
      <c r="W799">
        <f>HYPERLINK("https://klasma.github.io/Logging_030330/klagomålsmail/A 9553-2025 FSC-klagomål mail.docx", "A 9553-2025")</f>
        <v/>
      </c>
      <c r="X799">
        <f>HYPERLINK("https://klasma.github.io/Logging_030330/tillsyn/A 9553-2025 tillsynsbegäran.docx", "A 9553-2025")</f>
        <v/>
      </c>
      <c r="Y799">
        <f>HYPERLINK("https://klasma.github.io/Logging_030330/tillsynsmail/A 9553-2025 tillsynsbegäran mail.docx", "A 9553-2025")</f>
        <v/>
      </c>
    </row>
    <row r="800" ht="15" customHeight="1">
      <c r="A800" t="inlineStr">
        <is>
          <t>A 9521-2025</t>
        </is>
      </c>
      <c r="B800" s="1" t="n">
        <v>45715</v>
      </c>
      <c r="C800" s="1" t="n">
        <v>45846</v>
      </c>
      <c r="D800" t="inlineStr">
        <is>
          <t>UPPSALA LÄN</t>
        </is>
      </c>
      <c r="E800" t="inlineStr">
        <is>
          <t>ÄLVKARLEBY</t>
        </is>
      </c>
      <c r="G800" t="n">
        <v>6.3</v>
      </c>
      <c r="H800" t="n">
        <v>0</v>
      </c>
      <c r="I800" t="n">
        <v>1</v>
      </c>
      <c r="J800" t="n">
        <v>0</v>
      </c>
      <c r="K800" t="n">
        <v>0</v>
      </c>
      <c r="L800" t="n">
        <v>0</v>
      </c>
      <c r="M800" t="n">
        <v>0</v>
      </c>
      <c r="N800" t="n">
        <v>0</v>
      </c>
      <c r="O800" t="n">
        <v>0</v>
      </c>
      <c r="P800" t="n">
        <v>0</v>
      </c>
      <c r="Q800" t="n">
        <v>1</v>
      </c>
      <c r="R800" s="2" t="inlineStr">
        <is>
          <t>Rödgul trumpetsvamp</t>
        </is>
      </c>
      <c r="S800">
        <f>HYPERLINK("https://klasma.github.io/Logging_030319/artfynd/A 9521-2025 artfynd.xlsx", "A 9521-2025")</f>
        <v/>
      </c>
      <c r="T800">
        <f>HYPERLINK("https://klasma.github.io/Logging_030319/kartor/A 9521-2025 karta.png", "A 9521-2025")</f>
        <v/>
      </c>
      <c r="V800">
        <f>HYPERLINK("https://klasma.github.io/Logging_030319/klagomål/A 9521-2025 FSC-klagomål.docx", "A 9521-2025")</f>
        <v/>
      </c>
      <c r="W800">
        <f>HYPERLINK("https://klasma.github.io/Logging_030319/klagomålsmail/A 9521-2025 FSC-klagomål mail.docx", "A 9521-2025")</f>
        <v/>
      </c>
      <c r="X800">
        <f>HYPERLINK("https://klasma.github.io/Logging_030319/tillsyn/A 9521-2025 tillsynsbegäran.docx", "A 9521-2025")</f>
        <v/>
      </c>
      <c r="Y800">
        <f>HYPERLINK("https://klasma.github.io/Logging_030319/tillsynsmail/A 9521-2025 tillsynsbegäran mail.docx", "A 9521-2025")</f>
        <v/>
      </c>
    </row>
    <row r="801" ht="15" customHeight="1">
      <c r="A801" t="inlineStr">
        <is>
          <t>A 10671-2025</t>
        </is>
      </c>
      <c r="B801" s="1" t="n">
        <v>45721</v>
      </c>
      <c r="C801" s="1" t="n">
        <v>45846</v>
      </c>
      <c r="D801" t="inlineStr">
        <is>
          <t>UPPSALA LÄN</t>
        </is>
      </c>
      <c r="E801" t="inlineStr">
        <is>
          <t>ENKÖPING</t>
        </is>
      </c>
      <c r="G801" t="n">
        <v>5.1</v>
      </c>
      <c r="H801" t="n">
        <v>1</v>
      </c>
      <c r="I801" t="n">
        <v>1</v>
      </c>
      <c r="J801" t="n">
        <v>0</v>
      </c>
      <c r="K801" t="n">
        <v>0</v>
      </c>
      <c r="L801" t="n">
        <v>0</v>
      </c>
      <c r="M801" t="n">
        <v>0</v>
      </c>
      <c r="N801" t="n">
        <v>0</v>
      </c>
      <c r="O801" t="n">
        <v>0</v>
      </c>
      <c r="P801" t="n">
        <v>0</v>
      </c>
      <c r="Q801" t="n">
        <v>1</v>
      </c>
      <c r="R801" s="2" t="inlineStr">
        <is>
          <t>Korallrot</t>
        </is>
      </c>
      <c r="S801">
        <f>HYPERLINK("https://klasma.github.io/Logging_030381/artfynd/A 10671-2025 artfynd.xlsx", "A 10671-2025")</f>
        <v/>
      </c>
      <c r="T801">
        <f>HYPERLINK("https://klasma.github.io/Logging_030381/kartor/A 10671-2025 karta.png", "A 10671-2025")</f>
        <v/>
      </c>
      <c r="V801">
        <f>HYPERLINK("https://klasma.github.io/Logging_030381/klagomål/A 10671-2025 FSC-klagomål.docx", "A 10671-2025")</f>
        <v/>
      </c>
      <c r="W801">
        <f>HYPERLINK("https://klasma.github.io/Logging_030381/klagomålsmail/A 10671-2025 FSC-klagomål mail.docx", "A 10671-2025")</f>
        <v/>
      </c>
      <c r="X801">
        <f>HYPERLINK("https://klasma.github.io/Logging_030381/tillsyn/A 10671-2025 tillsynsbegäran.docx", "A 10671-2025")</f>
        <v/>
      </c>
      <c r="Y801">
        <f>HYPERLINK("https://klasma.github.io/Logging_030381/tillsynsmail/A 10671-2025 tillsynsbegäran mail.docx", "A 10671-2025")</f>
        <v/>
      </c>
    </row>
    <row r="802" ht="15" customHeight="1">
      <c r="A802" t="inlineStr">
        <is>
          <t>A 10853-2025</t>
        </is>
      </c>
      <c r="B802" s="1" t="n">
        <v>45722</v>
      </c>
      <c r="C802" s="1" t="n">
        <v>45846</v>
      </c>
      <c r="D802" t="inlineStr">
        <is>
          <t>UPPSALA LÄN</t>
        </is>
      </c>
      <c r="E802" t="inlineStr">
        <is>
          <t>TIERP</t>
        </is>
      </c>
      <c r="F802" t="inlineStr">
        <is>
          <t>Bergvik skog öst AB</t>
        </is>
      </c>
      <c r="G802" t="n">
        <v>2.2</v>
      </c>
      <c r="H802" t="n">
        <v>1</v>
      </c>
      <c r="I802" t="n">
        <v>0</v>
      </c>
      <c r="J802" t="n">
        <v>0</v>
      </c>
      <c r="K802" t="n">
        <v>0</v>
      </c>
      <c r="L802" t="n">
        <v>0</v>
      </c>
      <c r="M802" t="n">
        <v>0</v>
      </c>
      <c r="N802" t="n">
        <v>0</v>
      </c>
      <c r="O802" t="n">
        <v>0</v>
      </c>
      <c r="P802" t="n">
        <v>0</v>
      </c>
      <c r="Q802" t="n">
        <v>1</v>
      </c>
      <c r="R802" s="2" t="inlineStr">
        <is>
          <t>Blåsippa</t>
        </is>
      </c>
      <c r="S802">
        <f>HYPERLINK("https://klasma.github.io/Logging_030360/artfynd/A 10853-2025 artfynd.xlsx", "A 10853-2025")</f>
        <v/>
      </c>
      <c r="T802">
        <f>HYPERLINK("https://klasma.github.io/Logging_030360/kartor/A 10853-2025 karta.png", "A 10853-2025")</f>
        <v/>
      </c>
      <c r="V802">
        <f>HYPERLINK("https://klasma.github.io/Logging_030360/klagomål/A 10853-2025 FSC-klagomål.docx", "A 10853-2025")</f>
        <v/>
      </c>
      <c r="W802">
        <f>HYPERLINK("https://klasma.github.io/Logging_030360/klagomålsmail/A 10853-2025 FSC-klagomål mail.docx", "A 10853-2025")</f>
        <v/>
      </c>
      <c r="X802">
        <f>HYPERLINK("https://klasma.github.io/Logging_030360/tillsyn/A 10853-2025 tillsynsbegäran.docx", "A 10853-2025")</f>
        <v/>
      </c>
      <c r="Y802">
        <f>HYPERLINK("https://klasma.github.io/Logging_030360/tillsynsmail/A 10853-2025 tillsynsbegäran mail.docx", "A 10853-2025")</f>
        <v/>
      </c>
    </row>
    <row r="803" ht="15" customHeight="1">
      <c r="A803" t="inlineStr">
        <is>
          <t>A 10844-2025</t>
        </is>
      </c>
      <c r="B803" s="1" t="n">
        <v>45722</v>
      </c>
      <c r="C803" s="1" t="n">
        <v>45846</v>
      </c>
      <c r="D803" t="inlineStr">
        <is>
          <t>UPPSALA LÄN</t>
        </is>
      </c>
      <c r="E803" t="inlineStr">
        <is>
          <t>TIERP</t>
        </is>
      </c>
      <c r="F803" t="inlineStr">
        <is>
          <t>Bergvik skog öst AB</t>
        </is>
      </c>
      <c r="G803" t="n">
        <v>4.3</v>
      </c>
      <c r="H803" t="n">
        <v>1</v>
      </c>
      <c r="I803" t="n">
        <v>0</v>
      </c>
      <c r="J803" t="n">
        <v>0</v>
      </c>
      <c r="K803" t="n">
        <v>0</v>
      </c>
      <c r="L803" t="n">
        <v>0</v>
      </c>
      <c r="M803" t="n">
        <v>0</v>
      </c>
      <c r="N803" t="n">
        <v>0</v>
      </c>
      <c r="O803" t="n">
        <v>0</v>
      </c>
      <c r="P803" t="n">
        <v>0</v>
      </c>
      <c r="Q803" t="n">
        <v>1</v>
      </c>
      <c r="R803" s="2" t="inlineStr">
        <is>
          <t>Blåsippa</t>
        </is>
      </c>
      <c r="S803">
        <f>HYPERLINK("https://klasma.github.io/Logging_030360/artfynd/A 10844-2025 artfynd.xlsx", "A 10844-2025")</f>
        <v/>
      </c>
      <c r="T803">
        <f>HYPERLINK("https://klasma.github.io/Logging_030360/kartor/A 10844-2025 karta.png", "A 10844-2025")</f>
        <v/>
      </c>
      <c r="V803">
        <f>HYPERLINK("https://klasma.github.io/Logging_030360/klagomål/A 10844-2025 FSC-klagomål.docx", "A 10844-2025")</f>
        <v/>
      </c>
      <c r="W803">
        <f>HYPERLINK("https://klasma.github.io/Logging_030360/klagomålsmail/A 10844-2025 FSC-klagomål mail.docx", "A 10844-2025")</f>
        <v/>
      </c>
      <c r="X803">
        <f>HYPERLINK("https://klasma.github.io/Logging_030360/tillsyn/A 10844-2025 tillsynsbegäran.docx", "A 10844-2025")</f>
        <v/>
      </c>
      <c r="Y803">
        <f>HYPERLINK("https://klasma.github.io/Logging_030360/tillsynsmail/A 10844-2025 tillsynsbegäran mail.docx", "A 10844-2025")</f>
        <v/>
      </c>
    </row>
    <row r="804" ht="15" customHeight="1">
      <c r="A804" t="inlineStr">
        <is>
          <t>A 10848-2025</t>
        </is>
      </c>
      <c r="B804" s="1" t="n">
        <v>45722</v>
      </c>
      <c r="C804" s="1" t="n">
        <v>45846</v>
      </c>
      <c r="D804" t="inlineStr">
        <is>
          <t>UPPSALA LÄN</t>
        </is>
      </c>
      <c r="E804" t="inlineStr">
        <is>
          <t>TIERP</t>
        </is>
      </c>
      <c r="F804" t="inlineStr">
        <is>
          <t>Bergvik skog öst AB</t>
        </is>
      </c>
      <c r="G804" t="n">
        <v>1.9</v>
      </c>
      <c r="H804" t="n">
        <v>1</v>
      </c>
      <c r="I804" t="n">
        <v>0</v>
      </c>
      <c r="J804" t="n">
        <v>1</v>
      </c>
      <c r="K804" t="n">
        <v>0</v>
      </c>
      <c r="L804" t="n">
        <v>0</v>
      </c>
      <c r="M804" t="n">
        <v>0</v>
      </c>
      <c r="N804" t="n">
        <v>0</v>
      </c>
      <c r="O804" t="n">
        <v>1</v>
      </c>
      <c r="P804" t="n">
        <v>0</v>
      </c>
      <c r="Q804" t="n">
        <v>1</v>
      </c>
      <c r="R804" s="2" t="inlineStr">
        <is>
          <t>Talltita</t>
        </is>
      </c>
      <c r="S804">
        <f>HYPERLINK("https://klasma.github.io/Logging_030360/artfynd/A 10848-2025 artfynd.xlsx", "A 10848-2025")</f>
        <v/>
      </c>
      <c r="T804">
        <f>HYPERLINK("https://klasma.github.io/Logging_030360/kartor/A 10848-2025 karta.png", "A 10848-2025")</f>
        <v/>
      </c>
      <c r="V804">
        <f>HYPERLINK("https://klasma.github.io/Logging_030360/klagomål/A 10848-2025 FSC-klagomål.docx", "A 10848-2025")</f>
        <v/>
      </c>
      <c r="W804">
        <f>HYPERLINK("https://klasma.github.io/Logging_030360/klagomålsmail/A 10848-2025 FSC-klagomål mail.docx", "A 10848-2025")</f>
        <v/>
      </c>
      <c r="X804">
        <f>HYPERLINK("https://klasma.github.io/Logging_030360/tillsyn/A 10848-2025 tillsynsbegäran.docx", "A 10848-2025")</f>
        <v/>
      </c>
      <c r="Y804">
        <f>HYPERLINK("https://klasma.github.io/Logging_030360/tillsynsmail/A 10848-2025 tillsynsbegäran mail.docx", "A 10848-2025")</f>
        <v/>
      </c>
      <c r="Z804">
        <f>HYPERLINK("https://klasma.github.io/Logging_030360/fåglar/A 10848-2025 prioriterade fågelarter.docx", "A 10848-2025")</f>
        <v/>
      </c>
    </row>
    <row r="805" ht="15" customHeight="1">
      <c r="A805" t="inlineStr">
        <is>
          <t>A 11015-2025</t>
        </is>
      </c>
      <c r="B805" s="1" t="n">
        <v>45723</v>
      </c>
      <c r="C805" s="1" t="n">
        <v>45846</v>
      </c>
      <c r="D805" t="inlineStr">
        <is>
          <t>UPPSALA LÄN</t>
        </is>
      </c>
      <c r="E805" t="inlineStr">
        <is>
          <t>ENKÖPING</t>
        </is>
      </c>
      <c r="G805" t="n">
        <v>1.3</v>
      </c>
      <c r="H805" t="n">
        <v>0</v>
      </c>
      <c r="I805" t="n">
        <v>1</v>
      </c>
      <c r="J805" t="n">
        <v>0</v>
      </c>
      <c r="K805" t="n">
        <v>0</v>
      </c>
      <c r="L805" t="n">
        <v>0</v>
      </c>
      <c r="M805" t="n">
        <v>0</v>
      </c>
      <c r="N805" t="n">
        <v>0</v>
      </c>
      <c r="O805" t="n">
        <v>0</v>
      </c>
      <c r="P805" t="n">
        <v>0</v>
      </c>
      <c r="Q805" t="n">
        <v>1</v>
      </c>
      <c r="R805" s="2" t="inlineStr">
        <is>
          <t>Svart trolldruva</t>
        </is>
      </c>
      <c r="S805">
        <f>HYPERLINK("https://klasma.github.io/Logging_030381/artfynd/A 11015-2025 artfynd.xlsx", "A 11015-2025")</f>
        <v/>
      </c>
      <c r="T805">
        <f>HYPERLINK("https://klasma.github.io/Logging_030381/kartor/A 11015-2025 karta.png", "A 11015-2025")</f>
        <v/>
      </c>
      <c r="V805">
        <f>HYPERLINK("https://klasma.github.io/Logging_030381/klagomål/A 11015-2025 FSC-klagomål.docx", "A 11015-2025")</f>
        <v/>
      </c>
      <c r="W805">
        <f>HYPERLINK("https://klasma.github.io/Logging_030381/klagomålsmail/A 11015-2025 FSC-klagomål mail.docx", "A 11015-2025")</f>
        <v/>
      </c>
      <c r="X805">
        <f>HYPERLINK("https://klasma.github.io/Logging_030381/tillsyn/A 11015-2025 tillsynsbegäran.docx", "A 11015-2025")</f>
        <v/>
      </c>
      <c r="Y805">
        <f>HYPERLINK("https://klasma.github.io/Logging_030381/tillsynsmail/A 11015-2025 tillsynsbegäran mail.docx", "A 11015-2025")</f>
        <v/>
      </c>
    </row>
    <row r="806" ht="15" customHeight="1">
      <c r="A806" t="inlineStr">
        <is>
          <t>A 11018-2025</t>
        </is>
      </c>
      <c r="B806" s="1" t="n">
        <v>45723</v>
      </c>
      <c r="C806" s="1" t="n">
        <v>45846</v>
      </c>
      <c r="D806" t="inlineStr">
        <is>
          <t>UPPSALA LÄN</t>
        </is>
      </c>
      <c r="E806" t="inlineStr">
        <is>
          <t>ENKÖPING</t>
        </is>
      </c>
      <c r="G806" t="n">
        <v>1.6</v>
      </c>
      <c r="H806" t="n">
        <v>0</v>
      </c>
      <c r="I806" t="n">
        <v>0</v>
      </c>
      <c r="J806" t="n">
        <v>0</v>
      </c>
      <c r="K806" t="n">
        <v>0</v>
      </c>
      <c r="L806" t="n">
        <v>1</v>
      </c>
      <c r="M806" t="n">
        <v>0</v>
      </c>
      <c r="N806" t="n">
        <v>0</v>
      </c>
      <c r="O806" t="n">
        <v>1</v>
      </c>
      <c r="P806" t="n">
        <v>1</v>
      </c>
      <c r="Q806" t="n">
        <v>1</v>
      </c>
      <c r="R806" s="2" t="inlineStr">
        <is>
          <t>Ask</t>
        </is>
      </c>
      <c r="S806">
        <f>HYPERLINK("https://klasma.github.io/Logging_030381/artfynd/A 11018-2025 artfynd.xlsx", "A 11018-2025")</f>
        <v/>
      </c>
      <c r="T806">
        <f>HYPERLINK("https://klasma.github.io/Logging_030381/kartor/A 11018-2025 karta.png", "A 11018-2025")</f>
        <v/>
      </c>
      <c r="V806">
        <f>HYPERLINK("https://klasma.github.io/Logging_030381/klagomål/A 11018-2025 FSC-klagomål.docx", "A 11018-2025")</f>
        <v/>
      </c>
      <c r="W806">
        <f>HYPERLINK("https://klasma.github.io/Logging_030381/klagomålsmail/A 11018-2025 FSC-klagomål mail.docx", "A 11018-2025")</f>
        <v/>
      </c>
      <c r="X806">
        <f>HYPERLINK("https://klasma.github.io/Logging_030381/tillsyn/A 11018-2025 tillsynsbegäran.docx", "A 11018-2025")</f>
        <v/>
      </c>
      <c r="Y806">
        <f>HYPERLINK("https://klasma.github.io/Logging_030381/tillsynsmail/A 11018-2025 tillsynsbegäran mail.docx", "A 11018-2025")</f>
        <v/>
      </c>
    </row>
    <row r="807" ht="15" customHeight="1">
      <c r="A807" t="inlineStr">
        <is>
          <t>A 11405-2025</t>
        </is>
      </c>
      <c r="B807" s="1" t="n">
        <v>45726</v>
      </c>
      <c r="C807" s="1" t="n">
        <v>45846</v>
      </c>
      <c r="D807" t="inlineStr">
        <is>
          <t>UPPSALA LÄN</t>
        </is>
      </c>
      <c r="E807" t="inlineStr">
        <is>
          <t>KNIVSTA</t>
        </is>
      </c>
      <c r="G807" t="n">
        <v>1.6</v>
      </c>
      <c r="H807" t="n">
        <v>0</v>
      </c>
      <c r="I807" t="n">
        <v>0</v>
      </c>
      <c r="J807" t="n">
        <v>0</v>
      </c>
      <c r="K807" t="n">
        <v>0</v>
      </c>
      <c r="L807" t="n">
        <v>1</v>
      </c>
      <c r="M807" t="n">
        <v>0</v>
      </c>
      <c r="N807" t="n">
        <v>0</v>
      </c>
      <c r="O807" t="n">
        <v>1</v>
      </c>
      <c r="P807" t="n">
        <v>1</v>
      </c>
      <c r="Q807" t="n">
        <v>1</v>
      </c>
      <c r="R807" s="2" t="inlineStr">
        <is>
          <t>Fältgentiana</t>
        </is>
      </c>
      <c r="S807">
        <f>HYPERLINK("https://klasma.github.io/Logging_030330/artfynd/A 11405-2025 artfynd.xlsx", "A 11405-2025")</f>
        <v/>
      </c>
      <c r="T807">
        <f>HYPERLINK("https://klasma.github.io/Logging_030330/kartor/A 11405-2025 karta.png", "A 11405-2025")</f>
        <v/>
      </c>
      <c r="V807">
        <f>HYPERLINK("https://klasma.github.io/Logging_030330/klagomål/A 11405-2025 FSC-klagomål.docx", "A 11405-2025")</f>
        <v/>
      </c>
      <c r="W807">
        <f>HYPERLINK("https://klasma.github.io/Logging_030330/klagomålsmail/A 11405-2025 FSC-klagomål mail.docx", "A 11405-2025")</f>
        <v/>
      </c>
      <c r="X807">
        <f>HYPERLINK("https://klasma.github.io/Logging_030330/tillsyn/A 11405-2025 tillsynsbegäran.docx", "A 11405-2025")</f>
        <v/>
      </c>
      <c r="Y807">
        <f>HYPERLINK("https://klasma.github.io/Logging_030330/tillsynsmail/A 11405-2025 tillsynsbegäran mail.docx", "A 11405-2025")</f>
        <v/>
      </c>
    </row>
    <row r="808" ht="15" customHeight="1">
      <c r="A808" t="inlineStr">
        <is>
          <t>A 12427-2025</t>
        </is>
      </c>
      <c r="B808" s="1" t="n">
        <v>45730</v>
      </c>
      <c r="C808" s="1" t="n">
        <v>45846</v>
      </c>
      <c r="D808" t="inlineStr">
        <is>
          <t>UPPSALA LÄN</t>
        </is>
      </c>
      <c r="E808" t="inlineStr">
        <is>
          <t>ÄLVKARLEBY</t>
        </is>
      </c>
      <c r="F808" t="inlineStr">
        <is>
          <t>Bergvik skog öst AB</t>
        </is>
      </c>
      <c r="G808" t="n">
        <v>9.300000000000001</v>
      </c>
      <c r="H808" t="n">
        <v>1</v>
      </c>
      <c r="I808" t="n">
        <v>1</v>
      </c>
      <c r="J808" t="n">
        <v>0</v>
      </c>
      <c r="K808" t="n">
        <v>0</v>
      </c>
      <c r="L808" t="n">
        <v>0</v>
      </c>
      <c r="M808" t="n">
        <v>0</v>
      </c>
      <c r="N808" t="n">
        <v>0</v>
      </c>
      <c r="O808" t="n">
        <v>0</v>
      </c>
      <c r="P808" t="n">
        <v>0</v>
      </c>
      <c r="Q808" t="n">
        <v>1</v>
      </c>
      <c r="R808" s="2" t="inlineStr">
        <is>
          <t>Guckusko</t>
        </is>
      </c>
      <c r="S808">
        <f>HYPERLINK("https://klasma.github.io/Logging_030319/artfynd/A 12427-2025 artfynd.xlsx", "A 12427-2025")</f>
        <v/>
      </c>
      <c r="T808">
        <f>HYPERLINK("https://klasma.github.io/Logging_030319/kartor/A 12427-2025 karta.png", "A 12427-2025")</f>
        <v/>
      </c>
      <c r="V808">
        <f>HYPERLINK("https://klasma.github.io/Logging_030319/klagomål/A 12427-2025 FSC-klagomål.docx", "A 12427-2025")</f>
        <v/>
      </c>
      <c r="W808">
        <f>HYPERLINK("https://klasma.github.io/Logging_030319/klagomålsmail/A 12427-2025 FSC-klagomål mail.docx", "A 12427-2025")</f>
        <v/>
      </c>
      <c r="X808">
        <f>HYPERLINK("https://klasma.github.io/Logging_030319/tillsyn/A 12427-2025 tillsynsbegäran.docx", "A 12427-2025")</f>
        <v/>
      </c>
      <c r="Y808">
        <f>HYPERLINK("https://klasma.github.io/Logging_030319/tillsynsmail/A 12427-2025 tillsynsbegäran mail.docx", "A 12427-2025")</f>
        <v/>
      </c>
    </row>
    <row r="809" ht="15" customHeight="1">
      <c r="A809" t="inlineStr">
        <is>
          <t>A 13205-2025</t>
        </is>
      </c>
      <c r="B809" s="1" t="n">
        <v>45735</v>
      </c>
      <c r="C809" s="1" t="n">
        <v>45846</v>
      </c>
      <c r="D809" t="inlineStr">
        <is>
          <t>UPPSALA LÄN</t>
        </is>
      </c>
      <c r="E809" t="inlineStr">
        <is>
          <t>TIERP</t>
        </is>
      </c>
      <c r="G809" t="n">
        <v>8.6</v>
      </c>
      <c r="H809" t="n">
        <v>0</v>
      </c>
      <c r="I809" t="n">
        <v>1</v>
      </c>
      <c r="J809" t="n">
        <v>0</v>
      </c>
      <c r="K809" t="n">
        <v>0</v>
      </c>
      <c r="L809" t="n">
        <v>0</v>
      </c>
      <c r="M809" t="n">
        <v>0</v>
      </c>
      <c r="N809" t="n">
        <v>0</v>
      </c>
      <c r="O809" t="n">
        <v>0</v>
      </c>
      <c r="P809" t="n">
        <v>0</v>
      </c>
      <c r="Q809" t="n">
        <v>1</v>
      </c>
      <c r="R809" s="2" t="inlineStr">
        <is>
          <t>Fjällig taggsvamp s.str.</t>
        </is>
      </c>
      <c r="S809">
        <f>HYPERLINK("https://klasma.github.io/Logging_030360/artfynd/A 13205-2025 artfynd.xlsx", "A 13205-2025")</f>
        <v/>
      </c>
      <c r="T809">
        <f>HYPERLINK("https://klasma.github.io/Logging_030360/kartor/A 13205-2025 karta.png", "A 13205-2025")</f>
        <v/>
      </c>
      <c r="V809">
        <f>HYPERLINK("https://klasma.github.io/Logging_030360/klagomål/A 13205-2025 FSC-klagomål.docx", "A 13205-2025")</f>
        <v/>
      </c>
      <c r="W809">
        <f>HYPERLINK("https://klasma.github.io/Logging_030360/klagomålsmail/A 13205-2025 FSC-klagomål mail.docx", "A 13205-2025")</f>
        <v/>
      </c>
      <c r="X809">
        <f>HYPERLINK("https://klasma.github.io/Logging_030360/tillsyn/A 13205-2025 tillsynsbegäran.docx", "A 13205-2025")</f>
        <v/>
      </c>
      <c r="Y809">
        <f>HYPERLINK("https://klasma.github.io/Logging_030360/tillsynsmail/A 13205-2025 tillsynsbegäran mail.docx", "A 13205-2025")</f>
        <v/>
      </c>
    </row>
    <row r="810" ht="15" customHeight="1">
      <c r="A810" t="inlineStr">
        <is>
          <t>A 13526-2025</t>
        </is>
      </c>
      <c r="B810" s="1" t="n">
        <v>45736</v>
      </c>
      <c r="C810" s="1" t="n">
        <v>45846</v>
      </c>
      <c r="D810" t="inlineStr">
        <is>
          <t>UPPSALA LÄN</t>
        </is>
      </c>
      <c r="E810" t="inlineStr">
        <is>
          <t>UPPSALA</t>
        </is>
      </c>
      <c r="F810" t="inlineStr">
        <is>
          <t>Allmännings- och besparingsskogar</t>
        </is>
      </c>
      <c r="G810" t="n">
        <v>3</v>
      </c>
      <c r="H810" t="n">
        <v>0</v>
      </c>
      <c r="I810" t="n">
        <v>0</v>
      </c>
      <c r="J810" t="n">
        <v>1</v>
      </c>
      <c r="K810" t="n">
        <v>0</v>
      </c>
      <c r="L810" t="n">
        <v>0</v>
      </c>
      <c r="M810" t="n">
        <v>0</v>
      </c>
      <c r="N810" t="n">
        <v>0</v>
      </c>
      <c r="O810" t="n">
        <v>1</v>
      </c>
      <c r="P810" t="n">
        <v>0</v>
      </c>
      <c r="Q810" t="n">
        <v>1</v>
      </c>
      <c r="R810" s="2" t="inlineStr">
        <is>
          <t>Vedtrappmossa</t>
        </is>
      </c>
      <c r="S810">
        <f>HYPERLINK("https://klasma.github.io/Logging_030380/artfynd/A 13526-2025 artfynd.xlsx", "A 13526-2025")</f>
        <v/>
      </c>
      <c r="T810">
        <f>HYPERLINK("https://klasma.github.io/Logging_030380/kartor/A 13526-2025 karta.png", "A 13526-2025")</f>
        <v/>
      </c>
      <c r="V810">
        <f>HYPERLINK("https://klasma.github.io/Logging_030380/klagomål/A 13526-2025 FSC-klagomål.docx", "A 13526-2025")</f>
        <v/>
      </c>
      <c r="W810">
        <f>HYPERLINK("https://klasma.github.io/Logging_030380/klagomålsmail/A 13526-2025 FSC-klagomål mail.docx", "A 13526-2025")</f>
        <v/>
      </c>
      <c r="X810">
        <f>HYPERLINK("https://klasma.github.io/Logging_030380/tillsyn/A 13526-2025 tillsynsbegäran.docx", "A 13526-2025")</f>
        <v/>
      </c>
      <c r="Y810">
        <f>HYPERLINK("https://klasma.github.io/Logging_030380/tillsynsmail/A 13526-2025 tillsynsbegäran mail.docx", "A 13526-2025")</f>
        <v/>
      </c>
    </row>
    <row r="811" ht="15" customHeight="1">
      <c r="A811" t="inlineStr">
        <is>
          <t>A 14515-2025</t>
        </is>
      </c>
      <c r="B811" s="1" t="n">
        <v>45741</v>
      </c>
      <c r="C811" s="1" t="n">
        <v>45846</v>
      </c>
      <c r="D811" t="inlineStr">
        <is>
          <t>UPPSALA LÄN</t>
        </is>
      </c>
      <c r="E811" t="inlineStr">
        <is>
          <t>TIERP</t>
        </is>
      </c>
      <c r="F811" t="inlineStr">
        <is>
          <t>Bergvik skog väst AB</t>
        </is>
      </c>
      <c r="G811" t="n">
        <v>7.7</v>
      </c>
      <c r="H811" t="n">
        <v>1</v>
      </c>
      <c r="I811" t="n">
        <v>0</v>
      </c>
      <c r="J811" t="n">
        <v>1</v>
      </c>
      <c r="K811" t="n">
        <v>0</v>
      </c>
      <c r="L811" t="n">
        <v>0</v>
      </c>
      <c r="M811" t="n">
        <v>0</v>
      </c>
      <c r="N811" t="n">
        <v>0</v>
      </c>
      <c r="O811" t="n">
        <v>1</v>
      </c>
      <c r="P811" t="n">
        <v>0</v>
      </c>
      <c r="Q811" t="n">
        <v>1</v>
      </c>
      <c r="R811" s="2" t="inlineStr">
        <is>
          <t>Talltita</t>
        </is>
      </c>
      <c r="S811">
        <f>HYPERLINK("https://klasma.github.io/Logging_030360/artfynd/A 14515-2025 artfynd.xlsx", "A 14515-2025")</f>
        <v/>
      </c>
      <c r="T811">
        <f>HYPERLINK("https://klasma.github.io/Logging_030360/kartor/A 14515-2025 karta.png", "A 14515-2025")</f>
        <v/>
      </c>
      <c r="V811">
        <f>HYPERLINK("https://klasma.github.io/Logging_030360/klagomål/A 14515-2025 FSC-klagomål.docx", "A 14515-2025")</f>
        <v/>
      </c>
      <c r="W811">
        <f>HYPERLINK("https://klasma.github.io/Logging_030360/klagomålsmail/A 14515-2025 FSC-klagomål mail.docx", "A 14515-2025")</f>
        <v/>
      </c>
      <c r="X811">
        <f>HYPERLINK("https://klasma.github.io/Logging_030360/tillsyn/A 14515-2025 tillsynsbegäran.docx", "A 14515-2025")</f>
        <v/>
      </c>
      <c r="Y811">
        <f>HYPERLINK("https://klasma.github.io/Logging_030360/tillsynsmail/A 14515-2025 tillsynsbegäran mail.docx", "A 14515-2025")</f>
        <v/>
      </c>
      <c r="Z811">
        <f>HYPERLINK("https://klasma.github.io/Logging_030360/fåglar/A 14515-2025 prioriterade fågelarter.docx", "A 14515-2025")</f>
        <v/>
      </c>
    </row>
    <row r="812" ht="15" customHeight="1">
      <c r="A812" t="inlineStr">
        <is>
          <t>A 15680-2025</t>
        </is>
      </c>
      <c r="B812" s="1" t="n">
        <v>45748</v>
      </c>
      <c r="C812" s="1" t="n">
        <v>45846</v>
      </c>
      <c r="D812" t="inlineStr">
        <is>
          <t>UPPSALA LÄN</t>
        </is>
      </c>
      <c r="E812" t="inlineStr">
        <is>
          <t>TIERP</t>
        </is>
      </c>
      <c r="F812" t="inlineStr">
        <is>
          <t>Kyrkan</t>
        </is>
      </c>
      <c r="G812" t="n">
        <v>13.5</v>
      </c>
      <c r="H812" t="n">
        <v>1</v>
      </c>
      <c r="I812" t="n">
        <v>0</v>
      </c>
      <c r="J812" t="n">
        <v>0</v>
      </c>
      <c r="K812" t="n">
        <v>0</v>
      </c>
      <c r="L812" t="n">
        <v>0</v>
      </c>
      <c r="M812" t="n">
        <v>0</v>
      </c>
      <c r="N812" t="n">
        <v>0</v>
      </c>
      <c r="O812" t="n">
        <v>0</v>
      </c>
      <c r="P812" t="n">
        <v>0</v>
      </c>
      <c r="Q812" t="n">
        <v>1</v>
      </c>
      <c r="R812" s="2" t="inlineStr">
        <is>
          <t>Mattlummer</t>
        </is>
      </c>
      <c r="S812">
        <f>HYPERLINK("https://klasma.github.io/Logging_030360/artfynd/A 15680-2025 artfynd.xlsx", "A 15680-2025")</f>
        <v/>
      </c>
      <c r="T812">
        <f>HYPERLINK("https://klasma.github.io/Logging_030360/kartor/A 15680-2025 karta.png", "A 15680-2025")</f>
        <v/>
      </c>
      <c r="V812">
        <f>HYPERLINK("https://klasma.github.io/Logging_030360/klagomål/A 15680-2025 FSC-klagomål.docx", "A 15680-2025")</f>
        <v/>
      </c>
      <c r="W812">
        <f>HYPERLINK("https://klasma.github.io/Logging_030360/klagomålsmail/A 15680-2025 FSC-klagomål mail.docx", "A 15680-2025")</f>
        <v/>
      </c>
      <c r="X812">
        <f>HYPERLINK("https://klasma.github.io/Logging_030360/tillsyn/A 15680-2025 tillsynsbegäran.docx", "A 15680-2025")</f>
        <v/>
      </c>
      <c r="Y812">
        <f>HYPERLINK("https://klasma.github.io/Logging_030360/tillsynsmail/A 15680-2025 tillsynsbegäran mail.docx", "A 15680-2025")</f>
        <v/>
      </c>
    </row>
    <row r="813" ht="15" customHeight="1">
      <c r="A813" t="inlineStr">
        <is>
          <t>A 16407-2025</t>
        </is>
      </c>
      <c r="B813" s="1" t="n">
        <v>45751</v>
      </c>
      <c r="C813" s="1" t="n">
        <v>45846</v>
      </c>
      <c r="D813" t="inlineStr">
        <is>
          <t>UPPSALA LÄN</t>
        </is>
      </c>
      <c r="E813" t="inlineStr">
        <is>
          <t>KNIVSTA</t>
        </is>
      </c>
      <c r="G813" t="n">
        <v>1.1</v>
      </c>
      <c r="H813" t="n">
        <v>1</v>
      </c>
      <c r="I813" t="n">
        <v>0</v>
      </c>
      <c r="J813" t="n">
        <v>0</v>
      </c>
      <c r="K813" t="n">
        <v>0</v>
      </c>
      <c r="L813" t="n">
        <v>0</v>
      </c>
      <c r="M813" t="n">
        <v>0</v>
      </c>
      <c r="N813" t="n">
        <v>0</v>
      </c>
      <c r="O813" t="n">
        <v>0</v>
      </c>
      <c r="P813" t="n">
        <v>0</v>
      </c>
      <c r="Q813" t="n">
        <v>1</v>
      </c>
      <c r="R813" s="2" t="inlineStr">
        <is>
          <t>Blåsippa</t>
        </is>
      </c>
      <c r="S813">
        <f>HYPERLINK("https://klasma.github.io/Logging_030330/artfynd/A 16407-2025 artfynd.xlsx", "A 16407-2025")</f>
        <v/>
      </c>
      <c r="T813">
        <f>HYPERLINK("https://klasma.github.io/Logging_030330/kartor/A 16407-2025 karta.png", "A 16407-2025")</f>
        <v/>
      </c>
      <c r="V813">
        <f>HYPERLINK("https://klasma.github.io/Logging_030330/klagomål/A 16407-2025 FSC-klagomål.docx", "A 16407-2025")</f>
        <v/>
      </c>
      <c r="W813">
        <f>HYPERLINK("https://klasma.github.io/Logging_030330/klagomålsmail/A 16407-2025 FSC-klagomål mail.docx", "A 16407-2025")</f>
        <v/>
      </c>
      <c r="X813">
        <f>HYPERLINK("https://klasma.github.io/Logging_030330/tillsyn/A 16407-2025 tillsynsbegäran.docx", "A 16407-2025")</f>
        <v/>
      </c>
      <c r="Y813">
        <f>HYPERLINK("https://klasma.github.io/Logging_030330/tillsynsmail/A 16407-2025 tillsynsbegäran mail.docx", "A 16407-2025")</f>
        <v/>
      </c>
    </row>
    <row r="814" ht="15" customHeight="1">
      <c r="A814" t="inlineStr">
        <is>
          <t>A 16733-2025</t>
        </is>
      </c>
      <c r="B814" s="1" t="n">
        <v>45754</v>
      </c>
      <c r="C814" s="1" t="n">
        <v>45846</v>
      </c>
      <c r="D814" t="inlineStr">
        <is>
          <t>UPPSALA LÄN</t>
        </is>
      </c>
      <c r="E814" t="inlineStr">
        <is>
          <t>TIERP</t>
        </is>
      </c>
      <c r="F814" t="inlineStr">
        <is>
          <t>Bergvik skog väst AB</t>
        </is>
      </c>
      <c r="G814" t="n">
        <v>4.5</v>
      </c>
      <c r="H814" t="n">
        <v>0</v>
      </c>
      <c r="I814" t="n">
        <v>0</v>
      </c>
      <c r="J814" t="n">
        <v>1</v>
      </c>
      <c r="K814" t="n">
        <v>0</v>
      </c>
      <c r="L814" t="n">
        <v>0</v>
      </c>
      <c r="M814" t="n">
        <v>0</v>
      </c>
      <c r="N814" t="n">
        <v>0</v>
      </c>
      <c r="O814" t="n">
        <v>1</v>
      </c>
      <c r="P814" t="n">
        <v>0</v>
      </c>
      <c r="Q814" t="n">
        <v>1</v>
      </c>
      <c r="R814" s="2" t="inlineStr">
        <is>
          <t>Rödbrun blekspik</t>
        </is>
      </c>
      <c r="S814">
        <f>HYPERLINK("https://klasma.github.io/Logging_030360/artfynd/A 16733-2025 artfynd.xlsx", "A 16733-2025")</f>
        <v/>
      </c>
      <c r="T814">
        <f>HYPERLINK("https://klasma.github.io/Logging_030360/kartor/A 16733-2025 karta.png", "A 16733-2025")</f>
        <v/>
      </c>
      <c r="V814">
        <f>HYPERLINK("https://klasma.github.io/Logging_030360/klagomål/A 16733-2025 FSC-klagomål.docx", "A 16733-2025")</f>
        <v/>
      </c>
      <c r="W814">
        <f>HYPERLINK("https://klasma.github.io/Logging_030360/klagomålsmail/A 16733-2025 FSC-klagomål mail.docx", "A 16733-2025")</f>
        <v/>
      </c>
      <c r="X814">
        <f>HYPERLINK("https://klasma.github.io/Logging_030360/tillsyn/A 16733-2025 tillsynsbegäran.docx", "A 16733-2025")</f>
        <v/>
      </c>
      <c r="Y814">
        <f>HYPERLINK("https://klasma.github.io/Logging_030360/tillsynsmail/A 16733-2025 tillsynsbegäran mail.docx", "A 16733-2025")</f>
        <v/>
      </c>
    </row>
    <row r="815" ht="15" customHeight="1">
      <c r="A815" t="inlineStr">
        <is>
          <t>A 17141-2025</t>
        </is>
      </c>
      <c r="B815" s="1" t="n">
        <v>45755</v>
      </c>
      <c r="C815" s="1" t="n">
        <v>45846</v>
      </c>
      <c r="D815" t="inlineStr">
        <is>
          <t>UPPSALA LÄN</t>
        </is>
      </c>
      <c r="E815" t="inlineStr">
        <is>
          <t>ÖSTHAMMAR</t>
        </is>
      </c>
      <c r="F815" t="inlineStr">
        <is>
          <t>Bergvik skog öst AB</t>
        </is>
      </c>
      <c r="G815" t="n">
        <v>7</v>
      </c>
      <c r="H815" t="n">
        <v>1</v>
      </c>
      <c r="I815" t="n">
        <v>1</v>
      </c>
      <c r="J815" t="n">
        <v>0</v>
      </c>
      <c r="K815" t="n">
        <v>0</v>
      </c>
      <c r="L815" t="n">
        <v>0</v>
      </c>
      <c r="M815" t="n">
        <v>0</v>
      </c>
      <c r="N815" t="n">
        <v>0</v>
      </c>
      <c r="O815" t="n">
        <v>0</v>
      </c>
      <c r="P815" t="n">
        <v>0</v>
      </c>
      <c r="Q815" t="n">
        <v>1</v>
      </c>
      <c r="R815" s="2" t="inlineStr">
        <is>
          <t>Grönkulla</t>
        </is>
      </c>
      <c r="S815">
        <f>HYPERLINK("https://klasma.github.io/Logging_030382/artfynd/A 17141-2025 artfynd.xlsx", "A 17141-2025")</f>
        <v/>
      </c>
      <c r="T815">
        <f>HYPERLINK("https://klasma.github.io/Logging_030382/kartor/A 17141-2025 karta.png", "A 17141-2025")</f>
        <v/>
      </c>
      <c r="V815">
        <f>HYPERLINK("https://klasma.github.io/Logging_030382/klagomål/A 17141-2025 FSC-klagomål.docx", "A 17141-2025")</f>
        <v/>
      </c>
      <c r="W815">
        <f>HYPERLINK("https://klasma.github.io/Logging_030382/klagomålsmail/A 17141-2025 FSC-klagomål mail.docx", "A 17141-2025")</f>
        <v/>
      </c>
      <c r="X815">
        <f>HYPERLINK("https://klasma.github.io/Logging_030382/tillsyn/A 17141-2025 tillsynsbegäran.docx", "A 17141-2025")</f>
        <v/>
      </c>
      <c r="Y815">
        <f>HYPERLINK("https://klasma.github.io/Logging_030382/tillsynsmail/A 17141-2025 tillsynsbegäran mail.docx", "A 17141-2025")</f>
        <v/>
      </c>
    </row>
    <row r="816" ht="15" customHeight="1">
      <c r="A816" t="inlineStr">
        <is>
          <t>A 17484-2025</t>
        </is>
      </c>
      <c r="B816" s="1" t="n">
        <v>45757</v>
      </c>
      <c r="C816" s="1" t="n">
        <v>45846</v>
      </c>
      <c r="D816" t="inlineStr">
        <is>
          <t>UPPSALA LÄN</t>
        </is>
      </c>
      <c r="E816" t="inlineStr">
        <is>
          <t>UPPSALA</t>
        </is>
      </c>
      <c r="G816" t="n">
        <v>13.1</v>
      </c>
      <c r="H816" t="n">
        <v>1</v>
      </c>
      <c r="I816" t="n">
        <v>0</v>
      </c>
      <c r="J816" t="n">
        <v>0</v>
      </c>
      <c r="K816" t="n">
        <v>0</v>
      </c>
      <c r="L816" t="n">
        <v>0</v>
      </c>
      <c r="M816" t="n">
        <v>0</v>
      </c>
      <c r="N816" t="n">
        <v>0</v>
      </c>
      <c r="O816" t="n">
        <v>0</v>
      </c>
      <c r="P816" t="n">
        <v>0</v>
      </c>
      <c r="Q816" t="n">
        <v>1</v>
      </c>
      <c r="R816" s="2" t="inlineStr">
        <is>
          <t>Fläcknycklar</t>
        </is>
      </c>
      <c r="S816">
        <f>HYPERLINK("https://klasma.github.io/Logging_030380/artfynd/A 17484-2025 artfynd.xlsx", "A 17484-2025")</f>
        <v/>
      </c>
      <c r="T816">
        <f>HYPERLINK("https://klasma.github.io/Logging_030380/kartor/A 17484-2025 karta.png", "A 17484-2025")</f>
        <v/>
      </c>
      <c r="V816">
        <f>HYPERLINK("https://klasma.github.io/Logging_030380/klagomål/A 17484-2025 FSC-klagomål.docx", "A 17484-2025")</f>
        <v/>
      </c>
      <c r="W816">
        <f>HYPERLINK("https://klasma.github.io/Logging_030380/klagomålsmail/A 17484-2025 FSC-klagomål mail.docx", "A 17484-2025")</f>
        <v/>
      </c>
      <c r="X816">
        <f>HYPERLINK("https://klasma.github.io/Logging_030380/tillsyn/A 17484-2025 tillsynsbegäran.docx", "A 17484-2025")</f>
        <v/>
      </c>
      <c r="Y816">
        <f>HYPERLINK("https://klasma.github.io/Logging_030380/tillsynsmail/A 17484-2025 tillsynsbegäran mail.docx", "A 17484-2025")</f>
        <v/>
      </c>
    </row>
    <row r="817" ht="15" customHeight="1">
      <c r="A817" t="inlineStr">
        <is>
          <t>A 18405-2025</t>
        </is>
      </c>
      <c r="B817" s="1" t="n">
        <v>45762</v>
      </c>
      <c r="C817" s="1" t="n">
        <v>45846</v>
      </c>
      <c r="D817" t="inlineStr">
        <is>
          <t>UPPSALA LÄN</t>
        </is>
      </c>
      <c r="E817" t="inlineStr">
        <is>
          <t>UPPSALA</t>
        </is>
      </c>
      <c r="G817" t="n">
        <v>1.3</v>
      </c>
      <c r="H817" t="n">
        <v>0</v>
      </c>
      <c r="I817" t="n">
        <v>0</v>
      </c>
      <c r="J817" t="n">
        <v>1</v>
      </c>
      <c r="K817" t="n">
        <v>0</v>
      </c>
      <c r="L817" t="n">
        <v>0</v>
      </c>
      <c r="M817" t="n">
        <v>0</v>
      </c>
      <c r="N817" t="n">
        <v>0</v>
      </c>
      <c r="O817" t="n">
        <v>1</v>
      </c>
      <c r="P817" t="n">
        <v>0</v>
      </c>
      <c r="Q817" t="n">
        <v>1</v>
      </c>
      <c r="R817" s="2" t="inlineStr">
        <is>
          <t>Tallticka</t>
        </is>
      </c>
      <c r="S817">
        <f>HYPERLINK("https://klasma.github.io/Logging_030380/artfynd/A 18405-2025 artfynd.xlsx", "A 18405-2025")</f>
        <v/>
      </c>
      <c r="T817">
        <f>HYPERLINK("https://klasma.github.io/Logging_030380/kartor/A 18405-2025 karta.png", "A 18405-2025")</f>
        <v/>
      </c>
      <c r="V817">
        <f>HYPERLINK("https://klasma.github.io/Logging_030380/klagomål/A 18405-2025 FSC-klagomål.docx", "A 18405-2025")</f>
        <v/>
      </c>
      <c r="W817">
        <f>HYPERLINK("https://klasma.github.io/Logging_030380/klagomålsmail/A 18405-2025 FSC-klagomål mail.docx", "A 18405-2025")</f>
        <v/>
      </c>
      <c r="X817">
        <f>HYPERLINK("https://klasma.github.io/Logging_030380/tillsyn/A 18405-2025 tillsynsbegäran.docx", "A 18405-2025")</f>
        <v/>
      </c>
      <c r="Y817">
        <f>HYPERLINK("https://klasma.github.io/Logging_030380/tillsynsmail/A 18405-2025 tillsynsbegäran mail.docx", "A 18405-2025")</f>
        <v/>
      </c>
    </row>
    <row r="818" ht="15" customHeight="1">
      <c r="A818" t="inlineStr">
        <is>
          <t>A 18373-2025</t>
        </is>
      </c>
      <c r="B818" s="1" t="n">
        <v>45762</v>
      </c>
      <c r="C818" s="1" t="n">
        <v>45846</v>
      </c>
      <c r="D818" t="inlineStr">
        <is>
          <t>UPPSALA LÄN</t>
        </is>
      </c>
      <c r="E818" t="inlineStr">
        <is>
          <t>UPPSALA</t>
        </is>
      </c>
      <c r="G818" t="n">
        <v>9.5</v>
      </c>
      <c r="H818" t="n">
        <v>0</v>
      </c>
      <c r="I818" t="n">
        <v>0</v>
      </c>
      <c r="J818" t="n">
        <v>1</v>
      </c>
      <c r="K818" t="n">
        <v>0</v>
      </c>
      <c r="L818" t="n">
        <v>0</v>
      </c>
      <c r="M818" t="n">
        <v>0</v>
      </c>
      <c r="N818" t="n">
        <v>0</v>
      </c>
      <c r="O818" t="n">
        <v>1</v>
      </c>
      <c r="P818" t="n">
        <v>0</v>
      </c>
      <c r="Q818" t="n">
        <v>1</v>
      </c>
      <c r="R818" s="2" t="inlineStr">
        <is>
          <t>Ullticka</t>
        </is>
      </c>
      <c r="S818">
        <f>HYPERLINK("https://klasma.github.io/Logging_030380/artfynd/A 18373-2025 artfynd.xlsx", "A 18373-2025")</f>
        <v/>
      </c>
      <c r="T818">
        <f>HYPERLINK("https://klasma.github.io/Logging_030380/kartor/A 18373-2025 karta.png", "A 18373-2025")</f>
        <v/>
      </c>
      <c r="V818">
        <f>HYPERLINK("https://klasma.github.io/Logging_030380/klagomål/A 18373-2025 FSC-klagomål.docx", "A 18373-2025")</f>
        <v/>
      </c>
      <c r="W818">
        <f>HYPERLINK("https://klasma.github.io/Logging_030380/klagomålsmail/A 18373-2025 FSC-klagomål mail.docx", "A 18373-2025")</f>
        <v/>
      </c>
      <c r="X818">
        <f>HYPERLINK("https://klasma.github.io/Logging_030380/tillsyn/A 18373-2025 tillsynsbegäran.docx", "A 18373-2025")</f>
        <v/>
      </c>
      <c r="Y818">
        <f>HYPERLINK("https://klasma.github.io/Logging_030380/tillsynsmail/A 18373-2025 tillsynsbegäran mail.docx", "A 18373-2025")</f>
        <v/>
      </c>
    </row>
    <row r="819" ht="15" customHeight="1">
      <c r="A819" t="inlineStr">
        <is>
          <t>A 18424-2025</t>
        </is>
      </c>
      <c r="B819" s="1" t="n">
        <v>45762</v>
      </c>
      <c r="C819" s="1" t="n">
        <v>45846</v>
      </c>
      <c r="D819" t="inlineStr">
        <is>
          <t>UPPSALA LÄN</t>
        </is>
      </c>
      <c r="E819" t="inlineStr">
        <is>
          <t>HEBY</t>
        </is>
      </c>
      <c r="G819" t="n">
        <v>7.9</v>
      </c>
      <c r="H819" t="n">
        <v>0</v>
      </c>
      <c r="I819" t="n">
        <v>0</v>
      </c>
      <c r="J819" t="n">
        <v>1</v>
      </c>
      <c r="K819" t="n">
        <v>0</v>
      </c>
      <c r="L819" t="n">
        <v>0</v>
      </c>
      <c r="M819" t="n">
        <v>0</v>
      </c>
      <c r="N819" t="n">
        <v>0</v>
      </c>
      <c r="O819" t="n">
        <v>1</v>
      </c>
      <c r="P819" t="n">
        <v>0</v>
      </c>
      <c r="Q819" t="n">
        <v>1</v>
      </c>
      <c r="R819" s="2" t="inlineStr">
        <is>
          <t>Granticka</t>
        </is>
      </c>
      <c r="S819">
        <f>HYPERLINK("https://klasma.github.io/Logging_030331/artfynd/A 18424-2025 artfynd.xlsx", "A 18424-2025")</f>
        <v/>
      </c>
      <c r="T819">
        <f>HYPERLINK("https://klasma.github.io/Logging_030331/kartor/A 18424-2025 karta.png", "A 18424-2025")</f>
        <v/>
      </c>
      <c r="V819">
        <f>HYPERLINK("https://klasma.github.io/Logging_030331/klagomål/A 18424-2025 FSC-klagomål.docx", "A 18424-2025")</f>
        <v/>
      </c>
      <c r="W819">
        <f>HYPERLINK("https://klasma.github.io/Logging_030331/klagomålsmail/A 18424-2025 FSC-klagomål mail.docx", "A 18424-2025")</f>
        <v/>
      </c>
      <c r="X819">
        <f>HYPERLINK("https://klasma.github.io/Logging_030331/tillsyn/A 18424-2025 tillsynsbegäran.docx", "A 18424-2025")</f>
        <v/>
      </c>
      <c r="Y819">
        <f>HYPERLINK("https://klasma.github.io/Logging_030331/tillsynsmail/A 18424-2025 tillsynsbegäran mail.docx", "A 18424-2025")</f>
        <v/>
      </c>
    </row>
    <row r="820" ht="15" customHeight="1">
      <c r="A820" t="inlineStr">
        <is>
          <t>A 18619-2025</t>
        </is>
      </c>
      <c r="B820" s="1" t="n">
        <v>45763</v>
      </c>
      <c r="C820" s="1" t="n">
        <v>45846</v>
      </c>
      <c r="D820" t="inlineStr">
        <is>
          <t>UPPSALA LÄN</t>
        </is>
      </c>
      <c r="E820" t="inlineStr">
        <is>
          <t>TIERP</t>
        </is>
      </c>
      <c r="G820" t="n">
        <v>4.6</v>
      </c>
      <c r="H820" t="n">
        <v>1</v>
      </c>
      <c r="I820" t="n">
        <v>1</v>
      </c>
      <c r="J820" t="n">
        <v>0</v>
      </c>
      <c r="K820" t="n">
        <v>0</v>
      </c>
      <c r="L820" t="n">
        <v>0</v>
      </c>
      <c r="M820" t="n">
        <v>0</v>
      </c>
      <c r="N820" t="n">
        <v>0</v>
      </c>
      <c r="O820" t="n">
        <v>0</v>
      </c>
      <c r="P820" t="n">
        <v>0</v>
      </c>
      <c r="Q820" t="n">
        <v>1</v>
      </c>
      <c r="R820" s="2" t="inlineStr">
        <is>
          <t>Nästrot</t>
        </is>
      </c>
      <c r="S820">
        <f>HYPERLINK("https://klasma.github.io/Logging_030360/artfynd/A 18619-2025 artfynd.xlsx", "A 18619-2025")</f>
        <v/>
      </c>
      <c r="T820">
        <f>HYPERLINK("https://klasma.github.io/Logging_030360/kartor/A 18619-2025 karta.png", "A 18619-2025")</f>
        <v/>
      </c>
      <c r="V820">
        <f>HYPERLINK("https://klasma.github.io/Logging_030360/klagomål/A 18619-2025 FSC-klagomål.docx", "A 18619-2025")</f>
        <v/>
      </c>
      <c r="W820">
        <f>HYPERLINK("https://klasma.github.io/Logging_030360/klagomålsmail/A 18619-2025 FSC-klagomål mail.docx", "A 18619-2025")</f>
        <v/>
      </c>
      <c r="X820">
        <f>HYPERLINK("https://klasma.github.io/Logging_030360/tillsyn/A 18619-2025 tillsynsbegäran.docx", "A 18619-2025")</f>
        <v/>
      </c>
      <c r="Y820">
        <f>HYPERLINK("https://klasma.github.io/Logging_030360/tillsynsmail/A 18619-2025 tillsynsbegäran mail.docx", "A 18619-2025")</f>
        <v/>
      </c>
    </row>
    <row r="821" ht="15" customHeight="1">
      <c r="A821" t="inlineStr">
        <is>
          <t>A 18624-2025</t>
        </is>
      </c>
      <c r="B821" s="1" t="n">
        <v>45763</v>
      </c>
      <c r="C821" s="1" t="n">
        <v>45846</v>
      </c>
      <c r="D821" t="inlineStr">
        <is>
          <t>UPPSALA LÄN</t>
        </is>
      </c>
      <c r="E821" t="inlineStr">
        <is>
          <t>UPPSALA</t>
        </is>
      </c>
      <c r="G821" t="n">
        <v>5</v>
      </c>
      <c r="H821" t="n">
        <v>0</v>
      </c>
      <c r="I821" t="n">
        <v>1</v>
      </c>
      <c r="J821" t="n">
        <v>0</v>
      </c>
      <c r="K821" t="n">
        <v>0</v>
      </c>
      <c r="L821" t="n">
        <v>0</v>
      </c>
      <c r="M821" t="n">
        <v>0</v>
      </c>
      <c r="N821" t="n">
        <v>0</v>
      </c>
      <c r="O821" t="n">
        <v>0</v>
      </c>
      <c r="P821" t="n">
        <v>0</v>
      </c>
      <c r="Q821" t="n">
        <v>1</v>
      </c>
      <c r="R821" s="2" t="inlineStr">
        <is>
          <t>Blåmossa</t>
        </is>
      </c>
      <c r="S821">
        <f>HYPERLINK("https://klasma.github.io/Logging_030380/artfynd/A 18624-2025 artfynd.xlsx", "A 18624-2025")</f>
        <v/>
      </c>
      <c r="T821">
        <f>HYPERLINK("https://klasma.github.io/Logging_030380/kartor/A 18624-2025 karta.png", "A 18624-2025")</f>
        <v/>
      </c>
      <c r="V821">
        <f>HYPERLINK("https://klasma.github.io/Logging_030380/klagomål/A 18624-2025 FSC-klagomål.docx", "A 18624-2025")</f>
        <v/>
      </c>
      <c r="W821">
        <f>HYPERLINK("https://klasma.github.io/Logging_030380/klagomålsmail/A 18624-2025 FSC-klagomål mail.docx", "A 18624-2025")</f>
        <v/>
      </c>
      <c r="X821">
        <f>HYPERLINK("https://klasma.github.io/Logging_030380/tillsyn/A 18624-2025 tillsynsbegäran.docx", "A 18624-2025")</f>
        <v/>
      </c>
      <c r="Y821">
        <f>HYPERLINK("https://klasma.github.io/Logging_030380/tillsynsmail/A 18624-2025 tillsynsbegäran mail.docx", "A 18624-2025")</f>
        <v/>
      </c>
    </row>
    <row r="822" ht="15" customHeight="1">
      <c r="A822" t="inlineStr">
        <is>
          <t>A 19661-2025</t>
        </is>
      </c>
      <c r="B822" s="1" t="n">
        <v>45770</v>
      </c>
      <c r="C822" s="1" t="n">
        <v>45846</v>
      </c>
      <c r="D822" t="inlineStr">
        <is>
          <t>UPPSALA LÄN</t>
        </is>
      </c>
      <c r="E822" t="inlineStr">
        <is>
          <t>TIERP</t>
        </is>
      </c>
      <c r="F822" t="inlineStr">
        <is>
          <t>Bergvik skog öst AB</t>
        </is>
      </c>
      <c r="G822" t="n">
        <v>4.2</v>
      </c>
      <c r="H822" t="n">
        <v>0</v>
      </c>
      <c r="I822" t="n">
        <v>1</v>
      </c>
      <c r="J822" t="n">
        <v>0</v>
      </c>
      <c r="K822" t="n">
        <v>0</v>
      </c>
      <c r="L822" t="n">
        <v>0</v>
      </c>
      <c r="M822" t="n">
        <v>0</v>
      </c>
      <c r="N822" t="n">
        <v>0</v>
      </c>
      <c r="O822" t="n">
        <v>0</v>
      </c>
      <c r="P822" t="n">
        <v>0</v>
      </c>
      <c r="Q822" t="n">
        <v>1</v>
      </c>
      <c r="R822" s="2" t="inlineStr">
        <is>
          <t>Tibast</t>
        </is>
      </c>
      <c r="S822">
        <f>HYPERLINK("https://klasma.github.io/Logging_030360/artfynd/A 19661-2025 artfynd.xlsx", "A 19661-2025")</f>
        <v/>
      </c>
      <c r="T822">
        <f>HYPERLINK("https://klasma.github.io/Logging_030360/kartor/A 19661-2025 karta.png", "A 19661-2025")</f>
        <v/>
      </c>
      <c r="V822">
        <f>HYPERLINK("https://klasma.github.io/Logging_030360/klagomål/A 19661-2025 FSC-klagomål.docx", "A 19661-2025")</f>
        <v/>
      </c>
      <c r="W822">
        <f>HYPERLINK("https://klasma.github.io/Logging_030360/klagomålsmail/A 19661-2025 FSC-klagomål mail.docx", "A 19661-2025")</f>
        <v/>
      </c>
      <c r="X822">
        <f>HYPERLINK("https://klasma.github.io/Logging_030360/tillsyn/A 19661-2025 tillsynsbegäran.docx", "A 19661-2025")</f>
        <v/>
      </c>
      <c r="Y822">
        <f>HYPERLINK("https://klasma.github.io/Logging_030360/tillsynsmail/A 19661-2025 tillsynsbegäran mail.docx", "A 19661-2025")</f>
        <v/>
      </c>
    </row>
    <row r="823" ht="15" customHeight="1">
      <c r="A823" t="inlineStr">
        <is>
          <t>A 21203-2025</t>
        </is>
      </c>
      <c r="B823" s="1" t="n">
        <v>45777</v>
      </c>
      <c r="C823" s="1" t="n">
        <v>45846</v>
      </c>
      <c r="D823" t="inlineStr">
        <is>
          <t>UPPSALA LÄN</t>
        </is>
      </c>
      <c r="E823" t="inlineStr">
        <is>
          <t>HEBY</t>
        </is>
      </c>
      <c r="F823" t="inlineStr">
        <is>
          <t>Bergvik skog väst AB</t>
        </is>
      </c>
      <c r="G823" t="n">
        <v>27.7</v>
      </c>
      <c r="H823" t="n">
        <v>0</v>
      </c>
      <c r="I823" t="n">
        <v>1</v>
      </c>
      <c r="J823" t="n">
        <v>0</v>
      </c>
      <c r="K823" t="n">
        <v>0</v>
      </c>
      <c r="L823" t="n">
        <v>0</v>
      </c>
      <c r="M823" t="n">
        <v>0</v>
      </c>
      <c r="N823" t="n">
        <v>0</v>
      </c>
      <c r="O823" t="n">
        <v>0</v>
      </c>
      <c r="P823" t="n">
        <v>0</v>
      </c>
      <c r="Q823" t="n">
        <v>1</v>
      </c>
      <c r="R823" s="2" t="inlineStr">
        <is>
          <t>Kattfotslav</t>
        </is>
      </c>
      <c r="S823">
        <f>HYPERLINK("https://klasma.github.io/Logging_030331/artfynd/A 21203-2025 artfynd.xlsx", "A 21203-2025")</f>
        <v/>
      </c>
      <c r="T823">
        <f>HYPERLINK("https://klasma.github.io/Logging_030331/kartor/A 21203-2025 karta.png", "A 21203-2025")</f>
        <v/>
      </c>
      <c r="V823">
        <f>HYPERLINK("https://klasma.github.io/Logging_030331/klagomål/A 21203-2025 FSC-klagomål.docx", "A 21203-2025")</f>
        <v/>
      </c>
      <c r="W823">
        <f>HYPERLINK("https://klasma.github.io/Logging_030331/klagomålsmail/A 21203-2025 FSC-klagomål mail.docx", "A 21203-2025")</f>
        <v/>
      </c>
      <c r="X823">
        <f>HYPERLINK("https://klasma.github.io/Logging_030331/tillsyn/A 21203-2025 tillsynsbegäran.docx", "A 21203-2025")</f>
        <v/>
      </c>
      <c r="Y823">
        <f>HYPERLINK("https://klasma.github.io/Logging_030331/tillsynsmail/A 21203-2025 tillsynsbegäran mail.docx", "A 21203-2025")</f>
        <v/>
      </c>
    </row>
    <row r="824" ht="15" customHeight="1">
      <c r="A824" t="inlineStr">
        <is>
          <t>A 21801-2025</t>
        </is>
      </c>
      <c r="B824" s="1" t="n">
        <v>45783</v>
      </c>
      <c r="C824" s="1" t="n">
        <v>45846</v>
      </c>
      <c r="D824" t="inlineStr">
        <is>
          <t>UPPSALA LÄN</t>
        </is>
      </c>
      <c r="E824" t="inlineStr">
        <is>
          <t>UPPSALA</t>
        </is>
      </c>
      <c r="G824" t="n">
        <v>7.9</v>
      </c>
      <c r="H824" t="n">
        <v>1</v>
      </c>
      <c r="I824" t="n">
        <v>0</v>
      </c>
      <c r="J824" t="n">
        <v>0</v>
      </c>
      <c r="K824" t="n">
        <v>0</v>
      </c>
      <c r="L824" t="n">
        <v>0</v>
      </c>
      <c r="M824" t="n">
        <v>0</v>
      </c>
      <c r="N824" t="n">
        <v>0</v>
      </c>
      <c r="O824" t="n">
        <v>0</v>
      </c>
      <c r="P824" t="n">
        <v>0</v>
      </c>
      <c r="Q824" t="n">
        <v>1</v>
      </c>
      <c r="R824" s="2" t="inlineStr">
        <is>
          <t>Mattlummer</t>
        </is>
      </c>
      <c r="S824">
        <f>HYPERLINK("https://klasma.github.io/Logging_030380/artfynd/A 21801-2025 artfynd.xlsx", "A 21801-2025")</f>
        <v/>
      </c>
      <c r="T824">
        <f>HYPERLINK("https://klasma.github.io/Logging_030380/kartor/A 21801-2025 karta.png", "A 21801-2025")</f>
        <v/>
      </c>
      <c r="V824">
        <f>HYPERLINK("https://klasma.github.io/Logging_030380/klagomål/A 21801-2025 FSC-klagomål.docx", "A 21801-2025")</f>
        <v/>
      </c>
      <c r="W824">
        <f>HYPERLINK("https://klasma.github.io/Logging_030380/klagomålsmail/A 21801-2025 FSC-klagomål mail.docx", "A 21801-2025")</f>
        <v/>
      </c>
      <c r="X824">
        <f>HYPERLINK("https://klasma.github.io/Logging_030380/tillsyn/A 21801-2025 tillsynsbegäran.docx", "A 21801-2025")</f>
        <v/>
      </c>
      <c r="Y824">
        <f>HYPERLINK("https://klasma.github.io/Logging_030380/tillsynsmail/A 21801-2025 tillsynsbegäran mail.docx", "A 21801-2025")</f>
        <v/>
      </c>
    </row>
    <row r="825" ht="15" customHeight="1">
      <c r="A825" t="inlineStr">
        <is>
          <t>A 21970-2025</t>
        </is>
      </c>
      <c r="B825" s="1" t="n">
        <v>45784</v>
      </c>
      <c r="C825" s="1" t="n">
        <v>45846</v>
      </c>
      <c r="D825" t="inlineStr">
        <is>
          <t>UPPSALA LÄN</t>
        </is>
      </c>
      <c r="E825" t="inlineStr">
        <is>
          <t>ENKÖPING</t>
        </is>
      </c>
      <c r="G825" t="n">
        <v>5.3</v>
      </c>
      <c r="H825" t="n">
        <v>1</v>
      </c>
      <c r="I825" t="n">
        <v>0</v>
      </c>
      <c r="J825" t="n">
        <v>0</v>
      </c>
      <c r="K825" t="n">
        <v>0</v>
      </c>
      <c r="L825" t="n">
        <v>0</v>
      </c>
      <c r="M825" t="n">
        <v>0</v>
      </c>
      <c r="N825" t="n">
        <v>0</v>
      </c>
      <c r="O825" t="n">
        <v>0</v>
      </c>
      <c r="P825" t="n">
        <v>0</v>
      </c>
      <c r="Q825" t="n">
        <v>1</v>
      </c>
      <c r="R825" s="2" t="inlineStr">
        <is>
          <t>Blåsippa</t>
        </is>
      </c>
      <c r="S825">
        <f>HYPERLINK("https://klasma.github.io/Logging_030381/artfynd/A 21970-2025 artfynd.xlsx", "A 21970-2025")</f>
        <v/>
      </c>
      <c r="T825">
        <f>HYPERLINK("https://klasma.github.io/Logging_030381/kartor/A 21970-2025 karta.png", "A 21970-2025")</f>
        <v/>
      </c>
      <c r="V825">
        <f>HYPERLINK("https://klasma.github.io/Logging_030381/klagomål/A 21970-2025 FSC-klagomål.docx", "A 21970-2025")</f>
        <v/>
      </c>
      <c r="W825">
        <f>HYPERLINK("https://klasma.github.io/Logging_030381/klagomålsmail/A 21970-2025 FSC-klagomål mail.docx", "A 21970-2025")</f>
        <v/>
      </c>
      <c r="X825">
        <f>HYPERLINK("https://klasma.github.io/Logging_030381/tillsyn/A 21970-2025 tillsynsbegäran.docx", "A 21970-2025")</f>
        <v/>
      </c>
      <c r="Y825">
        <f>HYPERLINK("https://klasma.github.io/Logging_030381/tillsynsmail/A 21970-2025 tillsynsbegäran mail.docx", "A 21970-2025")</f>
        <v/>
      </c>
    </row>
    <row r="826" ht="15" customHeight="1">
      <c r="A826" t="inlineStr">
        <is>
          <t>A 22601-2025</t>
        </is>
      </c>
      <c r="B826" s="1" t="n">
        <v>45789</v>
      </c>
      <c r="C826" s="1" t="n">
        <v>45846</v>
      </c>
      <c r="D826" t="inlineStr">
        <is>
          <t>UPPSALA LÄN</t>
        </is>
      </c>
      <c r="E826" t="inlineStr">
        <is>
          <t>TIERP</t>
        </is>
      </c>
      <c r="F826" t="inlineStr">
        <is>
          <t>Bergvik skog väst AB</t>
        </is>
      </c>
      <c r="G826" t="n">
        <v>5.2</v>
      </c>
      <c r="H826" t="n">
        <v>0</v>
      </c>
      <c r="I826" t="n">
        <v>0</v>
      </c>
      <c r="J826" t="n">
        <v>0</v>
      </c>
      <c r="K826" t="n">
        <v>0</v>
      </c>
      <c r="L826" t="n">
        <v>1</v>
      </c>
      <c r="M826" t="n">
        <v>0</v>
      </c>
      <c r="N826" t="n">
        <v>0</v>
      </c>
      <c r="O826" t="n">
        <v>1</v>
      </c>
      <c r="P826" t="n">
        <v>1</v>
      </c>
      <c r="Q826" t="n">
        <v>1</v>
      </c>
      <c r="R826" s="2" t="inlineStr">
        <is>
          <t>Ask</t>
        </is>
      </c>
      <c r="S826">
        <f>HYPERLINK("https://klasma.github.io/Logging_030360/artfynd/A 22601-2025 artfynd.xlsx", "A 22601-2025")</f>
        <v/>
      </c>
      <c r="T826">
        <f>HYPERLINK("https://klasma.github.io/Logging_030360/kartor/A 22601-2025 karta.png", "A 22601-2025")</f>
        <v/>
      </c>
      <c r="V826">
        <f>HYPERLINK("https://klasma.github.io/Logging_030360/klagomål/A 22601-2025 FSC-klagomål.docx", "A 22601-2025")</f>
        <v/>
      </c>
      <c r="W826">
        <f>HYPERLINK("https://klasma.github.io/Logging_030360/klagomålsmail/A 22601-2025 FSC-klagomål mail.docx", "A 22601-2025")</f>
        <v/>
      </c>
      <c r="X826">
        <f>HYPERLINK("https://klasma.github.io/Logging_030360/tillsyn/A 22601-2025 tillsynsbegäran.docx", "A 22601-2025")</f>
        <v/>
      </c>
      <c r="Y826">
        <f>HYPERLINK("https://klasma.github.io/Logging_030360/tillsynsmail/A 22601-2025 tillsynsbegäran mail.docx", "A 22601-2025")</f>
        <v/>
      </c>
    </row>
    <row r="827" ht="15" customHeight="1">
      <c r="A827" t="inlineStr">
        <is>
          <t>A 22777-2025</t>
        </is>
      </c>
      <c r="B827" s="1" t="n">
        <v>45789</v>
      </c>
      <c r="C827" s="1" t="n">
        <v>45846</v>
      </c>
      <c r="D827" t="inlineStr">
        <is>
          <t>UPPSALA LÄN</t>
        </is>
      </c>
      <c r="E827" t="inlineStr">
        <is>
          <t>TIERP</t>
        </is>
      </c>
      <c r="G827" t="n">
        <v>2</v>
      </c>
      <c r="H827" t="n">
        <v>0</v>
      </c>
      <c r="I827" t="n">
        <v>0</v>
      </c>
      <c r="J827" t="n">
        <v>1</v>
      </c>
      <c r="K827" t="n">
        <v>0</v>
      </c>
      <c r="L827" t="n">
        <v>0</v>
      </c>
      <c r="M827" t="n">
        <v>0</v>
      </c>
      <c r="N827" t="n">
        <v>0</v>
      </c>
      <c r="O827" t="n">
        <v>1</v>
      </c>
      <c r="P827" t="n">
        <v>0</v>
      </c>
      <c r="Q827" t="n">
        <v>1</v>
      </c>
      <c r="R827" s="2" t="inlineStr">
        <is>
          <t>Persiljespindling</t>
        </is>
      </c>
      <c r="S827">
        <f>HYPERLINK("https://klasma.github.io/Logging_030360/artfynd/A 22777-2025 artfynd.xlsx", "A 22777-2025")</f>
        <v/>
      </c>
      <c r="T827">
        <f>HYPERLINK("https://klasma.github.io/Logging_030360/kartor/A 22777-2025 karta.png", "A 22777-2025")</f>
        <v/>
      </c>
      <c r="V827">
        <f>HYPERLINK("https://klasma.github.io/Logging_030360/klagomål/A 22777-2025 FSC-klagomål.docx", "A 22777-2025")</f>
        <v/>
      </c>
      <c r="W827">
        <f>HYPERLINK("https://klasma.github.io/Logging_030360/klagomålsmail/A 22777-2025 FSC-klagomål mail.docx", "A 22777-2025")</f>
        <v/>
      </c>
      <c r="X827">
        <f>HYPERLINK("https://klasma.github.io/Logging_030360/tillsyn/A 22777-2025 tillsynsbegäran.docx", "A 22777-2025")</f>
        <v/>
      </c>
      <c r="Y827">
        <f>HYPERLINK("https://klasma.github.io/Logging_030360/tillsynsmail/A 22777-2025 tillsynsbegäran mail.docx", "A 22777-2025")</f>
        <v/>
      </c>
    </row>
    <row r="828" ht="15" customHeight="1">
      <c r="A828" t="inlineStr">
        <is>
          <t>A 25318-2025</t>
        </is>
      </c>
      <c r="B828" s="1" t="n">
        <v>45799</v>
      </c>
      <c r="C828" s="1" t="n">
        <v>45846</v>
      </c>
      <c r="D828" t="inlineStr">
        <is>
          <t>UPPSALA LÄN</t>
        </is>
      </c>
      <c r="E828" t="inlineStr">
        <is>
          <t>HEBY</t>
        </is>
      </c>
      <c r="F828" t="inlineStr">
        <is>
          <t>Bergvik skog väst AB</t>
        </is>
      </c>
      <c r="G828" t="n">
        <v>29.7</v>
      </c>
      <c r="H828" t="n">
        <v>1</v>
      </c>
      <c r="I828" t="n">
        <v>0</v>
      </c>
      <c r="J828" t="n">
        <v>1</v>
      </c>
      <c r="K828" t="n">
        <v>0</v>
      </c>
      <c r="L828" t="n">
        <v>0</v>
      </c>
      <c r="M828" t="n">
        <v>0</v>
      </c>
      <c r="N828" t="n">
        <v>0</v>
      </c>
      <c r="O828" t="n">
        <v>1</v>
      </c>
      <c r="P828" t="n">
        <v>0</v>
      </c>
      <c r="Q828" t="n">
        <v>1</v>
      </c>
      <c r="R828" s="2" t="inlineStr">
        <is>
          <t>Slaguggla</t>
        </is>
      </c>
      <c r="S828">
        <f>HYPERLINK("https://klasma.github.io/Logging_030331/artfynd/A 25318-2025 artfynd.xlsx", "A 25318-2025")</f>
        <v/>
      </c>
      <c r="T828">
        <f>HYPERLINK("https://klasma.github.io/Logging_030331/kartor/A 25318-2025 karta.png", "A 25318-2025")</f>
        <v/>
      </c>
      <c r="V828">
        <f>HYPERLINK("https://klasma.github.io/Logging_030331/klagomål/A 25318-2025 FSC-klagomål.docx", "A 25318-2025")</f>
        <v/>
      </c>
      <c r="W828">
        <f>HYPERLINK("https://klasma.github.io/Logging_030331/klagomålsmail/A 25318-2025 FSC-klagomål mail.docx", "A 25318-2025")</f>
        <v/>
      </c>
      <c r="X828">
        <f>HYPERLINK("https://klasma.github.io/Logging_030331/tillsyn/A 25318-2025 tillsynsbegäran.docx", "A 25318-2025")</f>
        <v/>
      </c>
      <c r="Y828">
        <f>HYPERLINK("https://klasma.github.io/Logging_030331/tillsynsmail/A 25318-2025 tillsynsbegäran mail.docx", "A 25318-2025")</f>
        <v/>
      </c>
      <c r="Z828">
        <f>HYPERLINK("https://klasma.github.io/Logging_030331/fåglar/A 25318-2025 prioriterade fågelarter.docx", "A 25318-2025")</f>
        <v/>
      </c>
    </row>
    <row r="829" ht="15" customHeight="1">
      <c r="A829" t="inlineStr">
        <is>
          <t>A 25609-2025</t>
        </is>
      </c>
      <c r="B829" s="1" t="n">
        <v>45803</v>
      </c>
      <c r="C829" s="1" t="n">
        <v>45846</v>
      </c>
      <c r="D829" t="inlineStr">
        <is>
          <t>UPPSALA LÄN</t>
        </is>
      </c>
      <c r="E829" t="inlineStr">
        <is>
          <t>UPPSALA</t>
        </is>
      </c>
      <c r="F829" t="inlineStr">
        <is>
          <t>Holmen skog AB</t>
        </is>
      </c>
      <c r="G829" t="n">
        <v>4.5</v>
      </c>
      <c r="H829" t="n">
        <v>1</v>
      </c>
      <c r="I829" t="n">
        <v>0</v>
      </c>
      <c r="J829" t="n">
        <v>0</v>
      </c>
      <c r="K829" t="n">
        <v>0</v>
      </c>
      <c r="L829" t="n">
        <v>0</v>
      </c>
      <c r="M829" t="n">
        <v>0</v>
      </c>
      <c r="N829" t="n">
        <v>0</v>
      </c>
      <c r="O829" t="n">
        <v>0</v>
      </c>
      <c r="P829" t="n">
        <v>0</v>
      </c>
      <c r="Q829" t="n">
        <v>1</v>
      </c>
      <c r="R829" s="2" t="inlineStr">
        <is>
          <t>Blåsippa</t>
        </is>
      </c>
      <c r="S829">
        <f>HYPERLINK("https://klasma.github.io/Logging_030380/artfynd/A 25609-2025 artfynd.xlsx", "A 25609-2025")</f>
        <v/>
      </c>
      <c r="T829">
        <f>HYPERLINK("https://klasma.github.io/Logging_030380/kartor/A 25609-2025 karta.png", "A 25609-2025")</f>
        <v/>
      </c>
      <c r="U829">
        <f>HYPERLINK("https://klasma.github.io/Logging_030380/knärot/A 25609-2025 karta knärot.png", "A 25609-2025")</f>
        <v/>
      </c>
      <c r="V829">
        <f>HYPERLINK("https://klasma.github.io/Logging_030380/klagomål/A 25609-2025 FSC-klagomål.docx", "A 25609-2025")</f>
        <v/>
      </c>
      <c r="W829">
        <f>HYPERLINK("https://klasma.github.io/Logging_030380/klagomålsmail/A 25609-2025 FSC-klagomål mail.docx", "A 25609-2025")</f>
        <v/>
      </c>
      <c r="X829">
        <f>HYPERLINK("https://klasma.github.io/Logging_030380/tillsyn/A 25609-2025 tillsynsbegäran.docx", "A 25609-2025")</f>
        <v/>
      </c>
      <c r="Y829">
        <f>HYPERLINK("https://klasma.github.io/Logging_030380/tillsynsmail/A 25609-2025 tillsynsbegäran mail.docx", "A 25609-2025")</f>
        <v/>
      </c>
    </row>
    <row r="830" ht="15" customHeight="1">
      <c r="A830" t="inlineStr">
        <is>
          <t>A 25608-2025</t>
        </is>
      </c>
      <c r="B830" s="1" t="n">
        <v>45803</v>
      </c>
      <c r="C830" s="1" t="n">
        <v>45846</v>
      </c>
      <c r="D830" t="inlineStr">
        <is>
          <t>UPPSALA LÄN</t>
        </is>
      </c>
      <c r="E830" t="inlineStr">
        <is>
          <t>UPPSALA</t>
        </is>
      </c>
      <c r="F830" t="inlineStr">
        <is>
          <t>Holmen skog AB</t>
        </is>
      </c>
      <c r="G830" t="n">
        <v>3</v>
      </c>
      <c r="H830" t="n">
        <v>0</v>
      </c>
      <c r="I830" t="n">
        <v>1</v>
      </c>
      <c r="J830" t="n">
        <v>0</v>
      </c>
      <c r="K830" t="n">
        <v>0</v>
      </c>
      <c r="L830" t="n">
        <v>0</v>
      </c>
      <c r="M830" t="n">
        <v>0</v>
      </c>
      <c r="N830" t="n">
        <v>0</v>
      </c>
      <c r="O830" t="n">
        <v>0</v>
      </c>
      <c r="P830" t="n">
        <v>0</v>
      </c>
      <c r="Q830" t="n">
        <v>1</v>
      </c>
      <c r="R830" s="2" t="inlineStr">
        <is>
          <t>Stuplav</t>
        </is>
      </c>
      <c r="S830">
        <f>HYPERLINK("https://klasma.github.io/Logging_030380/artfynd/A 25608-2025 artfynd.xlsx", "A 25608-2025")</f>
        <v/>
      </c>
      <c r="T830">
        <f>HYPERLINK("https://klasma.github.io/Logging_030380/kartor/A 25608-2025 karta.png", "A 25608-2025")</f>
        <v/>
      </c>
      <c r="V830">
        <f>HYPERLINK("https://klasma.github.io/Logging_030380/klagomål/A 25608-2025 FSC-klagomål.docx", "A 25608-2025")</f>
        <v/>
      </c>
      <c r="W830">
        <f>HYPERLINK("https://klasma.github.io/Logging_030380/klagomålsmail/A 25608-2025 FSC-klagomål mail.docx", "A 25608-2025")</f>
        <v/>
      </c>
      <c r="X830">
        <f>HYPERLINK("https://klasma.github.io/Logging_030380/tillsyn/A 25608-2025 tillsynsbegäran.docx", "A 25608-2025")</f>
        <v/>
      </c>
      <c r="Y830">
        <f>HYPERLINK("https://klasma.github.io/Logging_030380/tillsynsmail/A 25608-2025 tillsynsbegäran mail.docx", "A 25608-2025")</f>
        <v/>
      </c>
    </row>
    <row r="831" ht="15" customHeight="1">
      <c r="A831" t="inlineStr">
        <is>
          <t>A 25660-2025</t>
        </is>
      </c>
      <c r="B831" s="1" t="n">
        <v>45803</v>
      </c>
      <c r="C831" s="1" t="n">
        <v>45846</v>
      </c>
      <c r="D831" t="inlineStr">
        <is>
          <t>UPPSALA LÄN</t>
        </is>
      </c>
      <c r="E831" t="inlineStr">
        <is>
          <t>UPPSALA</t>
        </is>
      </c>
      <c r="F831" t="inlineStr">
        <is>
          <t>Holmen skog AB</t>
        </is>
      </c>
      <c r="G831" t="n">
        <v>4.8</v>
      </c>
      <c r="H831" t="n">
        <v>0</v>
      </c>
      <c r="I831" t="n">
        <v>1</v>
      </c>
      <c r="J831" t="n">
        <v>0</v>
      </c>
      <c r="K831" t="n">
        <v>0</v>
      </c>
      <c r="L831" t="n">
        <v>0</v>
      </c>
      <c r="M831" t="n">
        <v>0</v>
      </c>
      <c r="N831" t="n">
        <v>0</v>
      </c>
      <c r="O831" t="n">
        <v>0</v>
      </c>
      <c r="P831" t="n">
        <v>0</v>
      </c>
      <c r="Q831" t="n">
        <v>1</v>
      </c>
      <c r="R831" s="2" t="inlineStr">
        <is>
          <t>Skogshakmossa</t>
        </is>
      </c>
      <c r="S831">
        <f>HYPERLINK("https://klasma.github.io/Logging_030380/artfynd/A 25660-2025 artfynd.xlsx", "A 25660-2025")</f>
        <v/>
      </c>
      <c r="T831">
        <f>HYPERLINK("https://klasma.github.io/Logging_030380/kartor/A 25660-2025 karta.png", "A 25660-2025")</f>
        <v/>
      </c>
      <c r="V831">
        <f>HYPERLINK("https://klasma.github.io/Logging_030380/klagomål/A 25660-2025 FSC-klagomål.docx", "A 25660-2025")</f>
        <v/>
      </c>
      <c r="W831">
        <f>HYPERLINK("https://klasma.github.io/Logging_030380/klagomålsmail/A 25660-2025 FSC-klagomål mail.docx", "A 25660-2025")</f>
        <v/>
      </c>
      <c r="X831">
        <f>HYPERLINK("https://klasma.github.io/Logging_030380/tillsyn/A 25660-2025 tillsynsbegäran.docx", "A 25660-2025")</f>
        <v/>
      </c>
      <c r="Y831">
        <f>HYPERLINK("https://klasma.github.io/Logging_030380/tillsynsmail/A 25660-2025 tillsynsbegäran mail.docx", "A 25660-2025")</f>
        <v/>
      </c>
    </row>
    <row r="832" ht="15" customHeight="1">
      <c r="A832" t="inlineStr">
        <is>
          <t>A 26135-2025</t>
        </is>
      </c>
      <c r="B832" s="1" t="n">
        <v>45805</v>
      </c>
      <c r="C832" s="1" t="n">
        <v>45846</v>
      </c>
      <c r="D832" t="inlineStr">
        <is>
          <t>UPPSALA LÄN</t>
        </is>
      </c>
      <c r="E832" t="inlineStr">
        <is>
          <t>UPPSALA</t>
        </is>
      </c>
      <c r="F832" t="inlineStr">
        <is>
          <t>Holmen skog AB</t>
        </is>
      </c>
      <c r="G832" t="n">
        <v>3.1</v>
      </c>
      <c r="H832" t="n">
        <v>0</v>
      </c>
      <c r="I832" t="n">
        <v>0</v>
      </c>
      <c r="J832" t="n">
        <v>1</v>
      </c>
      <c r="K832" t="n">
        <v>0</v>
      </c>
      <c r="L832" t="n">
        <v>0</v>
      </c>
      <c r="M832" t="n">
        <v>0</v>
      </c>
      <c r="N832" t="n">
        <v>0</v>
      </c>
      <c r="O832" t="n">
        <v>1</v>
      </c>
      <c r="P832" t="n">
        <v>0</v>
      </c>
      <c r="Q832" t="n">
        <v>1</v>
      </c>
      <c r="R832" s="2" t="inlineStr">
        <is>
          <t>Vedtrappmossa</t>
        </is>
      </c>
      <c r="S832">
        <f>HYPERLINK("https://klasma.github.io/Logging_030380/artfynd/A 26135-2025 artfynd.xlsx", "A 26135-2025")</f>
        <v/>
      </c>
      <c r="T832">
        <f>HYPERLINK("https://klasma.github.io/Logging_030380/kartor/A 26135-2025 karta.png", "A 26135-2025")</f>
        <v/>
      </c>
      <c r="V832">
        <f>HYPERLINK("https://klasma.github.io/Logging_030380/klagomål/A 26135-2025 FSC-klagomål.docx", "A 26135-2025")</f>
        <v/>
      </c>
      <c r="W832">
        <f>HYPERLINK("https://klasma.github.io/Logging_030380/klagomålsmail/A 26135-2025 FSC-klagomål mail.docx", "A 26135-2025")</f>
        <v/>
      </c>
      <c r="X832">
        <f>HYPERLINK("https://klasma.github.io/Logging_030380/tillsyn/A 26135-2025 tillsynsbegäran.docx", "A 26135-2025")</f>
        <v/>
      </c>
      <c r="Y832">
        <f>HYPERLINK("https://klasma.github.io/Logging_030380/tillsynsmail/A 26135-2025 tillsynsbegäran mail.docx", "A 26135-2025")</f>
        <v/>
      </c>
    </row>
    <row r="833" ht="15" customHeight="1">
      <c r="A833" t="inlineStr">
        <is>
          <t>A 26347-2025</t>
        </is>
      </c>
      <c r="B833" s="1" t="n">
        <v>45805</v>
      </c>
      <c r="C833" s="1" t="n">
        <v>45846</v>
      </c>
      <c r="D833" t="inlineStr">
        <is>
          <t>UPPSALA LÄN</t>
        </is>
      </c>
      <c r="E833" t="inlineStr">
        <is>
          <t>ENKÖPING</t>
        </is>
      </c>
      <c r="G833" t="n">
        <v>7.3</v>
      </c>
      <c r="H833" t="n">
        <v>1</v>
      </c>
      <c r="I833" t="n">
        <v>0</v>
      </c>
      <c r="J833" t="n">
        <v>0</v>
      </c>
      <c r="K833" t="n">
        <v>1</v>
      </c>
      <c r="L833" t="n">
        <v>0</v>
      </c>
      <c r="M833" t="n">
        <v>0</v>
      </c>
      <c r="N833" t="n">
        <v>0</v>
      </c>
      <c r="O833" t="n">
        <v>1</v>
      </c>
      <c r="P833" t="n">
        <v>1</v>
      </c>
      <c r="Q833" t="n">
        <v>1</v>
      </c>
      <c r="R833" s="2" t="inlineStr">
        <is>
          <t>Tofsvipa</t>
        </is>
      </c>
      <c r="S833">
        <f>HYPERLINK("https://klasma.github.io/Logging_030381/artfynd/A 26347-2025 artfynd.xlsx", "A 26347-2025")</f>
        <v/>
      </c>
      <c r="T833">
        <f>HYPERLINK("https://klasma.github.io/Logging_030381/kartor/A 26347-2025 karta.png", "A 26347-2025")</f>
        <v/>
      </c>
      <c r="V833">
        <f>HYPERLINK("https://klasma.github.io/Logging_030381/klagomål/A 26347-2025 FSC-klagomål.docx", "A 26347-2025")</f>
        <v/>
      </c>
      <c r="W833">
        <f>HYPERLINK("https://klasma.github.io/Logging_030381/klagomålsmail/A 26347-2025 FSC-klagomål mail.docx", "A 26347-2025")</f>
        <v/>
      </c>
      <c r="X833">
        <f>HYPERLINK("https://klasma.github.io/Logging_030381/tillsyn/A 26347-2025 tillsynsbegäran.docx", "A 26347-2025")</f>
        <v/>
      </c>
      <c r="Y833">
        <f>HYPERLINK("https://klasma.github.io/Logging_030381/tillsynsmail/A 26347-2025 tillsynsbegäran mail.docx", "A 26347-2025")</f>
        <v/>
      </c>
    </row>
    <row r="834" ht="15" customHeight="1">
      <c r="A834" t="inlineStr">
        <is>
          <t>A 27060-2025</t>
        </is>
      </c>
      <c r="B834" s="1" t="n">
        <v>45811</v>
      </c>
      <c r="C834" s="1" t="n">
        <v>45846</v>
      </c>
      <c r="D834" t="inlineStr">
        <is>
          <t>UPPSALA LÄN</t>
        </is>
      </c>
      <c r="E834" t="inlineStr">
        <is>
          <t>ENKÖPING</t>
        </is>
      </c>
      <c r="G834" t="n">
        <v>2.6</v>
      </c>
      <c r="H834" t="n">
        <v>0</v>
      </c>
      <c r="I834" t="n">
        <v>1</v>
      </c>
      <c r="J834" t="n">
        <v>0</v>
      </c>
      <c r="K834" t="n">
        <v>0</v>
      </c>
      <c r="L834" t="n">
        <v>0</v>
      </c>
      <c r="M834" t="n">
        <v>0</v>
      </c>
      <c r="N834" t="n">
        <v>0</v>
      </c>
      <c r="O834" t="n">
        <v>0</v>
      </c>
      <c r="P834" t="n">
        <v>0</v>
      </c>
      <c r="Q834" t="n">
        <v>1</v>
      </c>
      <c r="R834" s="2" t="inlineStr">
        <is>
          <t>Granbarkgnagare</t>
        </is>
      </c>
      <c r="S834">
        <f>HYPERLINK("https://klasma.github.io/Logging_030381/artfynd/A 27060-2025 artfynd.xlsx", "A 27060-2025")</f>
        <v/>
      </c>
      <c r="T834">
        <f>HYPERLINK("https://klasma.github.io/Logging_030381/kartor/A 27060-2025 karta.png", "A 27060-2025")</f>
        <v/>
      </c>
      <c r="V834">
        <f>HYPERLINK("https://klasma.github.io/Logging_030381/klagomål/A 27060-2025 FSC-klagomål.docx", "A 27060-2025")</f>
        <v/>
      </c>
      <c r="W834">
        <f>HYPERLINK("https://klasma.github.io/Logging_030381/klagomålsmail/A 27060-2025 FSC-klagomål mail.docx", "A 27060-2025")</f>
        <v/>
      </c>
      <c r="X834">
        <f>HYPERLINK("https://klasma.github.io/Logging_030381/tillsyn/A 27060-2025 tillsynsbegäran.docx", "A 27060-2025")</f>
        <v/>
      </c>
      <c r="Y834">
        <f>HYPERLINK("https://klasma.github.io/Logging_030381/tillsynsmail/A 27060-2025 tillsynsbegäran mail.docx", "A 27060-2025")</f>
        <v/>
      </c>
    </row>
    <row r="835" ht="15" customHeight="1">
      <c r="A835" t="inlineStr">
        <is>
          <t>A 26923-2025</t>
        </is>
      </c>
      <c r="B835" s="1" t="n">
        <v>45811</v>
      </c>
      <c r="C835" s="1" t="n">
        <v>45846</v>
      </c>
      <c r="D835" t="inlineStr">
        <is>
          <t>UPPSALA LÄN</t>
        </is>
      </c>
      <c r="E835" t="inlineStr">
        <is>
          <t>UPPSALA</t>
        </is>
      </c>
      <c r="F835" t="inlineStr">
        <is>
          <t>Kyrkan</t>
        </is>
      </c>
      <c r="G835" t="n">
        <v>9.800000000000001</v>
      </c>
      <c r="H835" t="n">
        <v>1</v>
      </c>
      <c r="I835" t="n">
        <v>0</v>
      </c>
      <c r="J835" t="n">
        <v>0</v>
      </c>
      <c r="K835" t="n">
        <v>0</v>
      </c>
      <c r="L835" t="n">
        <v>0</v>
      </c>
      <c r="M835" t="n">
        <v>0</v>
      </c>
      <c r="N835" t="n">
        <v>0</v>
      </c>
      <c r="O835" t="n">
        <v>0</v>
      </c>
      <c r="P835" t="n">
        <v>0</v>
      </c>
      <c r="Q835" t="n">
        <v>1</v>
      </c>
      <c r="R835" s="2" t="inlineStr">
        <is>
          <t>Fläcknycklar</t>
        </is>
      </c>
      <c r="S835">
        <f>HYPERLINK("https://klasma.github.io/Logging_030380/artfynd/A 26923-2025 artfynd.xlsx", "A 26923-2025")</f>
        <v/>
      </c>
      <c r="T835">
        <f>HYPERLINK("https://klasma.github.io/Logging_030380/kartor/A 26923-2025 karta.png", "A 26923-2025")</f>
        <v/>
      </c>
      <c r="V835">
        <f>HYPERLINK("https://klasma.github.io/Logging_030380/klagomål/A 26923-2025 FSC-klagomål.docx", "A 26923-2025")</f>
        <v/>
      </c>
      <c r="W835">
        <f>HYPERLINK("https://klasma.github.io/Logging_030380/klagomålsmail/A 26923-2025 FSC-klagomål mail.docx", "A 26923-2025")</f>
        <v/>
      </c>
      <c r="X835">
        <f>HYPERLINK("https://klasma.github.io/Logging_030380/tillsyn/A 26923-2025 tillsynsbegäran.docx", "A 26923-2025")</f>
        <v/>
      </c>
      <c r="Y835">
        <f>HYPERLINK("https://klasma.github.io/Logging_030380/tillsynsmail/A 26923-2025 tillsynsbegäran mail.docx", "A 26923-2025")</f>
        <v/>
      </c>
    </row>
    <row r="836" ht="15" customHeight="1">
      <c r="A836" t="inlineStr">
        <is>
          <t>A 27824-2025</t>
        </is>
      </c>
      <c r="B836" s="1" t="n">
        <v>45817</v>
      </c>
      <c r="C836" s="1" t="n">
        <v>45846</v>
      </c>
      <c r="D836" t="inlineStr">
        <is>
          <t>UPPSALA LÄN</t>
        </is>
      </c>
      <c r="E836" t="inlineStr">
        <is>
          <t>UPPSALA</t>
        </is>
      </c>
      <c r="F836" t="inlineStr">
        <is>
          <t>Kyrkan</t>
        </is>
      </c>
      <c r="G836" t="n">
        <v>3.3</v>
      </c>
      <c r="H836" t="n">
        <v>0</v>
      </c>
      <c r="I836" t="n">
        <v>1</v>
      </c>
      <c r="J836" t="n">
        <v>0</v>
      </c>
      <c r="K836" t="n">
        <v>0</v>
      </c>
      <c r="L836" t="n">
        <v>0</v>
      </c>
      <c r="M836" t="n">
        <v>0</v>
      </c>
      <c r="N836" t="n">
        <v>0</v>
      </c>
      <c r="O836" t="n">
        <v>0</v>
      </c>
      <c r="P836" t="n">
        <v>0</v>
      </c>
      <c r="Q836" t="n">
        <v>1</v>
      </c>
      <c r="R836" s="2" t="inlineStr">
        <is>
          <t>Sårläka</t>
        </is>
      </c>
      <c r="S836">
        <f>HYPERLINK("https://klasma.github.io/Logging_030380/artfynd/A 27824-2025 artfynd.xlsx", "A 27824-2025")</f>
        <v/>
      </c>
      <c r="T836">
        <f>HYPERLINK("https://klasma.github.io/Logging_030380/kartor/A 27824-2025 karta.png", "A 27824-2025")</f>
        <v/>
      </c>
      <c r="V836">
        <f>HYPERLINK("https://klasma.github.io/Logging_030380/klagomål/A 27824-2025 FSC-klagomål.docx", "A 27824-2025")</f>
        <v/>
      </c>
      <c r="W836">
        <f>HYPERLINK("https://klasma.github.io/Logging_030380/klagomålsmail/A 27824-2025 FSC-klagomål mail.docx", "A 27824-2025")</f>
        <v/>
      </c>
      <c r="X836">
        <f>HYPERLINK("https://klasma.github.io/Logging_030380/tillsyn/A 27824-2025 tillsynsbegäran.docx", "A 27824-2025")</f>
        <v/>
      </c>
      <c r="Y836">
        <f>HYPERLINK("https://klasma.github.io/Logging_030380/tillsynsmail/A 27824-2025 tillsynsbegäran mail.docx", "A 27824-2025")</f>
        <v/>
      </c>
    </row>
    <row r="837" ht="15" customHeight="1">
      <c r="A837" t="inlineStr">
        <is>
          <t>A 28056-2025</t>
        </is>
      </c>
      <c r="B837" s="1" t="n">
        <v>45817</v>
      </c>
      <c r="C837" s="1" t="n">
        <v>45846</v>
      </c>
      <c r="D837" t="inlineStr">
        <is>
          <t>UPPSALA LÄN</t>
        </is>
      </c>
      <c r="E837" t="inlineStr">
        <is>
          <t>UPPSALA</t>
        </is>
      </c>
      <c r="G837" t="n">
        <v>19.3</v>
      </c>
      <c r="H837" t="n">
        <v>1</v>
      </c>
      <c r="I837" t="n">
        <v>0</v>
      </c>
      <c r="J837" t="n">
        <v>0</v>
      </c>
      <c r="K837" t="n">
        <v>1</v>
      </c>
      <c r="L837" t="n">
        <v>0</v>
      </c>
      <c r="M837" t="n">
        <v>0</v>
      </c>
      <c r="N837" t="n">
        <v>0</v>
      </c>
      <c r="O837" t="n">
        <v>1</v>
      </c>
      <c r="P837" t="n">
        <v>1</v>
      </c>
      <c r="Q837" t="n">
        <v>1</v>
      </c>
      <c r="R837" s="2" t="inlineStr">
        <is>
          <t>Knärot</t>
        </is>
      </c>
      <c r="S837">
        <f>HYPERLINK("https://klasma.github.io/Logging_030380/artfynd/A 28056-2025 artfynd.xlsx", "A 28056-2025")</f>
        <v/>
      </c>
      <c r="T837">
        <f>HYPERLINK("https://klasma.github.io/Logging_030380/kartor/A 28056-2025 karta.png", "A 28056-2025")</f>
        <v/>
      </c>
      <c r="U837">
        <f>HYPERLINK("https://klasma.github.io/Logging_030380/knärot/A 28056-2025 karta knärot.png", "A 28056-2025")</f>
        <v/>
      </c>
      <c r="V837">
        <f>HYPERLINK("https://klasma.github.io/Logging_030380/klagomål/A 28056-2025 FSC-klagomål.docx", "A 28056-2025")</f>
        <v/>
      </c>
      <c r="W837">
        <f>HYPERLINK("https://klasma.github.io/Logging_030380/klagomålsmail/A 28056-2025 FSC-klagomål mail.docx", "A 28056-2025")</f>
        <v/>
      </c>
      <c r="X837">
        <f>HYPERLINK("https://klasma.github.io/Logging_030380/tillsyn/A 28056-2025 tillsynsbegäran.docx", "A 28056-2025")</f>
        <v/>
      </c>
      <c r="Y837">
        <f>HYPERLINK("https://klasma.github.io/Logging_030380/tillsynsmail/A 28056-2025 tillsynsbegäran mail.docx", "A 28056-2025")</f>
        <v/>
      </c>
    </row>
    <row r="838" ht="15" customHeight="1">
      <c r="A838" t="inlineStr">
        <is>
          <t>A 28299-2025</t>
        </is>
      </c>
      <c r="B838" s="1" t="n">
        <v>45818</v>
      </c>
      <c r="C838" s="1" t="n">
        <v>45846</v>
      </c>
      <c r="D838" t="inlineStr">
        <is>
          <t>UPPSALA LÄN</t>
        </is>
      </c>
      <c r="E838" t="inlineStr">
        <is>
          <t>UPPSALA</t>
        </is>
      </c>
      <c r="F838" t="inlineStr">
        <is>
          <t>Holmen skog AB</t>
        </is>
      </c>
      <c r="G838" t="n">
        <v>12</v>
      </c>
      <c r="H838" t="n">
        <v>0</v>
      </c>
      <c r="I838" t="n">
        <v>0</v>
      </c>
      <c r="J838" t="n">
        <v>1</v>
      </c>
      <c r="K838" t="n">
        <v>0</v>
      </c>
      <c r="L838" t="n">
        <v>0</v>
      </c>
      <c r="M838" t="n">
        <v>0</v>
      </c>
      <c r="N838" t="n">
        <v>0</v>
      </c>
      <c r="O838" t="n">
        <v>1</v>
      </c>
      <c r="P838" t="n">
        <v>0</v>
      </c>
      <c r="Q838" t="n">
        <v>1</v>
      </c>
      <c r="R838" s="2" t="inlineStr">
        <is>
          <t>Slåtterfibbla</t>
        </is>
      </c>
      <c r="S838">
        <f>HYPERLINK("https://klasma.github.io/Logging_030380/artfynd/A 28299-2025 artfynd.xlsx", "A 28299-2025")</f>
        <v/>
      </c>
      <c r="T838">
        <f>HYPERLINK("https://klasma.github.io/Logging_030380/kartor/A 28299-2025 karta.png", "A 28299-2025")</f>
        <v/>
      </c>
      <c r="V838">
        <f>HYPERLINK("https://klasma.github.io/Logging_030380/klagomål/A 28299-2025 FSC-klagomål.docx", "A 28299-2025")</f>
        <v/>
      </c>
      <c r="W838">
        <f>HYPERLINK("https://klasma.github.io/Logging_030380/klagomålsmail/A 28299-2025 FSC-klagomål mail.docx", "A 28299-2025")</f>
        <v/>
      </c>
      <c r="X838">
        <f>HYPERLINK("https://klasma.github.io/Logging_030380/tillsyn/A 28299-2025 tillsynsbegäran.docx", "A 28299-2025")</f>
        <v/>
      </c>
      <c r="Y838">
        <f>HYPERLINK("https://klasma.github.io/Logging_030380/tillsynsmail/A 28299-2025 tillsynsbegäran mail.docx", "A 28299-2025")</f>
        <v/>
      </c>
    </row>
    <row r="839" ht="15" customHeight="1">
      <c r="A839" t="inlineStr">
        <is>
          <t>A 28950-2025</t>
        </is>
      </c>
      <c r="B839" s="1" t="n">
        <v>45820</v>
      </c>
      <c r="C839" s="1" t="n">
        <v>45846</v>
      </c>
      <c r="D839" t="inlineStr">
        <is>
          <t>UPPSALA LÄN</t>
        </is>
      </c>
      <c r="E839" t="inlineStr">
        <is>
          <t>UPPSALA</t>
        </is>
      </c>
      <c r="F839" t="inlineStr">
        <is>
          <t>Bergvik skog öst AB</t>
        </is>
      </c>
      <c r="G839" t="n">
        <v>6</v>
      </c>
      <c r="H839" t="n">
        <v>0</v>
      </c>
      <c r="I839" t="n">
        <v>0</v>
      </c>
      <c r="J839" t="n">
        <v>0</v>
      </c>
      <c r="K839" t="n">
        <v>0</v>
      </c>
      <c r="L839" t="n">
        <v>1</v>
      </c>
      <c r="M839" t="n">
        <v>0</v>
      </c>
      <c r="N839" t="n">
        <v>0</v>
      </c>
      <c r="O839" t="n">
        <v>1</v>
      </c>
      <c r="P839" t="n">
        <v>1</v>
      </c>
      <c r="Q839" t="n">
        <v>1</v>
      </c>
      <c r="R839" s="2" t="inlineStr">
        <is>
          <t>Fältgentiana</t>
        </is>
      </c>
      <c r="S839">
        <f>HYPERLINK("https://klasma.github.io/Logging_030380/artfynd/A 28950-2025 artfynd.xlsx", "A 28950-2025")</f>
        <v/>
      </c>
      <c r="T839">
        <f>HYPERLINK("https://klasma.github.io/Logging_030380/kartor/A 28950-2025 karta.png", "A 28950-2025")</f>
        <v/>
      </c>
      <c r="V839">
        <f>HYPERLINK("https://klasma.github.io/Logging_030380/klagomål/A 28950-2025 FSC-klagomål.docx", "A 28950-2025")</f>
        <v/>
      </c>
      <c r="W839">
        <f>HYPERLINK("https://klasma.github.io/Logging_030380/klagomålsmail/A 28950-2025 FSC-klagomål mail.docx", "A 28950-2025")</f>
        <v/>
      </c>
      <c r="X839">
        <f>HYPERLINK("https://klasma.github.io/Logging_030380/tillsyn/A 28950-2025 tillsynsbegäran.docx", "A 28950-2025")</f>
        <v/>
      </c>
      <c r="Y839">
        <f>HYPERLINK("https://klasma.github.io/Logging_030380/tillsynsmail/A 28950-2025 tillsynsbegäran mail.docx", "A 28950-2025")</f>
        <v/>
      </c>
    </row>
    <row r="840" ht="15" customHeight="1">
      <c r="A840" t="inlineStr">
        <is>
          <t>A 29510-2025</t>
        </is>
      </c>
      <c r="B840" s="1" t="n">
        <v>45825</v>
      </c>
      <c r="C840" s="1" t="n">
        <v>45846</v>
      </c>
      <c r="D840" t="inlineStr">
        <is>
          <t>UPPSALA LÄN</t>
        </is>
      </c>
      <c r="E840" t="inlineStr">
        <is>
          <t>ENKÖPING</t>
        </is>
      </c>
      <c r="G840" t="n">
        <v>2.4</v>
      </c>
      <c r="H840" t="n">
        <v>0</v>
      </c>
      <c r="I840" t="n">
        <v>0</v>
      </c>
      <c r="J840" t="n">
        <v>0</v>
      </c>
      <c r="K840" t="n">
        <v>1</v>
      </c>
      <c r="L840" t="n">
        <v>0</v>
      </c>
      <c r="M840" t="n">
        <v>0</v>
      </c>
      <c r="N840" t="n">
        <v>0</v>
      </c>
      <c r="O840" t="n">
        <v>1</v>
      </c>
      <c r="P840" t="n">
        <v>1</v>
      </c>
      <c r="Q840" t="n">
        <v>1</v>
      </c>
      <c r="R840" s="2" t="inlineStr">
        <is>
          <t>Toppjungfrulin</t>
        </is>
      </c>
      <c r="S840">
        <f>HYPERLINK("https://klasma.github.io/Logging_030381/artfynd/A 29510-2025 artfynd.xlsx", "A 29510-2025")</f>
        <v/>
      </c>
      <c r="T840">
        <f>HYPERLINK("https://klasma.github.io/Logging_030381/kartor/A 29510-2025 karta.png", "A 29510-2025")</f>
        <v/>
      </c>
      <c r="V840">
        <f>HYPERLINK("https://klasma.github.io/Logging_030381/klagomål/A 29510-2025 FSC-klagomål.docx", "A 29510-2025")</f>
        <v/>
      </c>
      <c r="W840">
        <f>HYPERLINK("https://klasma.github.io/Logging_030381/klagomålsmail/A 29510-2025 FSC-klagomål mail.docx", "A 29510-2025")</f>
        <v/>
      </c>
      <c r="X840">
        <f>HYPERLINK("https://klasma.github.io/Logging_030381/tillsyn/A 29510-2025 tillsynsbegäran.docx", "A 29510-2025")</f>
        <v/>
      </c>
      <c r="Y840">
        <f>HYPERLINK("https://klasma.github.io/Logging_030381/tillsynsmail/A 29510-2025 tillsynsbegäran mail.docx", "A 29510-2025")</f>
        <v/>
      </c>
    </row>
    <row r="841" ht="15" customHeight="1">
      <c r="A841" t="inlineStr">
        <is>
          <t>A 30605-2025</t>
        </is>
      </c>
      <c r="B841" s="1" t="n">
        <v>45831</v>
      </c>
      <c r="C841" s="1" t="n">
        <v>45846</v>
      </c>
      <c r="D841" t="inlineStr">
        <is>
          <t>UPPSALA LÄN</t>
        </is>
      </c>
      <c r="E841" t="inlineStr">
        <is>
          <t>ÖSTHAMMAR</t>
        </is>
      </c>
      <c r="G841" t="n">
        <v>1.7</v>
      </c>
      <c r="H841" t="n">
        <v>0</v>
      </c>
      <c r="I841" t="n">
        <v>0</v>
      </c>
      <c r="J841" t="n">
        <v>0</v>
      </c>
      <c r="K841" t="n">
        <v>1</v>
      </c>
      <c r="L841" t="n">
        <v>0</v>
      </c>
      <c r="M841" t="n">
        <v>0</v>
      </c>
      <c r="N841" t="n">
        <v>0</v>
      </c>
      <c r="O841" t="n">
        <v>1</v>
      </c>
      <c r="P841" t="n">
        <v>1</v>
      </c>
      <c r="Q841" t="n">
        <v>1</v>
      </c>
      <c r="R841" s="2" t="inlineStr">
        <is>
          <t>Plattsäv</t>
        </is>
      </c>
      <c r="S841">
        <f>HYPERLINK("https://klasma.github.io/Logging_030382/artfynd/A 30605-2025 artfynd.xlsx", "A 30605-2025")</f>
        <v/>
      </c>
      <c r="T841">
        <f>HYPERLINK("https://klasma.github.io/Logging_030382/kartor/A 30605-2025 karta.png", "A 30605-2025")</f>
        <v/>
      </c>
      <c r="V841">
        <f>HYPERLINK("https://klasma.github.io/Logging_030382/klagomål/A 30605-2025 FSC-klagomål.docx", "A 30605-2025")</f>
        <v/>
      </c>
      <c r="W841">
        <f>HYPERLINK("https://klasma.github.io/Logging_030382/klagomålsmail/A 30605-2025 FSC-klagomål mail.docx", "A 30605-2025")</f>
        <v/>
      </c>
      <c r="X841">
        <f>HYPERLINK("https://klasma.github.io/Logging_030382/tillsyn/A 30605-2025 tillsynsbegäran.docx", "A 30605-2025")</f>
        <v/>
      </c>
      <c r="Y841">
        <f>HYPERLINK("https://klasma.github.io/Logging_030382/tillsynsmail/A 30605-2025 tillsynsbegäran mail.docx", "A 30605-2025")</f>
        <v/>
      </c>
    </row>
    <row r="842" ht="15" customHeight="1">
      <c r="A842" t="inlineStr">
        <is>
          <t>A 17828-2019</t>
        </is>
      </c>
      <c r="B842" s="1" t="n">
        <v>43556</v>
      </c>
      <c r="C842" s="1" t="n">
        <v>45846</v>
      </c>
      <c r="D842" t="inlineStr">
        <is>
          <t>UPPSALA LÄN</t>
        </is>
      </c>
      <c r="E842" t="inlineStr">
        <is>
          <t>UPPSALA</t>
        </is>
      </c>
      <c r="G842" t="n">
        <v>2.8</v>
      </c>
      <c r="H842" t="n">
        <v>0</v>
      </c>
      <c r="I842" t="n">
        <v>0</v>
      </c>
      <c r="J842" t="n">
        <v>0</v>
      </c>
      <c r="K842" t="n">
        <v>0</v>
      </c>
      <c r="L842" t="n">
        <v>0</v>
      </c>
      <c r="M842" t="n">
        <v>0</v>
      </c>
      <c r="N842" t="n">
        <v>0</v>
      </c>
      <c r="O842" t="n">
        <v>0</v>
      </c>
      <c r="P842" t="n">
        <v>0</v>
      </c>
      <c r="Q842" t="n">
        <v>0</v>
      </c>
      <c r="R842" s="2" t="inlineStr"/>
    </row>
    <row r="843" ht="15" customHeight="1">
      <c r="A843" t="inlineStr">
        <is>
          <t>A 17706-2019</t>
        </is>
      </c>
      <c r="B843" s="1" t="n">
        <v>43556</v>
      </c>
      <c r="C843" s="1" t="n">
        <v>45846</v>
      </c>
      <c r="D843" t="inlineStr">
        <is>
          <t>UPPSALA LÄN</t>
        </is>
      </c>
      <c r="E843" t="inlineStr">
        <is>
          <t>HEBY</t>
        </is>
      </c>
      <c r="G843" t="n">
        <v>2.4</v>
      </c>
      <c r="H843" t="n">
        <v>0</v>
      </c>
      <c r="I843" t="n">
        <v>0</v>
      </c>
      <c r="J843" t="n">
        <v>0</v>
      </c>
      <c r="K843" t="n">
        <v>0</v>
      </c>
      <c r="L843" t="n">
        <v>0</v>
      </c>
      <c r="M843" t="n">
        <v>0</v>
      </c>
      <c r="N843" t="n">
        <v>0</v>
      </c>
      <c r="O843" t="n">
        <v>0</v>
      </c>
      <c r="P843" t="n">
        <v>0</v>
      </c>
      <c r="Q843" t="n">
        <v>0</v>
      </c>
      <c r="R843" s="2" t="inlineStr"/>
    </row>
    <row r="844" ht="15" customHeight="1">
      <c r="A844" t="inlineStr">
        <is>
          <t>A 18148-2019</t>
        </is>
      </c>
      <c r="B844" s="1" t="n">
        <v>43558</v>
      </c>
      <c r="C844" s="1" t="n">
        <v>45846</v>
      </c>
      <c r="D844" t="inlineStr">
        <is>
          <t>UPPSALA LÄN</t>
        </is>
      </c>
      <c r="E844" t="inlineStr">
        <is>
          <t>ENKÖPING</t>
        </is>
      </c>
      <c r="G844" t="n">
        <v>4.5</v>
      </c>
      <c r="H844" t="n">
        <v>0</v>
      </c>
      <c r="I844" t="n">
        <v>0</v>
      </c>
      <c r="J844" t="n">
        <v>0</v>
      </c>
      <c r="K844" t="n">
        <v>0</v>
      </c>
      <c r="L844" t="n">
        <v>0</v>
      </c>
      <c r="M844" t="n">
        <v>0</v>
      </c>
      <c r="N844" t="n">
        <v>0</v>
      </c>
      <c r="O844" t="n">
        <v>0</v>
      </c>
      <c r="P844" t="n">
        <v>0</v>
      </c>
      <c r="Q844" t="n">
        <v>0</v>
      </c>
      <c r="R844" s="2" t="inlineStr"/>
    </row>
    <row r="845" ht="15" customHeight="1">
      <c r="A845" t="inlineStr">
        <is>
          <t>A 18264-2019</t>
        </is>
      </c>
      <c r="B845" s="1" t="n">
        <v>43558</v>
      </c>
      <c r="C845" s="1" t="n">
        <v>45846</v>
      </c>
      <c r="D845" t="inlineStr">
        <is>
          <t>UPPSALA LÄN</t>
        </is>
      </c>
      <c r="E845" t="inlineStr">
        <is>
          <t>HÅBO</t>
        </is>
      </c>
      <c r="G845" t="n">
        <v>5.6</v>
      </c>
      <c r="H845" t="n">
        <v>0</v>
      </c>
      <c r="I845" t="n">
        <v>0</v>
      </c>
      <c r="J845" t="n">
        <v>0</v>
      </c>
      <c r="K845" t="n">
        <v>0</v>
      </c>
      <c r="L845" t="n">
        <v>0</v>
      </c>
      <c r="M845" t="n">
        <v>0</v>
      </c>
      <c r="N845" t="n">
        <v>0</v>
      </c>
      <c r="O845" t="n">
        <v>0</v>
      </c>
      <c r="P845" t="n">
        <v>0</v>
      </c>
      <c r="Q845" t="n">
        <v>0</v>
      </c>
      <c r="R845" s="2" t="inlineStr"/>
    </row>
    <row r="846" ht="15" customHeight="1">
      <c r="A846" t="inlineStr">
        <is>
          <t>A 18323-2019</t>
        </is>
      </c>
      <c r="B846" s="1" t="n">
        <v>43559</v>
      </c>
      <c r="C846" s="1" t="n">
        <v>45846</v>
      </c>
      <c r="D846" t="inlineStr">
        <is>
          <t>UPPSALA LÄN</t>
        </is>
      </c>
      <c r="E846" t="inlineStr">
        <is>
          <t>HEBY</t>
        </is>
      </c>
      <c r="G846" t="n">
        <v>3.3</v>
      </c>
      <c r="H846" t="n">
        <v>0</v>
      </c>
      <c r="I846" t="n">
        <v>0</v>
      </c>
      <c r="J846" t="n">
        <v>0</v>
      </c>
      <c r="K846" t="n">
        <v>0</v>
      </c>
      <c r="L846" t="n">
        <v>0</v>
      </c>
      <c r="M846" t="n">
        <v>0</v>
      </c>
      <c r="N846" t="n">
        <v>0</v>
      </c>
      <c r="O846" t="n">
        <v>0</v>
      </c>
      <c r="P846" t="n">
        <v>0</v>
      </c>
      <c r="Q846" t="n">
        <v>0</v>
      </c>
      <c r="R846" s="2" t="inlineStr"/>
    </row>
    <row r="847" ht="15" customHeight="1">
      <c r="A847" t="inlineStr">
        <is>
          <t>A 18446-2019</t>
        </is>
      </c>
      <c r="B847" s="1" t="n">
        <v>43559</v>
      </c>
      <c r="C847" s="1" t="n">
        <v>45846</v>
      </c>
      <c r="D847" t="inlineStr">
        <is>
          <t>UPPSALA LÄN</t>
        </is>
      </c>
      <c r="E847" t="inlineStr">
        <is>
          <t>UPPSALA</t>
        </is>
      </c>
      <c r="G847" t="n">
        <v>9.1</v>
      </c>
      <c r="H847" t="n">
        <v>0</v>
      </c>
      <c r="I847" t="n">
        <v>0</v>
      </c>
      <c r="J847" t="n">
        <v>0</v>
      </c>
      <c r="K847" t="n">
        <v>0</v>
      </c>
      <c r="L847" t="n">
        <v>0</v>
      </c>
      <c r="M847" t="n">
        <v>0</v>
      </c>
      <c r="N847" t="n">
        <v>0</v>
      </c>
      <c r="O847" t="n">
        <v>0</v>
      </c>
      <c r="P847" t="n">
        <v>0</v>
      </c>
      <c r="Q847" t="n">
        <v>0</v>
      </c>
      <c r="R847" s="2" t="inlineStr"/>
    </row>
    <row r="848" ht="15" customHeight="1">
      <c r="A848" t="inlineStr">
        <is>
          <t>A 18466-2019</t>
        </is>
      </c>
      <c r="B848" s="1" t="n">
        <v>43559</v>
      </c>
      <c r="C848" s="1" t="n">
        <v>45846</v>
      </c>
      <c r="D848" t="inlineStr">
        <is>
          <t>UPPSALA LÄN</t>
        </is>
      </c>
      <c r="E848" t="inlineStr">
        <is>
          <t>TIERP</t>
        </is>
      </c>
      <c r="G848" t="n">
        <v>2.5</v>
      </c>
      <c r="H848" t="n">
        <v>0</v>
      </c>
      <c r="I848" t="n">
        <v>0</v>
      </c>
      <c r="J848" t="n">
        <v>0</v>
      </c>
      <c r="K848" t="n">
        <v>0</v>
      </c>
      <c r="L848" t="n">
        <v>0</v>
      </c>
      <c r="M848" t="n">
        <v>0</v>
      </c>
      <c r="N848" t="n">
        <v>0</v>
      </c>
      <c r="O848" t="n">
        <v>0</v>
      </c>
      <c r="P848" t="n">
        <v>0</v>
      </c>
      <c r="Q848" t="n">
        <v>0</v>
      </c>
      <c r="R848" s="2" t="inlineStr"/>
    </row>
    <row r="849" ht="15" customHeight="1">
      <c r="A849" t="inlineStr">
        <is>
          <t>A 18506-2019</t>
        </is>
      </c>
      <c r="B849" s="1" t="n">
        <v>43559</v>
      </c>
      <c r="C849" s="1" t="n">
        <v>45846</v>
      </c>
      <c r="D849" t="inlineStr">
        <is>
          <t>UPPSALA LÄN</t>
        </is>
      </c>
      <c r="E849" t="inlineStr">
        <is>
          <t>KNIVSTA</t>
        </is>
      </c>
      <c r="F849" t="inlineStr">
        <is>
          <t>Holmen skog AB</t>
        </is>
      </c>
      <c r="G849" t="n">
        <v>1.2</v>
      </c>
      <c r="H849" t="n">
        <v>0</v>
      </c>
      <c r="I849" t="n">
        <v>0</v>
      </c>
      <c r="J849" t="n">
        <v>0</v>
      </c>
      <c r="K849" t="n">
        <v>0</v>
      </c>
      <c r="L849" t="n">
        <v>0</v>
      </c>
      <c r="M849" t="n">
        <v>0</v>
      </c>
      <c r="N849" t="n">
        <v>0</v>
      </c>
      <c r="O849" t="n">
        <v>0</v>
      </c>
      <c r="P849" t="n">
        <v>0</v>
      </c>
      <c r="Q849" t="n">
        <v>0</v>
      </c>
      <c r="R849" s="2" t="inlineStr"/>
    </row>
    <row r="850" ht="15" customHeight="1">
      <c r="A850" t="inlineStr">
        <is>
          <t>A 18503-2019</t>
        </is>
      </c>
      <c r="B850" s="1" t="n">
        <v>43559</v>
      </c>
      <c r="C850" s="1" t="n">
        <v>45846</v>
      </c>
      <c r="D850" t="inlineStr">
        <is>
          <t>UPPSALA LÄN</t>
        </is>
      </c>
      <c r="E850" t="inlineStr">
        <is>
          <t>KNIVSTA</t>
        </is>
      </c>
      <c r="F850" t="inlineStr">
        <is>
          <t>Holmen skog AB</t>
        </is>
      </c>
      <c r="G850" t="n">
        <v>2.7</v>
      </c>
      <c r="H850" t="n">
        <v>0</v>
      </c>
      <c r="I850" t="n">
        <v>0</v>
      </c>
      <c r="J850" t="n">
        <v>0</v>
      </c>
      <c r="K850" t="n">
        <v>0</v>
      </c>
      <c r="L850" t="n">
        <v>0</v>
      </c>
      <c r="M850" t="n">
        <v>0</v>
      </c>
      <c r="N850" t="n">
        <v>0</v>
      </c>
      <c r="O850" t="n">
        <v>0</v>
      </c>
      <c r="P850" t="n">
        <v>0</v>
      </c>
      <c r="Q850" t="n">
        <v>0</v>
      </c>
      <c r="R850" s="2" t="inlineStr"/>
    </row>
    <row r="851" ht="15" customHeight="1">
      <c r="A851" t="inlineStr">
        <is>
          <t>A 18554-2019</t>
        </is>
      </c>
      <c r="B851" s="1" t="n">
        <v>43559</v>
      </c>
      <c r="C851" s="1" t="n">
        <v>45846</v>
      </c>
      <c r="D851" t="inlineStr">
        <is>
          <t>UPPSALA LÄN</t>
        </is>
      </c>
      <c r="E851" t="inlineStr">
        <is>
          <t>UPPSALA</t>
        </is>
      </c>
      <c r="G851" t="n">
        <v>5.6</v>
      </c>
      <c r="H851" t="n">
        <v>0</v>
      </c>
      <c r="I851" t="n">
        <v>0</v>
      </c>
      <c r="J851" t="n">
        <v>0</v>
      </c>
      <c r="K851" t="n">
        <v>0</v>
      </c>
      <c r="L851" t="n">
        <v>0</v>
      </c>
      <c r="M851" t="n">
        <v>0</v>
      </c>
      <c r="N851" t="n">
        <v>0</v>
      </c>
      <c r="O851" t="n">
        <v>0</v>
      </c>
      <c r="P851" t="n">
        <v>0</v>
      </c>
      <c r="Q851" t="n">
        <v>0</v>
      </c>
      <c r="R851" s="2" t="inlineStr"/>
    </row>
    <row r="852" ht="15" customHeight="1">
      <c r="A852" t="inlineStr">
        <is>
          <t>A 18699-2019</t>
        </is>
      </c>
      <c r="B852" s="1" t="n">
        <v>43560</v>
      </c>
      <c r="C852" s="1" t="n">
        <v>45846</v>
      </c>
      <c r="D852" t="inlineStr">
        <is>
          <t>UPPSALA LÄN</t>
        </is>
      </c>
      <c r="E852" t="inlineStr">
        <is>
          <t>HEBY</t>
        </is>
      </c>
      <c r="G852" t="n">
        <v>1.9</v>
      </c>
      <c r="H852" t="n">
        <v>0</v>
      </c>
      <c r="I852" t="n">
        <v>0</v>
      </c>
      <c r="J852" t="n">
        <v>0</v>
      </c>
      <c r="K852" t="n">
        <v>0</v>
      </c>
      <c r="L852" t="n">
        <v>0</v>
      </c>
      <c r="M852" t="n">
        <v>0</v>
      </c>
      <c r="N852" t="n">
        <v>0</v>
      </c>
      <c r="O852" t="n">
        <v>0</v>
      </c>
      <c r="P852" t="n">
        <v>0</v>
      </c>
      <c r="Q852" t="n">
        <v>0</v>
      </c>
      <c r="R852" s="2" t="inlineStr"/>
    </row>
    <row r="853" ht="15" customHeight="1">
      <c r="A853" t="inlineStr">
        <is>
          <t>A 18716-2019</t>
        </is>
      </c>
      <c r="B853" s="1" t="n">
        <v>43560</v>
      </c>
      <c r="C853" s="1" t="n">
        <v>45846</v>
      </c>
      <c r="D853" t="inlineStr">
        <is>
          <t>UPPSALA LÄN</t>
        </is>
      </c>
      <c r="E853" t="inlineStr">
        <is>
          <t>HEBY</t>
        </is>
      </c>
      <c r="G853" t="n">
        <v>4.7</v>
      </c>
      <c r="H853" t="n">
        <v>0</v>
      </c>
      <c r="I853" t="n">
        <v>0</v>
      </c>
      <c r="J853" t="n">
        <v>0</v>
      </c>
      <c r="K853" t="n">
        <v>0</v>
      </c>
      <c r="L853" t="n">
        <v>0</v>
      </c>
      <c r="M853" t="n">
        <v>0</v>
      </c>
      <c r="N853" t="n">
        <v>0</v>
      </c>
      <c r="O853" t="n">
        <v>0</v>
      </c>
      <c r="P853" t="n">
        <v>0</v>
      </c>
      <c r="Q853" t="n">
        <v>0</v>
      </c>
      <c r="R853" s="2" t="inlineStr"/>
    </row>
    <row r="854" ht="15" customHeight="1">
      <c r="A854" t="inlineStr">
        <is>
          <t>A 18810-2019</t>
        </is>
      </c>
      <c r="B854" s="1" t="n">
        <v>43560</v>
      </c>
      <c r="C854" s="1" t="n">
        <v>45846</v>
      </c>
      <c r="D854" t="inlineStr">
        <is>
          <t>UPPSALA LÄN</t>
        </is>
      </c>
      <c r="E854" t="inlineStr">
        <is>
          <t>UPPSALA</t>
        </is>
      </c>
      <c r="G854" t="n">
        <v>4</v>
      </c>
      <c r="H854" t="n">
        <v>0</v>
      </c>
      <c r="I854" t="n">
        <v>0</v>
      </c>
      <c r="J854" t="n">
        <v>0</v>
      </c>
      <c r="K854" t="n">
        <v>0</v>
      </c>
      <c r="L854" t="n">
        <v>0</v>
      </c>
      <c r="M854" t="n">
        <v>0</v>
      </c>
      <c r="N854" t="n">
        <v>0</v>
      </c>
      <c r="O854" t="n">
        <v>0</v>
      </c>
      <c r="P854" t="n">
        <v>0</v>
      </c>
      <c r="Q854" t="n">
        <v>0</v>
      </c>
      <c r="R854" s="2" t="inlineStr"/>
    </row>
    <row r="855" ht="15" customHeight="1">
      <c r="A855" t="inlineStr">
        <is>
          <t>A 18596-2019</t>
        </is>
      </c>
      <c r="B855" s="1" t="n">
        <v>43560</v>
      </c>
      <c r="C855" s="1" t="n">
        <v>45846</v>
      </c>
      <c r="D855" t="inlineStr">
        <is>
          <t>UPPSALA LÄN</t>
        </is>
      </c>
      <c r="E855" t="inlineStr">
        <is>
          <t>ÖSTHAMMAR</t>
        </is>
      </c>
      <c r="G855" t="n">
        <v>1.2</v>
      </c>
      <c r="H855" t="n">
        <v>0</v>
      </c>
      <c r="I855" t="n">
        <v>0</v>
      </c>
      <c r="J855" t="n">
        <v>0</v>
      </c>
      <c r="K855" t="n">
        <v>0</v>
      </c>
      <c r="L855" t="n">
        <v>0</v>
      </c>
      <c r="M855" t="n">
        <v>0</v>
      </c>
      <c r="N855" t="n">
        <v>0</v>
      </c>
      <c r="O855" t="n">
        <v>0</v>
      </c>
      <c r="P855" t="n">
        <v>0</v>
      </c>
      <c r="Q855" t="n">
        <v>0</v>
      </c>
      <c r="R855" s="2" t="inlineStr"/>
    </row>
    <row r="856" ht="15" customHeight="1">
      <c r="A856" t="inlineStr">
        <is>
          <t>A 18781-2019</t>
        </is>
      </c>
      <c r="B856" s="1" t="n">
        <v>43561</v>
      </c>
      <c r="C856" s="1" t="n">
        <v>45846</v>
      </c>
      <c r="D856" t="inlineStr">
        <is>
          <t>UPPSALA LÄN</t>
        </is>
      </c>
      <c r="E856" t="inlineStr">
        <is>
          <t>ÖSTHAMMAR</t>
        </is>
      </c>
      <c r="F856" t="inlineStr">
        <is>
          <t>Bergvik skog öst AB</t>
        </is>
      </c>
      <c r="G856" t="n">
        <v>0.7</v>
      </c>
      <c r="H856" t="n">
        <v>0</v>
      </c>
      <c r="I856" t="n">
        <v>0</v>
      </c>
      <c r="J856" t="n">
        <v>0</v>
      </c>
      <c r="K856" t="n">
        <v>0</v>
      </c>
      <c r="L856" t="n">
        <v>0</v>
      </c>
      <c r="M856" t="n">
        <v>0</v>
      </c>
      <c r="N856" t="n">
        <v>0</v>
      </c>
      <c r="O856" t="n">
        <v>0</v>
      </c>
      <c r="P856" t="n">
        <v>0</v>
      </c>
      <c r="Q856" t="n">
        <v>0</v>
      </c>
      <c r="R856" s="2" t="inlineStr"/>
    </row>
    <row r="857" ht="15" customHeight="1">
      <c r="A857" t="inlineStr">
        <is>
          <t>A 18792-2019</t>
        </is>
      </c>
      <c r="B857" s="1" t="n">
        <v>43562</v>
      </c>
      <c r="C857" s="1" t="n">
        <v>45846</v>
      </c>
      <c r="D857" t="inlineStr">
        <is>
          <t>UPPSALA LÄN</t>
        </is>
      </c>
      <c r="E857" t="inlineStr">
        <is>
          <t>ÖSTHAMMAR</t>
        </is>
      </c>
      <c r="G857" t="n">
        <v>1.1</v>
      </c>
      <c r="H857" t="n">
        <v>0</v>
      </c>
      <c r="I857" t="n">
        <v>0</v>
      </c>
      <c r="J857" t="n">
        <v>0</v>
      </c>
      <c r="K857" t="n">
        <v>0</v>
      </c>
      <c r="L857" t="n">
        <v>0</v>
      </c>
      <c r="M857" t="n">
        <v>0</v>
      </c>
      <c r="N857" t="n">
        <v>0</v>
      </c>
      <c r="O857" t="n">
        <v>0</v>
      </c>
      <c r="P857" t="n">
        <v>0</v>
      </c>
      <c r="Q857" t="n">
        <v>0</v>
      </c>
      <c r="R857" s="2" t="inlineStr"/>
    </row>
    <row r="858" ht="15" customHeight="1">
      <c r="A858" t="inlineStr">
        <is>
          <t>A 18800-2019</t>
        </is>
      </c>
      <c r="B858" s="1" t="n">
        <v>43562</v>
      </c>
      <c r="C858" s="1" t="n">
        <v>45846</v>
      </c>
      <c r="D858" t="inlineStr">
        <is>
          <t>UPPSALA LÄN</t>
        </is>
      </c>
      <c r="E858" t="inlineStr">
        <is>
          <t>ÖSTHAMMAR</t>
        </is>
      </c>
      <c r="F858" t="inlineStr">
        <is>
          <t>Bergvik skog öst AB</t>
        </is>
      </c>
      <c r="G858" t="n">
        <v>1.6</v>
      </c>
      <c r="H858" t="n">
        <v>0</v>
      </c>
      <c r="I858" t="n">
        <v>0</v>
      </c>
      <c r="J858" t="n">
        <v>0</v>
      </c>
      <c r="K858" t="n">
        <v>0</v>
      </c>
      <c r="L858" t="n">
        <v>0</v>
      </c>
      <c r="M858" t="n">
        <v>0</v>
      </c>
      <c r="N858" t="n">
        <v>0</v>
      </c>
      <c r="O858" t="n">
        <v>0</v>
      </c>
      <c r="P858" t="n">
        <v>0</v>
      </c>
      <c r="Q858" t="n">
        <v>0</v>
      </c>
      <c r="R858" s="2" t="inlineStr"/>
    </row>
    <row r="859" ht="15" customHeight="1">
      <c r="A859" t="inlineStr">
        <is>
          <t>A 18799-2019</t>
        </is>
      </c>
      <c r="B859" s="1" t="n">
        <v>43562</v>
      </c>
      <c r="C859" s="1" t="n">
        <v>45846</v>
      </c>
      <c r="D859" t="inlineStr">
        <is>
          <t>UPPSALA LÄN</t>
        </is>
      </c>
      <c r="E859" t="inlineStr">
        <is>
          <t>HEBY</t>
        </is>
      </c>
      <c r="G859" t="n">
        <v>5.8</v>
      </c>
      <c r="H859" t="n">
        <v>0</v>
      </c>
      <c r="I859" t="n">
        <v>0</v>
      </c>
      <c r="J859" t="n">
        <v>0</v>
      </c>
      <c r="K859" t="n">
        <v>0</v>
      </c>
      <c r="L859" t="n">
        <v>0</v>
      </c>
      <c r="M859" t="n">
        <v>0</v>
      </c>
      <c r="N859" t="n">
        <v>0</v>
      </c>
      <c r="O859" t="n">
        <v>0</v>
      </c>
      <c r="P859" t="n">
        <v>0</v>
      </c>
      <c r="Q859" t="n">
        <v>0</v>
      </c>
      <c r="R859" s="2" t="inlineStr"/>
    </row>
    <row r="860" ht="15" customHeight="1">
      <c r="A860" t="inlineStr">
        <is>
          <t>A 18997-2019</t>
        </is>
      </c>
      <c r="B860" s="1" t="n">
        <v>43563</v>
      </c>
      <c r="C860" s="1" t="n">
        <v>45846</v>
      </c>
      <c r="D860" t="inlineStr">
        <is>
          <t>UPPSALA LÄN</t>
        </is>
      </c>
      <c r="E860" t="inlineStr">
        <is>
          <t>HEBY</t>
        </is>
      </c>
      <c r="G860" t="n">
        <v>2.6</v>
      </c>
      <c r="H860" t="n">
        <v>0</v>
      </c>
      <c r="I860" t="n">
        <v>0</v>
      </c>
      <c r="J860" t="n">
        <v>0</v>
      </c>
      <c r="K860" t="n">
        <v>0</v>
      </c>
      <c r="L860" t="n">
        <v>0</v>
      </c>
      <c r="M860" t="n">
        <v>0</v>
      </c>
      <c r="N860" t="n">
        <v>0</v>
      </c>
      <c r="O860" t="n">
        <v>0</v>
      </c>
      <c r="P860" t="n">
        <v>0</v>
      </c>
      <c r="Q860" t="n">
        <v>0</v>
      </c>
      <c r="R860" s="2" t="inlineStr"/>
    </row>
    <row r="861" ht="15" customHeight="1">
      <c r="A861" t="inlineStr">
        <is>
          <t>A 19791-2019</t>
        </is>
      </c>
      <c r="B861" s="1" t="n">
        <v>43567</v>
      </c>
      <c r="C861" s="1" t="n">
        <v>45846</v>
      </c>
      <c r="D861" t="inlineStr">
        <is>
          <t>UPPSALA LÄN</t>
        </is>
      </c>
      <c r="E861" t="inlineStr">
        <is>
          <t>TIERP</t>
        </is>
      </c>
      <c r="G861" t="n">
        <v>6.2</v>
      </c>
      <c r="H861" t="n">
        <v>0</v>
      </c>
      <c r="I861" t="n">
        <v>0</v>
      </c>
      <c r="J861" t="n">
        <v>0</v>
      </c>
      <c r="K861" t="n">
        <v>0</v>
      </c>
      <c r="L861" t="n">
        <v>0</v>
      </c>
      <c r="M861" t="n">
        <v>0</v>
      </c>
      <c r="N861" t="n">
        <v>0</v>
      </c>
      <c r="O861" t="n">
        <v>0</v>
      </c>
      <c r="P861" t="n">
        <v>0</v>
      </c>
      <c r="Q861" t="n">
        <v>0</v>
      </c>
      <c r="R861" s="2" t="inlineStr"/>
    </row>
    <row r="862" ht="15" customHeight="1">
      <c r="A862" t="inlineStr">
        <is>
          <t>A 19779-2019</t>
        </is>
      </c>
      <c r="B862" s="1" t="n">
        <v>43567</v>
      </c>
      <c r="C862" s="1" t="n">
        <v>45846</v>
      </c>
      <c r="D862" t="inlineStr">
        <is>
          <t>UPPSALA LÄN</t>
        </is>
      </c>
      <c r="E862" t="inlineStr">
        <is>
          <t>HEBY</t>
        </is>
      </c>
      <c r="G862" t="n">
        <v>3.3</v>
      </c>
      <c r="H862" t="n">
        <v>0</v>
      </c>
      <c r="I862" t="n">
        <v>0</v>
      </c>
      <c r="J862" t="n">
        <v>0</v>
      </c>
      <c r="K862" t="n">
        <v>0</v>
      </c>
      <c r="L862" t="n">
        <v>0</v>
      </c>
      <c r="M862" t="n">
        <v>0</v>
      </c>
      <c r="N862" t="n">
        <v>0</v>
      </c>
      <c r="O862" t="n">
        <v>0</v>
      </c>
      <c r="P862" t="n">
        <v>0</v>
      </c>
      <c r="Q862" t="n">
        <v>0</v>
      </c>
      <c r="R862" s="2" t="inlineStr"/>
    </row>
    <row r="863" ht="15" customHeight="1">
      <c r="A863" t="inlineStr">
        <is>
          <t>A 19969-2019</t>
        </is>
      </c>
      <c r="B863" s="1" t="n">
        <v>43570</v>
      </c>
      <c r="C863" s="1" t="n">
        <v>45846</v>
      </c>
      <c r="D863" t="inlineStr">
        <is>
          <t>UPPSALA LÄN</t>
        </is>
      </c>
      <c r="E863" t="inlineStr">
        <is>
          <t>ÄLVKARLEBY</t>
        </is>
      </c>
      <c r="F863" t="inlineStr">
        <is>
          <t>Bergvik skog väst AB</t>
        </is>
      </c>
      <c r="G863" t="n">
        <v>3.6</v>
      </c>
      <c r="H863" t="n">
        <v>0</v>
      </c>
      <c r="I863" t="n">
        <v>0</v>
      </c>
      <c r="J863" t="n">
        <v>0</v>
      </c>
      <c r="K863" t="n">
        <v>0</v>
      </c>
      <c r="L863" t="n">
        <v>0</v>
      </c>
      <c r="M863" t="n">
        <v>0</v>
      </c>
      <c r="N863" t="n">
        <v>0</v>
      </c>
      <c r="O863" t="n">
        <v>0</v>
      </c>
      <c r="P863" t="n">
        <v>0</v>
      </c>
      <c r="Q863" t="n">
        <v>0</v>
      </c>
      <c r="R863" s="2" t="inlineStr"/>
    </row>
    <row r="864" ht="15" customHeight="1">
      <c r="A864" t="inlineStr">
        <is>
          <t>A 20157-2019</t>
        </is>
      </c>
      <c r="B864" s="1" t="n">
        <v>43570</v>
      </c>
      <c r="C864" s="1" t="n">
        <v>45846</v>
      </c>
      <c r="D864" t="inlineStr">
        <is>
          <t>UPPSALA LÄN</t>
        </is>
      </c>
      <c r="E864" t="inlineStr">
        <is>
          <t>HEBY</t>
        </is>
      </c>
      <c r="G864" t="n">
        <v>4.5</v>
      </c>
      <c r="H864" t="n">
        <v>0</v>
      </c>
      <c r="I864" t="n">
        <v>0</v>
      </c>
      <c r="J864" t="n">
        <v>0</v>
      </c>
      <c r="K864" t="n">
        <v>0</v>
      </c>
      <c r="L864" t="n">
        <v>0</v>
      </c>
      <c r="M864" t="n">
        <v>0</v>
      </c>
      <c r="N864" t="n">
        <v>0</v>
      </c>
      <c r="O864" t="n">
        <v>0</v>
      </c>
      <c r="P864" t="n">
        <v>0</v>
      </c>
      <c r="Q864" t="n">
        <v>0</v>
      </c>
      <c r="R864" s="2" t="inlineStr"/>
    </row>
    <row r="865" ht="15" customHeight="1">
      <c r="A865" t="inlineStr">
        <is>
          <t>A 20011-2019</t>
        </is>
      </c>
      <c r="B865" s="1" t="n">
        <v>43570</v>
      </c>
      <c r="C865" s="1" t="n">
        <v>45846</v>
      </c>
      <c r="D865" t="inlineStr">
        <is>
          <t>UPPSALA LÄN</t>
        </is>
      </c>
      <c r="E865" t="inlineStr">
        <is>
          <t>UPPSALA</t>
        </is>
      </c>
      <c r="G865" t="n">
        <v>6.3</v>
      </c>
      <c r="H865" t="n">
        <v>0</v>
      </c>
      <c r="I865" t="n">
        <v>0</v>
      </c>
      <c r="J865" t="n">
        <v>0</v>
      </c>
      <c r="K865" t="n">
        <v>0</v>
      </c>
      <c r="L865" t="n">
        <v>0</v>
      </c>
      <c r="M865" t="n">
        <v>0</v>
      </c>
      <c r="N865" t="n">
        <v>0</v>
      </c>
      <c r="O865" t="n">
        <v>0</v>
      </c>
      <c r="P865" t="n">
        <v>0</v>
      </c>
      <c r="Q865" t="n">
        <v>0</v>
      </c>
      <c r="R865" s="2" t="inlineStr"/>
    </row>
    <row r="866" ht="15" customHeight="1">
      <c r="A866" t="inlineStr">
        <is>
          <t>A 19989-2019</t>
        </is>
      </c>
      <c r="B866" s="1" t="n">
        <v>43570</v>
      </c>
      <c r="C866" s="1" t="n">
        <v>45846</v>
      </c>
      <c r="D866" t="inlineStr">
        <is>
          <t>UPPSALA LÄN</t>
        </is>
      </c>
      <c r="E866" t="inlineStr">
        <is>
          <t>HEBY</t>
        </is>
      </c>
      <c r="G866" t="n">
        <v>2.7</v>
      </c>
      <c r="H866" t="n">
        <v>0</v>
      </c>
      <c r="I866" t="n">
        <v>0</v>
      </c>
      <c r="J866" t="n">
        <v>0</v>
      </c>
      <c r="K866" t="n">
        <v>0</v>
      </c>
      <c r="L866" t="n">
        <v>0</v>
      </c>
      <c r="M866" t="n">
        <v>0</v>
      </c>
      <c r="N866" t="n">
        <v>0</v>
      </c>
      <c r="O866" t="n">
        <v>0</v>
      </c>
      <c r="P866" t="n">
        <v>0</v>
      </c>
      <c r="Q866" t="n">
        <v>0</v>
      </c>
      <c r="R866" s="2" t="inlineStr"/>
    </row>
    <row r="867" ht="15" customHeight="1">
      <c r="A867" t="inlineStr">
        <is>
          <t>A 20683-2019</t>
        </is>
      </c>
      <c r="B867" s="1" t="n">
        <v>43573</v>
      </c>
      <c r="C867" s="1" t="n">
        <v>45846</v>
      </c>
      <c r="D867" t="inlineStr">
        <is>
          <t>UPPSALA LÄN</t>
        </is>
      </c>
      <c r="E867" t="inlineStr">
        <is>
          <t>ÖSTHAMMAR</t>
        </is>
      </c>
      <c r="G867" t="n">
        <v>2.6</v>
      </c>
      <c r="H867" t="n">
        <v>0</v>
      </c>
      <c r="I867" t="n">
        <v>0</v>
      </c>
      <c r="J867" t="n">
        <v>0</v>
      </c>
      <c r="K867" t="n">
        <v>0</v>
      </c>
      <c r="L867" t="n">
        <v>0</v>
      </c>
      <c r="M867" t="n">
        <v>0</v>
      </c>
      <c r="N867" t="n">
        <v>0</v>
      </c>
      <c r="O867" t="n">
        <v>0</v>
      </c>
      <c r="P867" t="n">
        <v>0</v>
      </c>
      <c r="Q867" t="n">
        <v>0</v>
      </c>
      <c r="R867" s="2" t="inlineStr"/>
    </row>
    <row r="868" ht="15" customHeight="1">
      <c r="A868" t="inlineStr">
        <is>
          <t>A 21087-2019</t>
        </is>
      </c>
      <c r="B868" s="1" t="n">
        <v>43578</v>
      </c>
      <c r="C868" s="1" t="n">
        <v>45846</v>
      </c>
      <c r="D868" t="inlineStr">
        <is>
          <t>UPPSALA LÄN</t>
        </is>
      </c>
      <c r="E868" t="inlineStr">
        <is>
          <t>UPPSALA</t>
        </is>
      </c>
      <c r="G868" t="n">
        <v>1.8</v>
      </c>
      <c r="H868" t="n">
        <v>0</v>
      </c>
      <c r="I868" t="n">
        <v>0</v>
      </c>
      <c r="J868" t="n">
        <v>0</v>
      </c>
      <c r="K868" t="n">
        <v>0</v>
      </c>
      <c r="L868" t="n">
        <v>0</v>
      </c>
      <c r="M868" t="n">
        <v>0</v>
      </c>
      <c r="N868" t="n">
        <v>0</v>
      </c>
      <c r="O868" t="n">
        <v>0</v>
      </c>
      <c r="P868" t="n">
        <v>0</v>
      </c>
      <c r="Q868" t="n">
        <v>0</v>
      </c>
      <c r="R868" s="2" t="inlineStr"/>
    </row>
    <row r="869" ht="15" customHeight="1">
      <c r="A869" t="inlineStr">
        <is>
          <t>A 21082-2019</t>
        </is>
      </c>
      <c r="B869" s="1" t="n">
        <v>43578</v>
      </c>
      <c r="C869" s="1" t="n">
        <v>45846</v>
      </c>
      <c r="D869" t="inlineStr">
        <is>
          <t>UPPSALA LÄN</t>
        </is>
      </c>
      <c r="E869" t="inlineStr">
        <is>
          <t>UPPSALA</t>
        </is>
      </c>
      <c r="G869" t="n">
        <v>0.5</v>
      </c>
      <c r="H869" t="n">
        <v>0</v>
      </c>
      <c r="I869" t="n">
        <v>0</v>
      </c>
      <c r="J869" t="n">
        <v>0</v>
      </c>
      <c r="K869" t="n">
        <v>0</v>
      </c>
      <c r="L869" t="n">
        <v>0</v>
      </c>
      <c r="M869" t="n">
        <v>0</v>
      </c>
      <c r="N869" t="n">
        <v>0</v>
      </c>
      <c r="O869" t="n">
        <v>0</v>
      </c>
      <c r="P869" t="n">
        <v>0</v>
      </c>
      <c r="Q869" t="n">
        <v>0</v>
      </c>
      <c r="R869" s="2" t="inlineStr"/>
    </row>
    <row r="870" ht="15" customHeight="1">
      <c r="A870" t="inlineStr">
        <is>
          <t>A 21566-2019</t>
        </is>
      </c>
      <c r="B870" s="1" t="n">
        <v>43580</v>
      </c>
      <c r="C870" s="1" t="n">
        <v>45846</v>
      </c>
      <c r="D870" t="inlineStr">
        <is>
          <t>UPPSALA LÄN</t>
        </is>
      </c>
      <c r="E870" t="inlineStr">
        <is>
          <t>HEBY</t>
        </is>
      </c>
      <c r="G870" t="n">
        <v>2.1</v>
      </c>
      <c r="H870" t="n">
        <v>0</v>
      </c>
      <c r="I870" t="n">
        <v>0</v>
      </c>
      <c r="J870" t="n">
        <v>0</v>
      </c>
      <c r="K870" t="n">
        <v>0</v>
      </c>
      <c r="L870" t="n">
        <v>0</v>
      </c>
      <c r="M870" t="n">
        <v>0</v>
      </c>
      <c r="N870" t="n">
        <v>0</v>
      </c>
      <c r="O870" t="n">
        <v>0</v>
      </c>
      <c r="P870" t="n">
        <v>0</v>
      </c>
      <c r="Q870" t="n">
        <v>0</v>
      </c>
      <c r="R870" s="2" t="inlineStr"/>
    </row>
    <row r="871" ht="15" customHeight="1">
      <c r="A871" t="inlineStr">
        <is>
          <t>A 21565-2019</t>
        </is>
      </c>
      <c r="B871" s="1" t="n">
        <v>43580</v>
      </c>
      <c r="C871" s="1" t="n">
        <v>45846</v>
      </c>
      <c r="D871" t="inlineStr">
        <is>
          <t>UPPSALA LÄN</t>
        </is>
      </c>
      <c r="E871" t="inlineStr">
        <is>
          <t>HEBY</t>
        </is>
      </c>
      <c r="G871" t="n">
        <v>1.1</v>
      </c>
      <c r="H871" t="n">
        <v>0</v>
      </c>
      <c r="I871" t="n">
        <v>0</v>
      </c>
      <c r="J871" t="n">
        <v>0</v>
      </c>
      <c r="K871" t="n">
        <v>0</v>
      </c>
      <c r="L871" t="n">
        <v>0</v>
      </c>
      <c r="M871" t="n">
        <v>0</v>
      </c>
      <c r="N871" t="n">
        <v>0</v>
      </c>
      <c r="O871" t="n">
        <v>0</v>
      </c>
      <c r="P871" t="n">
        <v>0</v>
      </c>
      <c r="Q871" t="n">
        <v>0</v>
      </c>
      <c r="R871" s="2" t="inlineStr"/>
    </row>
    <row r="872" ht="15" customHeight="1">
      <c r="A872" t="inlineStr">
        <is>
          <t>A 21471-2019</t>
        </is>
      </c>
      <c r="B872" s="1" t="n">
        <v>43580</v>
      </c>
      <c r="C872" s="1" t="n">
        <v>45846</v>
      </c>
      <c r="D872" t="inlineStr">
        <is>
          <t>UPPSALA LÄN</t>
        </is>
      </c>
      <c r="E872" t="inlineStr">
        <is>
          <t>ÖSTHAMMAR</t>
        </is>
      </c>
      <c r="F872" t="inlineStr">
        <is>
          <t>Bergvik skog öst AB</t>
        </is>
      </c>
      <c r="G872" t="n">
        <v>1.4</v>
      </c>
      <c r="H872" t="n">
        <v>0</v>
      </c>
      <c r="I872" t="n">
        <v>0</v>
      </c>
      <c r="J872" t="n">
        <v>0</v>
      </c>
      <c r="K872" t="n">
        <v>0</v>
      </c>
      <c r="L872" t="n">
        <v>0</v>
      </c>
      <c r="M872" t="n">
        <v>0</v>
      </c>
      <c r="N872" t="n">
        <v>0</v>
      </c>
      <c r="O872" t="n">
        <v>0</v>
      </c>
      <c r="P872" t="n">
        <v>0</v>
      </c>
      <c r="Q872" t="n">
        <v>0</v>
      </c>
      <c r="R872" s="2" t="inlineStr"/>
    </row>
    <row r="873" ht="15" customHeight="1">
      <c r="A873" t="inlineStr">
        <is>
          <t>A 21760-2019</t>
        </is>
      </c>
      <c r="B873" s="1" t="n">
        <v>43581</v>
      </c>
      <c r="C873" s="1" t="n">
        <v>45846</v>
      </c>
      <c r="D873" t="inlineStr">
        <is>
          <t>UPPSALA LÄN</t>
        </is>
      </c>
      <c r="E873" t="inlineStr">
        <is>
          <t>HEBY</t>
        </is>
      </c>
      <c r="F873" t="inlineStr">
        <is>
          <t>Övriga Aktiebolag</t>
        </is>
      </c>
      <c r="G873" t="n">
        <v>12.3</v>
      </c>
      <c r="H873" t="n">
        <v>0</v>
      </c>
      <c r="I873" t="n">
        <v>0</v>
      </c>
      <c r="J873" t="n">
        <v>0</v>
      </c>
      <c r="K873" t="n">
        <v>0</v>
      </c>
      <c r="L873" t="n">
        <v>0</v>
      </c>
      <c r="M873" t="n">
        <v>0</v>
      </c>
      <c r="N873" t="n">
        <v>0</v>
      </c>
      <c r="O873" t="n">
        <v>0</v>
      </c>
      <c r="P873" t="n">
        <v>0</v>
      </c>
      <c r="Q873" t="n">
        <v>0</v>
      </c>
      <c r="R873" s="2" t="inlineStr"/>
    </row>
    <row r="874" ht="15" customHeight="1">
      <c r="A874" t="inlineStr">
        <is>
          <t>A 22153-2019</t>
        </is>
      </c>
      <c r="B874" s="1" t="n">
        <v>43585</v>
      </c>
      <c r="C874" s="1" t="n">
        <v>45846</v>
      </c>
      <c r="D874" t="inlineStr">
        <is>
          <t>UPPSALA LÄN</t>
        </is>
      </c>
      <c r="E874" t="inlineStr">
        <is>
          <t>UPPSALA</t>
        </is>
      </c>
      <c r="F874" t="inlineStr">
        <is>
          <t>Holmen skog AB</t>
        </is>
      </c>
      <c r="G874" t="n">
        <v>0.7</v>
      </c>
      <c r="H874" t="n">
        <v>0</v>
      </c>
      <c r="I874" t="n">
        <v>0</v>
      </c>
      <c r="J874" t="n">
        <v>0</v>
      </c>
      <c r="K874" t="n">
        <v>0</v>
      </c>
      <c r="L874" t="n">
        <v>0</v>
      </c>
      <c r="M874" t="n">
        <v>0</v>
      </c>
      <c r="N874" t="n">
        <v>0</v>
      </c>
      <c r="O874" t="n">
        <v>0</v>
      </c>
      <c r="P874" t="n">
        <v>0</v>
      </c>
      <c r="Q874" t="n">
        <v>0</v>
      </c>
      <c r="R874" s="2" t="inlineStr"/>
    </row>
    <row r="875" ht="15" customHeight="1">
      <c r="A875" t="inlineStr">
        <is>
          <t>A 22750-2019</t>
        </is>
      </c>
      <c r="B875" s="1" t="n">
        <v>43588</v>
      </c>
      <c r="C875" s="1" t="n">
        <v>45846</v>
      </c>
      <c r="D875" t="inlineStr">
        <is>
          <t>UPPSALA LÄN</t>
        </is>
      </c>
      <c r="E875" t="inlineStr">
        <is>
          <t>ENKÖPING</t>
        </is>
      </c>
      <c r="G875" t="n">
        <v>1.1</v>
      </c>
      <c r="H875" t="n">
        <v>0</v>
      </c>
      <c r="I875" t="n">
        <v>0</v>
      </c>
      <c r="J875" t="n">
        <v>0</v>
      </c>
      <c r="K875" t="n">
        <v>0</v>
      </c>
      <c r="L875" t="n">
        <v>0</v>
      </c>
      <c r="M875" t="n">
        <v>0</v>
      </c>
      <c r="N875" t="n">
        <v>0</v>
      </c>
      <c r="O875" t="n">
        <v>0</v>
      </c>
      <c r="P875" t="n">
        <v>0</v>
      </c>
      <c r="Q875" t="n">
        <v>0</v>
      </c>
      <c r="R875" s="2" t="inlineStr"/>
    </row>
    <row r="876" ht="15" customHeight="1">
      <c r="A876" t="inlineStr">
        <is>
          <t>A 22800-2019</t>
        </is>
      </c>
      <c r="B876" s="1" t="n">
        <v>43590</v>
      </c>
      <c r="C876" s="1" t="n">
        <v>45846</v>
      </c>
      <c r="D876" t="inlineStr">
        <is>
          <t>UPPSALA LÄN</t>
        </is>
      </c>
      <c r="E876" t="inlineStr">
        <is>
          <t>ÖSTHAMMAR</t>
        </is>
      </c>
      <c r="G876" t="n">
        <v>1.5</v>
      </c>
      <c r="H876" t="n">
        <v>0</v>
      </c>
      <c r="I876" t="n">
        <v>0</v>
      </c>
      <c r="J876" t="n">
        <v>0</v>
      </c>
      <c r="K876" t="n">
        <v>0</v>
      </c>
      <c r="L876" t="n">
        <v>0</v>
      </c>
      <c r="M876" t="n">
        <v>0</v>
      </c>
      <c r="N876" t="n">
        <v>0</v>
      </c>
      <c r="O876" t="n">
        <v>0</v>
      </c>
      <c r="P876" t="n">
        <v>0</v>
      </c>
      <c r="Q876" t="n">
        <v>0</v>
      </c>
      <c r="R876" s="2" t="inlineStr"/>
      <c r="U876">
        <f>HYPERLINK("https://klasma.github.io/Logging_0382/knärot/A 22800-2019 karta knärot.png", "A 22800-2019")</f>
        <v/>
      </c>
      <c r="V876">
        <f>HYPERLINK("https://klasma.github.io/Logging_0382/klagomål/A 22800-2019 FSC-klagomål.docx", "A 22800-2019")</f>
        <v/>
      </c>
      <c r="W876">
        <f>HYPERLINK("https://klasma.github.io/Logging_0382/klagomålsmail/A 22800-2019 FSC-klagomål mail.docx", "A 22800-2019")</f>
        <v/>
      </c>
      <c r="X876">
        <f>HYPERLINK("https://klasma.github.io/Logging_0382/tillsyn/A 22800-2019 tillsynsbegäran.docx", "A 22800-2019")</f>
        <v/>
      </c>
      <c r="Y876">
        <f>HYPERLINK("https://klasma.github.io/Logging_0382/tillsynsmail/A 22800-2019 tillsynsbegäran mail.docx", "A 22800-2019")</f>
        <v/>
      </c>
    </row>
    <row r="877" ht="15" customHeight="1">
      <c r="A877" t="inlineStr">
        <is>
          <t>A 22801-2019</t>
        </is>
      </c>
      <c r="B877" s="1" t="n">
        <v>43590</v>
      </c>
      <c r="C877" s="1" t="n">
        <v>45846</v>
      </c>
      <c r="D877" t="inlineStr">
        <is>
          <t>UPPSALA LÄN</t>
        </is>
      </c>
      <c r="E877" t="inlineStr">
        <is>
          <t>ÖSTHAMMAR</t>
        </is>
      </c>
      <c r="G877" t="n">
        <v>2.2</v>
      </c>
      <c r="H877" t="n">
        <v>0</v>
      </c>
      <c r="I877" t="n">
        <v>0</v>
      </c>
      <c r="J877" t="n">
        <v>0</v>
      </c>
      <c r="K877" t="n">
        <v>0</v>
      </c>
      <c r="L877" t="n">
        <v>0</v>
      </c>
      <c r="M877" t="n">
        <v>0</v>
      </c>
      <c r="N877" t="n">
        <v>0</v>
      </c>
      <c r="O877" t="n">
        <v>0</v>
      </c>
      <c r="P877" t="n">
        <v>0</v>
      </c>
      <c r="Q877" t="n">
        <v>0</v>
      </c>
      <c r="R877" s="2" t="inlineStr"/>
    </row>
    <row r="878" ht="15" customHeight="1">
      <c r="A878" t="inlineStr">
        <is>
          <t>A 23042-2019</t>
        </is>
      </c>
      <c r="B878" s="1" t="n">
        <v>43591</v>
      </c>
      <c r="C878" s="1" t="n">
        <v>45846</v>
      </c>
      <c r="D878" t="inlineStr">
        <is>
          <t>UPPSALA LÄN</t>
        </is>
      </c>
      <c r="E878" t="inlineStr">
        <is>
          <t>UPPSALA</t>
        </is>
      </c>
      <c r="G878" t="n">
        <v>2.7</v>
      </c>
      <c r="H878" t="n">
        <v>0</v>
      </c>
      <c r="I878" t="n">
        <v>0</v>
      </c>
      <c r="J878" t="n">
        <v>0</v>
      </c>
      <c r="K878" t="n">
        <v>0</v>
      </c>
      <c r="L878" t="n">
        <v>0</v>
      </c>
      <c r="M878" t="n">
        <v>0</v>
      </c>
      <c r="N878" t="n">
        <v>0</v>
      </c>
      <c r="O878" t="n">
        <v>0</v>
      </c>
      <c r="P878" t="n">
        <v>0</v>
      </c>
      <c r="Q878" t="n">
        <v>0</v>
      </c>
      <c r="R878" s="2" t="inlineStr"/>
    </row>
    <row r="879" ht="15" customHeight="1">
      <c r="A879" t="inlineStr">
        <is>
          <t>A 23051-2019</t>
        </is>
      </c>
      <c r="B879" s="1" t="n">
        <v>43591</v>
      </c>
      <c r="C879" s="1" t="n">
        <v>45846</v>
      </c>
      <c r="D879" t="inlineStr">
        <is>
          <t>UPPSALA LÄN</t>
        </is>
      </c>
      <c r="E879" t="inlineStr">
        <is>
          <t>KNIVSTA</t>
        </is>
      </c>
      <c r="G879" t="n">
        <v>1.5</v>
      </c>
      <c r="H879" t="n">
        <v>0</v>
      </c>
      <c r="I879" t="n">
        <v>0</v>
      </c>
      <c r="J879" t="n">
        <v>0</v>
      </c>
      <c r="K879" t="n">
        <v>0</v>
      </c>
      <c r="L879" t="n">
        <v>0</v>
      </c>
      <c r="M879" t="n">
        <v>0</v>
      </c>
      <c r="N879" t="n">
        <v>0</v>
      </c>
      <c r="O879" t="n">
        <v>0</v>
      </c>
      <c r="P879" t="n">
        <v>0</v>
      </c>
      <c r="Q879" t="n">
        <v>0</v>
      </c>
      <c r="R879" s="2" t="inlineStr"/>
    </row>
    <row r="880" ht="15" customHeight="1">
      <c r="A880" t="inlineStr">
        <is>
          <t>A 23008-2019</t>
        </is>
      </c>
      <c r="B880" s="1" t="n">
        <v>43591</v>
      </c>
      <c r="C880" s="1" t="n">
        <v>45846</v>
      </c>
      <c r="D880" t="inlineStr">
        <is>
          <t>UPPSALA LÄN</t>
        </is>
      </c>
      <c r="E880" t="inlineStr">
        <is>
          <t>ÖSTHAMMAR</t>
        </is>
      </c>
      <c r="G880" t="n">
        <v>4.5</v>
      </c>
      <c r="H880" t="n">
        <v>0</v>
      </c>
      <c r="I880" t="n">
        <v>0</v>
      </c>
      <c r="J880" t="n">
        <v>0</v>
      </c>
      <c r="K880" t="n">
        <v>0</v>
      </c>
      <c r="L880" t="n">
        <v>0</v>
      </c>
      <c r="M880" t="n">
        <v>0</v>
      </c>
      <c r="N880" t="n">
        <v>0</v>
      </c>
      <c r="O880" t="n">
        <v>0</v>
      </c>
      <c r="P880" t="n">
        <v>0</v>
      </c>
      <c r="Q880" t="n">
        <v>0</v>
      </c>
      <c r="R880" s="2" t="inlineStr"/>
    </row>
    <row r="881" ht="15" customHeight="1">
      <c r="A881" t="inlineStr">
        <is>
          <t>A 23262-2019</t>
        </is>
      </c>
      <c r="B881" s="1" t="n">
        <v>43592</v>
      </c>
      <c r="C881" s="1" t="n">
        <v>45846</v>
      </c>
      <c r="D881" t="inlineStr">
        <is>
          <t>UPPSALA LÄN</t>
        </is>
      </c>
      <c r="E881" t="inlineStr">
        <is>
          <t>UPPSALA</t>
        </is>
      </c>
      <c r="F881" t="inlineStr">
        <is>
          <t>Kyrkan</t>
        </is>
      </c>
      <c r="G881" t="n">
        <v>7.6</v>
      </c>
      <c r="H881" t="n">
        <v>0</v>
      </c>
      <c r="I881" t="n">
        <v>0</v>
      </c>
      <c r="J881" t="n">
        <v>0</v>
      </c>
      <c r="K881" t="n">
        <v>0</v>
      </c>
      <c r="L881" t="n">
        <v>0</v>
      </c>
      <c r="M881" t="n">
        <v>0</v>
      </c>
      <c r="N881" t="n">
        <v>0</v>
      </c>
      <c r="O881" t="n">
        <v>0</v>
      </c>
      <c r="P881" t="n">
        <v>0</v>
      </c>
      <c r="Q881" t="n">
        <v>0</v>
      </c>
      <c r="R881" s="2" t="inlineStr"/>
    </row>
    <row r="882" ht="15" customHeight="1">
      <c r="A882" t="inlineStr">
        <is>
          <t>A 23328-2019</t>
        </is>
      </c>
      <c r="B882" s="1" t="n">
        <v>43593</v>
      </c>
      <c r="C882" s="1" t="n">
        <v>45846</v>
      </c>
      <c r="D882" t="inlineStr">
        <is>
          <t>UPPSALA LÄN</t>
        </is>
      </c>
      <c r="E882" t="inlineStr">
        <is>
          <t>ENKÖPING</t>
        </is>
      </c>
      <c r="G882" t="n">
        <v>0.6</v>
      </c>
      <c r="H882" t="n">
        <v>0</v>
      </c>
      <c r="I882" t="n">
        <v>0</v>
      </c>
      <c r="J882" t="n">
        <v>0</v>
      </c>
      <c r="K882" t="n">
        <v>0</v>
      </c>
      <c r="L882" t="n">
        <v>0</v>
      </c>
      <c r="M882" t="n">
        <v>0</v>
      </c>
      <c r="N882" t="n">
        <v>0</v>
      </c>
      <c r="O882" t="n">
        <v>0</v>
      </c>
      <c r="P882" t="n">
        <v>0</v>
      </c>
      <c r="Q882" t="n">
        <v>0</v>
      </c>
      <c r="R882" s="2" t="inlineStr"/>
    </row>
    <row r="883" ht="15" customHeight="1">
      <c r="A883" t="inlineStr">
        <is>
          <t>A 24105-2019</t>
        </is>
      </c>
      <c r="B883" s="1" t="n">
        <v>43598</v>
      </c>
      <c r="C883" s="1" t="n">
        <v>45846</v>
      </c>
      <c r="D883" t="inlineStr">
        <is>
          <t>UPPSALA LÄN</t>
        </is>
      </c>
      <c r="E883" t="inlineStr">
        <is>
          <t>ÄLVKARLEBY</t>
        </is>
      </c>
      <c r="F883" t="inlineStr">
        <is>
          <t>Kyrkan</t>
        </is>
      </c>
      <c r="G883" t="n">
        <v>0.6</v>
      </c>
      <c r="H883" t="n">
        <v>0</v>
      </c>
      <c r="I883" t="n">
        <v>0</v>
      </c>
      <c r="J883" t="n">
        <v>0</v>
      </c>
      <c r="K883" t="n">
        <v>0</v>
      </c>
      <c r="L883" t="n">
        <v>0</v>
      </c>
      <c r="M883" t="n">
        <v>0</v>
      </c>
      <c r="N883" t="n">
        <v>0</v>
      </c>
      <c r="O883" t="n">
        <v>0</v>
      </c>
      <c r="P883" t="n">
        <v>0</v>
      </c>
      <c r="Q883" t="n">
        <v>0</v>
      </c>
      <c r="R883" s="2" t="inlineStr"/>
    </row>
    <row r="884" ht="15" customHeight="1">
      <c r="A884" t="inlineStr">
        <is>
          <t>A 24039-2019</t>
        </is>
      </c>
      <c r="B884" s="1" t="n">
        <v>43598</v>
      </c>
      <c r="C884" s="1" t="n">
        <v>45846</v>
      </c>
      <c r="D884" t="inlineStr">
        <is>
          <t>UPPSALA LÄN</t>
        </is>
      </c>
      <c r="E884" t="inlineStr">
        <is>
          <t>HEBY</t>
        </is>
      </c>
      <c r="G884" t="n">
        <v>1.1</v>
      </c>
      <c r="H884" t="n">
        <v>0</v>
      </c>
      <c r="I884" t="n">
        <v>0</v>
      </c>
      <c r="J884" t="n">
        <v>0</v>
      </c>
      <c r="K884" t="n">
        <v>0</v>
      </c>
      <c r="L884" t="n">
        <v>0</v>
      </c>
      <c r="M884" t="n">
        <v>0</v>
      </c>
      <c r="N884" t="n">
        <v>0</v>
      </c>
      <c r="O884" t="n">
        <v>0</v>
      </c>
      <c r="P884" t="n">
        <v>0</v>
      </c>
      <c r="Q884" t="n">
        <v>0</v>
      </c>
      <c r="R884" s="2" t="inlineStr"/>
    </row>
    <row r="885" ht="15" customHeight="1">
      <c r="A885" t="inlineStr">
        <is>
          <t>A 24297-2019</t>
        </is>
      </c>
      <c r="B885" s="1" t="n">
        <v>43598</v>
      </c>
      <c r="C885" s="1" t="n">
        <v>45846</v>
      </c>
      <c r="D885" t="inlineStr">
        <is>
          <t>UPPSALA LÄN</t>
        </is>
      </c>
      <c r="E885" t="inlineStr">
        <is>
          <t>HEBY</t>
        </is>
      </c>
      <c r="G885" t="n">
        <v>1.9</v>
      </c>
      <c r="H885" t="n">
        <v>0</v>
      </c>
      <c r="I885" t="n">
        <v>0</v>
      </c>
      <c r="J885" t="n">
        <v>0</v>
      </c>
      <c r="K885" t="n">
        <v>0</v>
      </c>
      <c r="L885" t="n">
        <v>0</v>
      </c>
      <c r="M885" t="n">
        <v>0</v>
      </c>
      <c r="N885" t="n">
        <v>0</v>
      </c>
      <c r="O885" t="n">
        <v>0</v>
      </c>
      <c r="P885" t="n">
        <v>0</v>
      </c>
      <c r="Q885" t="n">
        <v>0</v>
      </c>
      <c r="R885" s="2" t="inlineStr"/>
    </row>
    <row r="886" ht="15" customHeight="1">
      <c r="A886" t="inlineStr">
        <is>
          <t>A 24998-2019</t>
        </is>
      </c>
      <c r="B886" s="1" t="n">
        <v>43600</v>
      </c>
      <c r="C886" s="1" t="n">
        <v>45846</v>
      </c>
      <c r="D886" t="inlineStr">
        <is>
          <t>UPPSALA LÄN</t>
        </is>
      </c>
      <c r="E886" t="inlineStr">
        <is>
          <t>UPPSALA</t>
        </is>
      </c>
      <c r="G886" t="n">
        <v>0.9</v>
      </c>
      <c r="H886" t="n">
        <v>0</v>
      </c>
      <c r="I886" t="n">
        <v>0</v>
      </c>
      <c r="J886" t="n">
        <v>0</v>
      </c>
      <c r="K886" t="n">
        <v>0</v>
      </c>
      <c r="L886" t="n">
        <v>0</v>
      </c>
      <c r="M886" t="n">
        <v>0</v>
      </c>
      <c r="N886" t="n">
        <v>0</v>
      </c>
      <c r="O886" t="n">
        <v>0</v>
      </c>
      <c r="P886" t="n">
        <v>0</v>
      </c>
      <c r="Q886" t="n">
        <v>0</v>
      </c>
      <c r="R886" s="2" t="inlineStr"/>
    </row>
    <row r="887" ht="15" customHeight="1">
      <c r="A887" t="inlineStr">
        <is>
          <t>A 25164-2019</t>
        </is>
      </c>
      <c r="B887" s="1" t="n">
        <v>43605</v>
      </c>
      <c r="C887" s="1" t="n">
        <v>45846</v>
      </c>
      <c r="D887" t="inlineStr">
        <is>
          <t>UPPSALA LÄN</t>
        </is>
      </c>
      <c r="E887" t="inlineStr">
        <is>
          <t>UPPSALA</t>
        </is>
      </c>
      <c r="G887" t="n">
        <v>1.6</v>
      </c>
      <c r="H887" t="n">
        <v>0</v>
      </c>
      <c r="I887" t="n">
        <v>0</v>
      </c>
      <c r="J887" t="n">
        <v>0</v>
      </c>
      <c r="K887" t="n">
        <v>0</v>
      </c>
      <c r="L887" t="n">
        <v>0</v>
      </c>
      <c r="M887" t="n">
        <v>0</v>
      </c>
      <c r="N887" t="n">
        <v>0</v>
      </c>
      <c r="O887" t="n">
        <v>0</v>
      </c>
      <c r="P887" t="n">
        <v>0</v>
      </c>
      <c r="Q887" t="n">
        <v>0</v>
      </c>
      <c r="R887" s="2" t="inlineStr"/>
    </row>
    <row r="888" ht="15" customHeight="1">
      <c r="A888" t="inlineStr">
        <is>
          <t>A 25157-2019</t>
        </is>
      </c>
      <c r="B888" s="1" t="n">
        <v>43605</v>
      </c>
      <c r="C888" s="1" t="n">
        <v>45846</v>
      </c>
      <c r="D888" t="inlineStr">
        <is>
          <t>UPPSALA LÄN</t>
        </is>
      </c>
      <c r="E888" t="inlineStr">
        <is>
          <t>UPPSALA</t>
        </is>
      </c>
      <c r="G888" t="n">
        <v>3</v>
      </c>
      <c r="H888" t="n">
        <v>0</v>
      </c>
      <c r="I888" t="n">
        <v>0</v>
      </c>
      <c r="J888" t="n">
        <v>0</v>
      </c>
      <c r="K888" t="n">
        <v>0</v>
      </c>
      <c r="L888" t="n">
        <v>0</v>
      </c>
      <c r="M888" t="n">
        <v>0</v>
      </c>
      <c r="N888" t="n">
        <v>0</v>
      </c>
      <c r="O888" t="n">
        <v>0</v>
      </c>
      <c r="P888" t="n">
        <v>0</v>
      </c>
      <c r="Q888" t="n">
        <v>0</v>
      </c>
      <c r="R888" s="2" t="inlineStr"/>
    </row>
    <row r="889" ht="15" customHeight="1">
      <c r="A889" t="inlineStr">
        <is>
          <t>A 25874-2019</t>
        </is>
      </c>
      <c r="B889" s="1" t="n">
        <v>43605</v>
      </c>
      <c r="C889" s="1" t="n">
        <v>45846</v>
      </c>
      <c r="D889" t="inlineStr">
        <is>
          <t>UPPSALA LÄN</t>
        </is>
      </c>
      <c r="E889" t="inlineStr">
        <is>
          <t>ÖSTHAMMAR</t>
        </is>
      </c>
      <c r="G889" t="n">
        <v>1.1</v>
      </c>
      <c r="H889" t="n">
        <v>0</v>
      </c>
      <c r="I889" t="n">
        <v>0</v>
      </c>
      <c r="J889" t="n">
        <v>0</v>
      </c>
      <c r="K889" t="n">
        <v>0</v>
      </c>
      <c r="L889" t="n">
        <v>0</v>
      </c>
      <c r="M889" t="n">
        <v>0</v>
      </c>
      <c r="N889" t="n">
        <v>0</v>
      </c>
      <c r="O889" t="n">
        <v>0</v>
      </c>
      <c r="P889" t="n">
        <v>0</v>
      </c>
      <c r="Q889" t="n">
        <v>0</v>
      </c>
      <c r="R889" s="2" t="inlineStr"/>
    </row>
    <row r="890" ht="15" customHeight="1">
      <c r="A890" t="inlineStr">
        <is>
          <t>A 25317-2019</t>
        </is>
      </c>
      <c r="B890" s="1" t="n">
        <v>43606</v>
      </c>
      <c r="C890" s="1" t="n">
        <v>45846</v>
      </c>
      <c r="D890" t="inlineStr">
        <is>
          <t>UPPSALA LÄN</t>
        </is>
      </c>
      <c r="E890" t="inlineStr">
        <is>
          <t>HEBY</t>
        </is>
      </c>
      <c r="G890" t="n">
        <v>1</v>
      </c>
      <c r="H890" t="n">
        <v>0</v>
      </c>
      <c r="I890" t="n">
        <v>0</v>
      </c>
      <c r="J890" t="n">
        <v>0</v>
      </c>
      <c r="K890" t="n">
        <v>0</v>
      </c>
      <c r="L890" t="n">
        <v>0</v>
      </c>
      <c r="M890" t="n">
        <v>0</v>
      </c>
      <c r="N890" t="n">
        <v>0</v>
      </c>
      <c r="O890" t="n">
        <v>0</v>
      </c>
      <c r="P890" t="n">
        <v>0</v>
      </c>
      <c r="Q890" t="n">
        <v>0</v>
      </c>
      <c r="R890" s="2" t="inlineStr"/>
    </row>
    <row r="891" ht="15" customHeight="1">
      <c r="A891" t="inlineStr">
        <is>
          <t>A 25498-2019</t>
        </is>
      </c>
      <c r="B891" s="1" t="n">
        <v>43606</v>
      </c>
      <c r="C891" s="1" t="n">
        <v>45846</v>
      </c>
      <c r="D891" t="inlineStr">
        <is>
          <t>UPPSALA LÄN</t>
        </is>
      </c>
      <c r="E891" t="inlineStr">
        <is>
          <t>TIERP</t>
        </is>
      </c>
      <c r="G891" t="n">
        <v>1</v>
      </c>
      <c r="H891" t="n">
        <v>0</v>
      </c>
      <c r="I891" t="n">
        <v>0</v>
      </c>
      <c r="J891" t="n">
        <v>0</v>
      </c>
      <c r="K891" t="n">
        <v>0</v>
      </c>
      <c r="L891" t="n">
        <v>0</v>
      </c>
      <c r="M891" t="n">
        <v>0</v>
      </c>
      <c r="N891" t="n">
        <v>0</v>
      </c>
      <c r="O891" t="n">
        <v>0</v>
      </c>
      <c r="P891" t="n">
        <v>0</v>
      </c>
      <c r="Q891" t="n">
        <v>0</v>
      </c>
      <c r="R891" s="2" t="inlineStr"/>
    </row>
    <row r="892" ht="15" customHeight="1">
      <c r="A892" t="inlineStr">
        <is>
          <t>A 25340-2019</t>
        </is>
      </c>
      <c r="B892" s="1" t="n">
        <v>43606</v>
      </c>
      <c r="C892" s="1" t="n">
        <v>45846</v>
      </c>
      <c r="D892" t="inlineStr">
        <is>
          <t>UPPSALA LÄN</t>
        </is>
      </c>
      <c r="E892" t="inlineStr">
        <is>
          <t>ÄLVKARLEBY</t>
        </is>
      </c>
      <c r="F892" t="inlineStr">
        <is>
          <t>Bergvik skog väst AB</t>
        </is>
      </c>
      <c r="G892" t="n">
        <v>2.9</v>
      </c>
      <c r="H892" t="n">
        <v>0</v>
      </c>
      <c r="I892" t="n">
        <v>0</v>
      </c>
      <c r="J892" t="n">
        <v>0</v>
      </c>
      <c r="K892" t="n">
        <v>0</v>
      </c>
      <c r="L892" t="n">
        <v>0</v>
      </c>
      <c r="M892" t="n">
        <v>0</v>
      </c>
      <c r="N892" t="n">
        <v>0</v>
      </c>
      <c r="O892" t="n">
        <v>0</v>
      </c>
      <c r="P892" t="n">
        <v>0</v>
      </c>
      <c r="Q892" t="n">
        <v>0</v>
      </c>
      <c r="R892" s="2" t="inlineStr"/>
    </row>
    <row r="893" ht="15" customHeight="1">
      <c r="A893" t="inlineStr">
        <is>
          <t>A 25502-2019</t>
        </is>
      </c>
      <c r="B893" s="1" t="n">
        <v>43606</v>
      </c>
      <c r="C893" s="1" t="n">
        <v>45846</v>
      </c>
      <c r="D893" t="inlineStr">
        <is>
          <t>UPPSALA LÄN</t>
        </is>
      </c>
      <c r="E893" t="inlineStr">
        <is>
          <t>TIERP</t>
        </is>
      </c>
      <c r="G893" t="n">
        <v>2.2</v>
      </c>
      <c r="H893" t="n">
        <v>0</v>
      </c>
      <c r="I893" t="n">
        <v>0</v>
      </c>
      <c r="J893" t="n">
        <v>0</v>
      </c>
      <c r="K893" t="n">
        <v>0</v>
      </c>
      <c r="L893" t="n">
        <v>0</v>
      </c>
      <c r="M893" t="n">
        <v>0</v>
      </c>
      <c r="N893" t="n">
        <v>0</v>
      </c>
      <c r="O893" t="n">
        <v>0</v>
      </c>
      <c r="P893" t="n">
        <v>0</v>
      </c>
      <c r="Q893" t="n">
        <v>0</v>
      </c>
      <c r="R893" s="2" t="inlineStr"/>
    </row>
    <row r="894" ht="15" customHeight="1">
      <c r="A894" t="inlineStr">
        <is>
          <t>A 25703-2019</t>
        </is>
      </c>
      <c r="B894" s="1" t="n">
        <v>43607</v>
      </c>
      <c r="C894" s="1" t="n">
        <v>45846</v>
      </c>
      <c r="D894" t="inlineStr">
        <is>
          <t>UPPSALA LÄN</t>
        </is>
      </c>
      <c r="E894" t="inlineStr">
        <is>
          <t>ÖSTHAMMAR</t>
        </is>
      </c>
      <c r="F894" t="inlineStr">
        <is>
          <t>Bergvik skog öst AB</t>
        </is>
      </c>
      <c r="G894" t="n">
        <v>2.2</v>
      </c>
      <c r="H894" t="n">
        <v>0</v>
      </c>
      <c r="I894" t="n">
        <v>0</v>
      </c>
      <c r="J894" t="n">
        <v>0</v>
      </c>
      <c r="K894" t="n">
        <v>0</v>
      </c>
      <c r="L894" t="n">
        <v>0</v>
      </c>
      <c r="M894" t="n">
        <v>0</v>
      </c>
      <c r="N894" t="n">
        <v>0</v>
      </c>
      <c r="O894" t="n">
        <v>0</v>
      </c>
      <c r="P894" t="n">
        <v>0</v>
      </c>
      <c r="Q894" t="n">
        <v>0</v>
      </c>
      <c r="R894" s="2" t="inlineStr"/>
    </row>
    <row r="895" ht="15" customHeight="1">
      <c r="A895" t="inlineStr">
        <is>
          <t>A 25667-2019</t>
        </is>
      </c>
      <c r="B895" s="1" t="n">
        <v>43607</v>
      </c>
      <c r="C895" s="1" t="n">
        <v>45846</v>
      </c>
      <c r="D895" t="inlineStr">
        <is>
          <t>UPPSALA LÄN</t>
        </is>
      </c>
      <c r="E895" t="inlineStr">
        <is>
          <t>UPPSALA</t>
        </is>
      </c>
      <c r="G895" t="n">
        <v>0.7</v>
      </c>
      <c r="H895" t="n">
        <v>0</v>
      </c>
      <c r="I895" t="n">
        <v>0</v>
      </c>
      <c r="J895" t="n">
        <v>0</v>
      </c>
      <c r="K895" t="n">
        <v>0</v>
      </c>
      <c r="L895" t="n">
        <v>0</v>
      </c>
      <c r="M895" t="n">
        <v>0</v>
      </c>
      <c r="N895" t="n">
        <v>0</v>
      </c>
      <c r="O895" t="n">
        <v>0</v>
      </c>
      <c r="P895" t="n">
        <v>0</v>
      </c>
      <c r="Q895" t="n">
        <v>0</v>
      </c>
      <c r="R895" s="2" t="inlineStr"/>
    </row>
    <row r="896" ht="15" customHeight="1">
      <c r="A896" t="inlineStr">
        <is>
          <t>A 25708-2019</t>
        </is>
      </c>
      <c r="B896" s="1" t="n">
        <v>43607</v>
      </c>
      <c r="C896" s="1" t="n">
        <v>45846</v>
      </c>
      <c r="D896" t="inlineStr">
        <is>
          <t>UPPSALA LÄN</t>
        </is>
      </c>
      <c r="E896" t="inlineStr">
        <is>
          <t>ÖSTHAMMAR</t>
        </is>
      </c>
      <c r="F896" t="inlineStr">
        <is>
          <t>Bergvik skog öst AB</t>
        </is>
      </c>
      <c r="G896" t="n">
        <v>1.3</v>
      </c>
      <c r="H896" t="n">
        <v>0</v>
      </c>
      <c r="I896" t="n">
        <v>0</v>
      </c>
      <c r="J896" t="n">
        <v>0</v>
      </c>
      <c r="K896" t="n">
        <v>0</v>
      </c>
      <c r="L896" t="n">
        <v>0</v>
      </c>
      <c r="M896" t="n">
        <v>0</v>
      </c>
      <c r="N896" t="n">
        <v>0</v>
      </c>
      <c r="O896" t="n">
        <v>0</v>
      </c>
      <c r="P896" t="n">
        <v>0</v>
      </c>
      <c r="Q896" t="n">
        <v>0</v>
      </c>
      <c r="R896" s="2" t="inlineStr"/>
    </row>
    <row r="897" ht="15" customHeight="1">
      <c r="A897" t="inlineStr">
        <is>
          <t>A 25706-2019</t>
        </is>
      </c>
      <c r="B897" s="1" t="n">
        <v>43607</v>
      </c>
      <c r="C897" s="1" t="n">
        <v>45846</v>
      </c>
      <c r="D897" t="inlineStr">
        <is>
          <t>UPPSALA LÄN</t>
        </is>
      </c>
      <c r="E897" t="inlineStr">
        <is>
          <t>ÖSTHAMMAR</t>
        </is>
      </c>
      <c r="F897" t="inlineStr">
        <is>
          <t>Bergvik skog öst AB</t>
        </is>
      </c>
      <c r="G897" t="n">
        <v>0.8</v>
      </c>
      <c r="H897" t="n">
        <v>0</v>
      </c>
      <c r="I897" t="n">
        <v>0</v>
      </c>
      <c r="J897" t="n">
        <v>0</v>
      </c>
      <c r="K897" t="n">
        <v>0</v>
      </c>
      <c r="L897" t="n">
        <v>0</v>
      </c>
      <c r="M897" t="n">
        <v>0</v>
      </c>
      <c r="N897" t="n">
        <v>0</v>
      </c>
      <c r="O897" t="n">
        <v>0</v>
      </c>
      <c r="P897" t="n">
        <v>0</v>
      </c>
      <c r="Q897" t="n">
        <v>0</v>
      </c>
      <c r="R897" s="2" t="inlineStr"/>
    </row>
    <row r="898" ht="15" customHeight="1">
      <c r="A898" t="inlineStr">
        <is>
          <t>A 25672-2019</t>
        </is>
      </c>
      <c r="B898" s="1" t="n">
        <v>43607</v>
      </c>
      <c r="C898" s="1" t="n">
        <v>45846</v>
      </c>
      <c r="D898" t="inlineStr">
        <is>
          <t>UPPSALA LÄN</t>
        </is>
      </c>
      <c r="E898" t="inlineStr">
        <is>
          <t>HEBY</t>
        </is>
      </c>
      <c r="G898" t="n">
        <v>1.7</v>
      </c>
      <c r="H898" t="n">
        <v>0</v>
      </c>
      <c r="I898" t="n">
        <v>0</v>
      </c>
      <c r="J898" t="n">
        <v>0</v>
      </c>
      <c r="K898" t="n">
        <v>0</v>
      </c>
      <c r="L898" t="n">
        <v>0</v>
      </c>
      <c r="M898" t="n">
        <v>0</v>
      </c>
      <c r="N898" t="n">
        <v>0</v>
      </c>
      <c r="O898" t="n">
        <v>0</v>
      </c>
      <c r="P898" t="n">
        <v>0</v>
      </c>
      <c r="Q898" t="n">
        <v>0</v>
      </c>
      <c r="R898" s="2" t="inlineStr"/>
    </row>
    <row r="899" ht="15" customHeight="1">
      <c r="A899" t="inlineStr">
        <is>
          <t>A 25791-2019</t>
        </is>
      </c>
      <c r="B899" s="1" t="n">
        <v>43608</v>
      </c>
      <c r="C899" s="1" t="n">
        <v>45846</v>
      </c>
      <c r="D899" t="inlineStr">
        <is>
          <t>UPPSALA LÄN</t>
        </is>
      </c>
      <c r="E899" t="inlineStr">
        <is>
          <t>HEBY</t>
        </is>
      </c>
      <c r="G899" t="n">
        <v>2.2</v>
      </c>
      <c r="H899" t="n">
        <v>0</v>
      </c>
      <c r="I899" t="n">
        <v>0</v>
      </c>
      <c r="J899" t="n">
        <v>0</v>
      </c>
      <c r="K899" t="n">
        <v>0</v>
      </c>
      <c r="L899" t="n">
        <v>0</v>
      </c>
      <c r="M899" t="n">
        <v>0</v>
      </c>
      <c r="N899" t="n">
        <v>0</v>
      </c>
      <c r="O899" t="n">
        <v>0</v>
      </c>
      <c r="P899" t="n">
        <v>0</v>
      </c>
      <c r="Q899" t="n">
        <v>0</v>
      </c>
      <c r="R899" s="2" t="inlineStr"/>
    </row>
    <row r="900" ht="15" customHeight="1">
      <c r="A900" t="inlineStr">
        <is>
          <t>A 26060-2019</t>
        </is>
      </c>
      <c r="B900" s="1" t="n">
        <v>43609</v>
      </c>
      <c r="C900" s="1" t="n">
        <v>45846</v>
      </c>
      <c r="D900" t="inlineStr">
        <is>
          <t>UPPSALA LÄN</t>
        </is>
      </c>
      <c r="E900" t="inlineStr">
        <is>
          <t>HEBY</t>
        </is>
      </c>
      <c r="G900" t="n">
        <v>1.7</v>
      </c>
      <c r="H900" t="n">
        <v>0</v>
      </c>
      <c r="I900" t="n">
        <v>0</v>
      </c>
      <c r="J900" t="n">
        <v>0</v>
      </c>
      <c r="K900" t="n">
        <v>0</v>
      </c>
      <c r="L900" t="n">
        <v>0</v>
      </c>
      <c r="M900" t="n">
        <v>0</v>
      </c>
      <c r="N900" t="n">
        <v>0</v>
      </c>
      <c r="O900" t="n">
        <v>0</v>
      </c>
      <c r="P900" t="n">
        <v>0</v>
      </c>
      <c r="Q900" t="n">
        <v>0</v>
      </c>
      <c r="R900" s="2" t="inlineStr"/>
    </row>
    <row r="901" ht="15" customHeight="1">
      <c r="A901" t="inlineStr">
        <is>
          <t>A 26366-2019</t>
        </is>
      </c>
      <c r="B901" s="1" t="n">
        <v>43612</v>
      </c>
      <c r="C901" s="1" t="n">
        <v>45846</v>
      </c>
      <c r="D901" t="inlineStr">
        <is>
          <t>UPPSALA LÄN</t>
        </is>
      </c>
      <c r="E901" t="inlineStr">
        <is>
          <t>TIERP</t>
        </is>
      </c>
      <c r="G901" t="n">
        <v>2.2</v>
      </c>
      <c r="H901" t="n">
        <v>0</v>
      </c>
      <c r="I901" t="n">
        <v>0</v>
      </c>
      <c r="J901" t="n">
        <v>0</v>
      </c>
      <c r="K901" t="n">
        <v>0</v>
      </c>
      <c r="L901" t="n">
        <v>0</v>
      </c>
      <c r="M901" t="n">
        <v>0</v>
      </c>
      <c r="N901" t="n">
        <v>0</v>
      </c>
      <c r="O901" t="n">
        <v>0</v>
      </c>
      <c r="P901" t="n">
        <v>0</v>
      </c>
      <c r="Q901" t="n">
        <v>0</v>
      </c>
      <c r="R901" s="2" t="inlineStr"/>
    </row>
    <row r="902" ht="15" customHeight="1">
      <c r="A902" t="inlineStr">
        <is>
          <t>A 26562-2019</t>
        </is>
      </c>
      <c r="B902" s="1" t="n">
        <v>43612</v>
      </c>
      <c r="C902" s="1" t="n">
        <v>45846</v>
      </c>
      <c r="D902" t="inlineStr">
        <is>
          <t>UPPSALA LÄN</t>
        </is>
      </c>
      <c r="E902" t="inlineStr">
        <is>
          <t>ÖSTHAMMAR</t>
        </is>
      </c>
      <c r="G902" t="n">
        <v>3.2</v>
      </c>
      <c r="H902" t="n">
        <v>0</v>
      </c>
      <c r="I902" t="n">
        <v>0</v>
      </c>
      <c r="J902" t="n">
        <v>0</v>
      </c>
      <c r="K902" t="n">
        <v>0</v>
      </c>
      <c r="L902" t="n">
        <v>0</v>
      </c>
      <c r="M902" t="n">
        <v>0</v>
      </c>
      <c r="N902" t="n">
        <v>0</v>
      </c>
      <c r="O902" t="n">
        <v>0</v>
      </c>
      <c r="P902" t="n">
        <v>0</v>
      </c>
      <c r="Q902" t="n">
        <v>0</v>
      </c>
      <c r="R902" s="2" t="inlineStr"/>
    </row>
    <row r="903" ht="15" customHeight="1">
      <c r="A903" t="inlineStr">
        <is>
          <t>A 26371-2019</t>
        </is>
      </c>
      <c r="B903" s="1" t="n">
        <v>43612</v>
      </c>
      <c r="C903" s="1" t="n">
        <v>45846</v>
      </c>
      <c r="D903" t="inlineStr">
        <is>
          <t>UPPSALA LÄN</t>
        </is>
      </c>
      <c r="E903" t="inlineStr">
        <is>
          <t>TIERP</t>
        </is>
      </c>
      <c r="G903" t="n">
        <v>0.7</v>
      </c>
      <c r="H903" t="n">
        <v>0</v>
      </c>
      <c r="I903" t="n">
        <v>0</v>
      </c>
      <c r="J903" t="n">
        <v>0</v>
      </c>
      <c r="K903" t="n">
        <v>0</v>
      </c>
      <c r="L903" t="n">
        <v>0</v>
      </c>
      <c r="M903" t="n">
        <v>0</v>
      </c>
      <c r="N903" t="n">
        <v>0</v>
      </c>
      <c r="O903" t="n">
        <v>0</v>
      </c>
      <c r="P903" t="n">
        <v>0</v>
      </c>
      <c r="Q903" t="n">
        <v>0</v>
      </c>
      <c r="R903" s="2" t="inlineStr"/>
    </row>
    <row r="904" ht="15" customHeight="1">
      <c r="A904" t="inlineStr">
        <is>
          <t>A 26926-2019</t>
        </is>
      </c>
      <c r="B904" s="1" t="n">
        <v>43613</v>
      </c>
      <c r="C904" s="1" t="n">
        <v>45846</v>
      </c>
      <c r="D904" t="inlineStr">
        <is>
          <t>UPPSALA LÄN</t>
        </is>
      </c>
      <c r="E904" t="inlineStr">
        <is>
          <t>ENKÖPING</t>
        </is>
      </c>
      <c r="G904" t="n">
        <v>1.4</v>
      </c>
      <c r="H904" t="n">
        <v>0</v>
      </c>
      <c r="I904" t="n">
        <v>0</v>
      </c>
      <c r="J904" t="n">
        <v>0</v>
      </c>
      <c r="K904" t="n">
        <v>0</v>
      </c>
      <c r="L904" t="n">
        <v>0</v>
      </c>
      <c r="M904" t="n">
        <v>0</v>
      </c>
      <c r="N904" t="n">
        <v>0</v>
      </c>
      <c r="O904" t="n">
        <v>0</v>
      </c>
      <c r="P904" t="n">
        <v>0</v>
      </c>
      <c r="Q904" t="n">
        <v>0</v>
      </c>
      <c r="R904" s="2" t="inlineStr"/>
    </row>
    <row r="905" ht="15" customHeight="1">
      <c r="A905" t="inlineStr">
        <is>
          <t>A 26724-2019</t>
        </is>
      </c>
      <c r="B905" s="1" t="n">
        <v>43613</v>
      </c>
      <c r="C905" s="1" t="n">
        <v>45846</v>
      </c>
      <c r="D905" t="inlineStr">
        <is>
          <t>UPPSALA LÄN</t>
        </is>
      </c>
      <c r="E905" t="inlineStr">
        <is>
          <t>ÖSTHAMMAR</t>
        </is>
      </c>
      <c r="F905" t="inlineStr">
        <is>
          <t>Bergvik skog öst AB</t>
        </is>
      </c>
      <c r="G905" t="n">
        <v>1.5</v>
      </c>
      <c r="H905" t="n">
        <v>0</v>
      </c>
      <c r="I905" t="n">
        <v>0</v>
      </c>
      <c r="J905" t="n">
        <v>0</v>
      </c>
      <c r="K905" t="n">
        <v>0</v>
      </c>
      <c r="L905" t="n">
        <v>0</v>
      </c>
      <c r="M905" t="n">
        <v>0</v>
      </c>
      <c r="N905" t="n">
        <v>0</v>
      </c>
      <c r="O905" t="n">
        <v>0</v>
      </c>
      <c r="P905" t="n">
        <v>0</v>
      </c>
      <c r="Q905" t="n">
        <v>0</v>
      </c>
      <c r="R905" s="2" t="inlineStr"/>
    </row>
    <row r="906" ht="15" customHeight="1">
      <c r="A906" t="inlineStr">
        <is>
          <t>A 26796-2019</t>
        </is>
      </c>
      <c r="B906" s="1" t="n">
        <v>43613</v>
      </c>
      <c r="C906" s="1" t="n">
        <v>45846</v>
      </c>
      <c r="D906" t="inlineStr">
        <is>
          <t>UPPSALA LÄN</t>
        </is>
      </c>
      <c r="E906" t="inlineStr">
        <is>
          <t>ÖSTHAMMAR</t>
        </is>
      </c>
      <c r="F906" t="inlineStr">
        <is>
          <t>Bergvik skog öst AB</t>
        </is>
      </c>
      <c r="G906" t="n">
        <v>4.4</v>
      </c>
      <c r="H906" t="n">
        <v>0</v>
      </c>
      <c r="I906" t="n">
        <v>0</v>
      </c>
      <c r="J906" t="n">
        <v>0</v>
      </c>
      <c r="K906" t="n">
        <v>0</v>
      </c>
      <c r="L906" t="n">
        <v>0</v>
      </c>
      <c r="M906" t="n">
        <v>0</v>
      </c>
      <c r="N906" t="n">
        <v>0</v>
      </c>
      <c r="O906" t="n">
        <v>0</v>
      </c>
      <c r="P906" t="n">
        <v>0</v>
      </c>
      <c r="Q906" t="n">
        <v>0</v>
      </c>
      <c r="R906" s="2" t="inlineStr"/>
    </row>
    <row r="907" ht="15" customHeight="1">
      <c r="A907" t="inlineStr">
        <is>
          <t>A 27277-2019</t>
        </is>
      </c>
      <c r="B907" s="1" t="n">
        <v>43615</v>
      </c>
      <c r="C907" s="1" t="n">
        <v>45846</v>
      </c>
      <c r="D907" t="inlineStr">
        <is>
          <t>UPPSALA LÄN</t>
        </is>
      </c>
      <c r="E907" t="inlineStr">
        <is>
          <t>HEBY</t>
        </is>
      </c>
      <c r="G907" t="n">
        <v>1.5</v>
      </c>
      <c r="H907" t="n">
        <v>0</v>
      </c>
      <c r="I907" t="n">
        <v>0</v>
      </c>
      <c r="J907" t="n">
        <v>0</v>
      </c>
      <c r="K907" t="n">
        <v>0</v>
      </c>
      <c r="L907" t="n">
        <v>0</v>
      </c>
      <c r="M907" t="n">
        <v>0</v>
      </c>
      <c r="N907" t="n">
        <v>0</v>
      </c>
      <c r="O907" t="n">
        <v>0</v>
      </c>
      <c r="P907" t="n">
        <v>0</v>
      </c>
      <c r="Q907" t="n">
        <v>0</v>
      </c>
      <c r="R907" s="2" t="inlineStr"/>
    </row>
    <row r="908" ht="15" customHeight="1">
      <c r="A908" t="inlineStr">
        <is>
          <t>A 27458-2019</t>
        </is>
      </c>
      <c r="B908" s="1" t="n">
        <v>43618</v>
      </c>
      <c r="C908" s="1" t="n">
        <v>45846</v>
      </c>
      <c r="D908" t="inlineStr">
        <is>
          <t>UPPSALA LÄN</t>
        </is>
      </c>
      <c r="E908" t="inlineStr">
        <is>
          <t>ÖSTHAMMAR</t>
        </is>
      </c>
      <c r="F908" t="inlineStr">
        <is>
          <t>Bergvik skog öst AB</t>
        </is>
      </c>
      <c r="G908" t="n">
        <v>1.8</v>
      </c>
      <c r="H908" t="n">
        <v>0</v>
      </c>
      <c r="I908" t="n">
        <v>0</v>
      </c>
      <c r="J908" t="n">
        <v>0</v>
      </c>
      <c r="K908" t="n">
        <v>0</v>
      </c>
      <c r="L908" t="n">
        <v>0</v>
      </c>
      <c r="M908" t="n">
        <v>0</v>
      </c>
      <c r="N908" t="n">
        <v>0</v>
      </c>
      <c r="O908" t="n">
        <v>0</v>
      </c>
      <c r="P908" t="n">
        <v>0</v>
      </c>
      <c r="Q908" t="n">
        <v>0</v>
      </c>
      <c r="R908" s="2" t="inlineStr"/>
    </row>
    <row r="909" ht="15" customHeight="1">
      <c r="A909" t="inlineStr">
        <is>
          <t>A 28134-2019</t>
        </is>
      </c>
      <c r="B909" s="1" t="n">
        <v>43621</v>
      </c>
      <c r="C909" s="1" t="n">
        <v>45846</v>
      </c>
      <c r="D909" t="inlineStr">
        <is>
          <t>UPPSALA LÄN</t>
        </is>
      </c>
      <c r="E909" t="inlineStr">
        <is>
          <t>ENKÖPING</t>
        </is>
      </c>
      <c r="G909" t="n">
        <v>0.9</v>
      </c>
      <c r="H909" t="n">
        <v>0</v>
      </c>
      <c r="I909" t="n">
        <v>0</v>
      </c>
      <c r="J909" t="n">
        <v>0</v>
      </c>
      <c r="K909" t="n">
        <v>0</v>
      </c>
      <c r="L909" t="n">
        <v>0</v>
      </c>
      <c r="M909" t="n">
        <v>0</v>
      </c>
      <c r="N909" t="n">
        <v>0</v>
      </c>
      <c r="O909" t="n">
        <v>0</v>
      </c>
      <c r="P909" t="n">
        <v>0</v>
      </c>
      <c r="Q909" t="n">
        <v>0</v>
      </c>
      <c r="R909" s="2" t="inlineStr"/>
    </row>
    <row r="910" ht="15" customHeight="1">
      <c r="A910" t="inlineStr">
        <is>
          <t>A 29204-2019</t>
        </is>
      </c>
      <c r="B910" s="1" t="n">
        <v>43623</v>
      </c>
      <c r="C910" s="1" t="n">
        <v>45846</v>
      </c>
      <c r="D910" t="inlineStr">
        <is>
          <t>UPPSALA LÄN</t>
        </is>
      </c>
      <c r="E910" t="inlineStr">
        <is>
          <t>ÖSTHAMMAR</t>
        </is>
      </c>
      <c r="G910" t="n">
        <v>8.800000000000001</v>
      </c>
      <c r="H910" t="n">
        <v>0</v>
      </c>
      <c r="I910" t="n">
        <v>0</v>
      </c>
      <c r="J910" t="n">
        <v>0</v>
      </c>
      <c r="K910" t="n">
        <v>0</v>
      </c>
      <c r="L910" t="n">
        <v>0</v>
      </c>
      <c r="M910" t="n">
        <v>0</v>
      </c>
      <c r="N910" t="n">
        <v>0</v>
      </c>
      <c r="O910" t="n">
        <v>0</v>
      </c>
      <c r="P910" t="n">
        <v>0</v>
      </c>
      <c r="Q910" t="n">
        <v>0</v>
      </c>
      <c r="R910" s="2" t="inlineStr"/>
    </row>
    <row r="911" ht="15" customHeight="1">
      <c r="A911" t="inlineStr">
        <is>
          <t>A 28551-2019</t>
        </is>
      </c>
      <c r="B911" s="1" t="n">
        <v>43626</v>
      </c>
      <c r="C911" s="1" t="n">
        <v>45846</v>
      </c>
      <c r="D911" t="inlineStr">
        <is>
          <t>UPPSALA LÄN</t>
        </is>
      </c>
      <c r="E911" t="inlineStr">
        <is>
          <t>KNIVSTA</t>
        </is>
      </c>
      <c r="G911" t="n">
        <v>11.1</v>
      </c>
      <c r="H911" t="n">
        <v>0</v>
      </c>
      <c r="I911" t="n">
        <v>0</v>
      </c>
      <c r="J911" t="n">
        <v>0</v>
      </c>
      <c r="K911" t="n">
        <v>0</v>
      </c>
      <c r="L911" t="n">
        <v>0</v>
      </c>
      <c r="M911" t="n">
        <v>0</v>
      </c>
      <c r="N911" t="n">
        <v>0</v>
      </c>
      <c r="O911" t="n">
        <v>0</v>
      </c>
      <c r="P911" t="n">
        <v>0</v>
      </c>
      <c r="Q911" t="n">
        <v>0</v>
      </c>
      <c r="R911" s="2" t="inlineStr"/>
    </row>
    <row r="912" ht="15" customHeight="1">
      <c r="A912" t="inlineStr">
        <is>
          <t>A 29105-2019</t>
        </is>
      </c>
      <c r="B912" s="1" t="n">
        <v>43628</v>
      </c>
      <c r="C912" s="1" t="n">
        <v>45846</v>
      </c>
      <c r="D912" t="inlineStr">
        <is>
          <t>UPPSALA LÄN</t>
        </is>
      </c>
      <c r="E912" t="inlineStr">
        <is>
          <t>UPPSALA</t>
        </is>
      </c>
      <c r="G912" t="n">
        <v>2.1</v>
      </c>
      <c r="H912" t="n">
        <v>0</v>
      </c>
      <c r="I912" t="n">
        <v>0</v>
      </c>
      <c r="J912" t="n">
        <v>0</v>
      </c>
      <c r="K912" t="n">
        <v>0</v>
      </c>
      <c r="L912" t="n">
        <v>0</v>
      </c>
      <c r="M912" t="n">
        <v>0</v>
      </c>
      <c r="N912" t="n">
        <v>0</v>
      </c>
      <c r="O912" t="n">
        <v>0</v>
      </c>
      <c r="P912" t="n">
        <v>0</v>
      </c>
      <c r="Q912" t="n">
        <v>0</v>
      </c>
      <c r="R912" s="2" t="inlineStr"/>
    </row>
    <row r="913" ht="15" customHeight="1">
      <c r="A913" t="inlineStr">
        <is>
          <t>A 29183-2019</t>
        </is>
      </c>
      <c r="B913" s="1" t="n">
        <v>43628</v>
      </c>
      <c r="C913" s="1" t="n">
        <v>45846</v>
      </c>
      <c r="D913" t="inlineStr">
        <is>
          <t>UPPSALA LÄN</t>
        </is>
      </c>
      <c r="E913" t="inlineStr">
        <is>
          <t>UPPSALA</t>
        </is>
      </c>
      <c r="F913" t="inlineStr">
        <is>
          <t>Allmännings- och besparingsskogar</t>
        </is>
      </c>
      <c r="G913" t="n">
        <v>6.3</v>
      </c>
      <c r="H913" t="n">
        <v>0</v>
      </c>
      <c r="I913" t="n">
        <v>0</v>
      </c>
      <c r="J913" t="n">
        <v>0</v>
      </c>
      <c r="K913" t="n">
        <v>0</v>
      </c>
      <c r="L913" t="n">
        <v>0</v>
      </c>
      <c r="M913" t="n">
        <v>0</v>
      </c>
      <c r="N913" t="n">
        <v>0</v>
      </c>
      <c r="O913" t="n">
        <v>0</v>
      </c>
      <c r="P913" t="n">
        <v>0</v>
      </c>
      <c r="Q913" t="n">
        <v>0</v>
      </c>
      <c r="R913" s="2" t="inlineStr"/>
    </row>
    <row r="914" ht="15" customHeight="1">
      <c r="A914" t="inlineStr">
        <is>
          <t>A 29081-2019</t>
        </is>
      </c>
      <c r="B914" s="1" t="n">
        <v>43628</v>
      </c>
      <c r="C914" s="1" t="n">
        <v>45846</v>
      </c>
      <c r="D914" t="inlineStr">
        <is>
          <t>UPPSALA LÄN</t>
        </is>
      </c>
      <c r="E914" t="inlineStr">
        <is>
          <t>UPPSALA</t>
        </is>
      </c>
      <c r="G914" t="n">
        <v>8.4</v>
      </c>
      <c r="H914" t="n">
        <v>0</v>
      </c>
      <c r="I914" t="n">
        <v>0</v>
      </c>
      <c r="J914" t="n">
        <v>0</v>
      </c>
      <c r="K914" t="n">
        <v>0</v>
      </c>
      <c r="L914" t="n">
        <v>0</v>
      </c>
      <c r="M914" t="n">
        <v>0</v>
      </c>
      <c r="N914" t="n">
        <v>0</v>
      </c>
      <c r="O914" t="n">
        <v>0</v>
      </c>
      <c r="P914" t="n">
        <v>0</v>
      </c>
      <c r="Q914" t="n">
        <v>0</v>
      </c>
      <c r="R914" s="2" t="inlineStr"/>
    </row>
    <row r="915" ht="15" customHeight="1">
      <c r="A915" t="inlineStr">
        <is>
          <t>A 29637-2019</t>
        </is>
      </c>
      <c r="B915" s="1" t="n">
        <v>43628</v>
      </c>
      <c r="C915" s="1" t="n">
        <v>45846</v>
      </c>
      <c r="D915" t="inlineStr">
        <is>
          <t>UPPSALA LÄN</t>
        </is>
      </c>
      <c r="E915" t="inlineStr">
        <is>
          <t>HEBY</t>
        </is>
      </c>
      <c r="G915" t="n">
        <v>2.4</v>
      </c>
      <c r="H915" t="n">
        <v>0</v>
      </c>
      <c r="I915" t="n">
        <v>0</v>
      </c>
      <c r="J915" t="n">
        <v>0</v>
      </c>
      <c r="K915" t="n">
        <v>0</v>
      </c>
      <c r="L915" t="n">
        <v>0</v>
      </c>
      <c r="M915" t="n">
        <v>0</v>
      </c>
      <c r="N915" t="n">
        <v>0</v>
      </c>
      <c r="O915" t="n">
        <v>0</v>
      </c>
      <c r="P915" t="n">
        <v>0</v>
      </c>
      <c r="Q915" t="n">
        <v>0</v>
      </c>
      <c r="R915" s="2" t="inlineStr"/>
    </row>
    <row r="916" ht="15" customHeight="1">
      <c r="A916" t="inlineStr">
        <is>
          <t>A 29719-2019</t>
        </is>
      </c>
      <c r="B916" s="1" t="n">
        <v>43630</v>
      </c>
      <c r="C916" s="1" t="n">
        <v>45846</v>
      </c>
      <c r="D916" t="inlineStr">
        <is>
          <t>UPPSALA LÄN</t>
        </is>
      </c>
      <c r="E916" t="inlineStr">
        <is>
          <t>UPPSALA</t>
        </is>
      </c>
      <c r="G916" t="n">
        <v>1.4</v>
      </c>
      <c r="H916" t="n">
        <v>0</v>
      </c>
      <c r="I916" t="n">
        <v>0</v>
      </c>
      <c r="J916" t="n">
        <v>0</v>
      </c>
      <c r="K916" t="n">
        <v>0</v>
      </c>
      <c r="L916" t="n">
        <v>0</v>
      </c>
      <c r="M916" t="n">
        <v>0</v>
      </c>
      <c r="N916" t="n">
        <v>0</v>
      </c>
      <c r="O916" t="n">
        <v>0</v>
      </c>
      <c r="P916" t="n">
        <v>0</v>
      </c>
      <c r="Q916" t="n">
        <v>0</v>
      </c>
      <c r="R916" s="2" t="inlineStr"/>
    </row>
    <row r="917" ht="15" customHeight="1">
      <c r="A917" t="inlineStr">
        <is>
          <t>A 29713-2019</t>
        </is>
      </c>
      <c r="B917" s="1" t="n">
        <v>43630</v>
      </c>
      <c r="C917" s="1" t="n">
        <v>45846</v>
      </c>
      <c r="D917" t="inlineStr">
        <is>
          <t>UPPSALA LÄN</t>
        </is>
      </c>
      <c r="E917" t="inlineStr">
        <is>
          <t>UPPSALA</t>
        </is>
      </c>
      <c r="G917" t="n">
        <v>1</v>
      </c>
      <c r="H917" t="n">
        <v>0</v>
      </c>
      <c r="I917" t="n">
        <v>0</v>
      </c>
      <c r="J917" t="n">
        <v>0</v>
      </c>
      <c r="K917" t="n">
        <v>0</v>
      </c>
      <c r="L917" t="n">
        <v>0</v>
      </c>
      <c r="M917" t="n">
        <v>0</v>
      </c>
      <c r="N917" t="n">
        <v>0</v>
      </c>
      <c r="O917" t="n">
        <v>0</v>
      </c>
      <c r="P917" t="n">
        <v>0</v>
      </c>
      <c r="Q917" t="n">
        <v>0</v>
      </c>
      <c r="R917" s="2" t="inlineStr"/>
    </row>
    <row r="918" ht="15" customHeight="1">
      <c r="A918" t="inlineStr">
        <is>
          <t>A 29792-2019</t>
        </is>
      </c>
      <c r="B918" s="1" t="n">
        <v>43633</v>
      </c>
      <c r="C918" s="1" t="n">
        <v>45846</v>
      </c>
      <c r="D918" t="inlineStr">
        <is>
          <t>UPPSALA LÄN</t>
        </is>
      </c>
      <c r="E918" t="inlineStr">
        <is>
          <t>TIERP</t>
        </is>
      </c>
      <c r="F918" t="inlineStr">
        <is>
          <t>Bergvik skog väst AB</t>
        </is>
      </c>
      <c r="G918" t="n">
        <v>0.9</v>
      </c>
      <c r="H918" t="n">
        <v>0</v>
      </c>
      <c r="I918" t="n">
        <v>0</v>
      </c>
      <c r="J918" t="n">
        <v>0</v>
      </c>
      <c r="K918" t="n">
        <v>0</v>
      </c>
      <c r="L918" t="n">
        <v>0</v>
      </c>
      <c r="M918" t="n">
        <v>0</v>
      </c>
      <c r="N918" t="n">
        <v>0</v>
      </c>
      <c r="O918" t="n">
        <v>0</v>
      </c>
      <c r="P918" t="n">
        <v>0</v>
      </c>
      <c r="Q918" t="n">
        <v>0</v>
      </c>
      <c r="R918" s="2" t="inlineStr"/>
    </row>
    <row r="919" ht="15" customHeight="1">
      <c r="A919" t="inlineStr">
        <is>
          <t>A 29954-2019</t>
        </is>
      </c>
      <c r="B919" s="1" t="n">
        <v>43633</v>
      </c>
      <c r="C919" s="1" t="n">
        <v>45846</v>
      </c>
      <c r="D919" t="inlineStr">
        <is>
          <t>UPPSALA LÄN</t>
        </is>
      </c>
      <c r="E919" t="inlineStr">
        <is>
          <t>HEBY</t>
        </is>
      </c>
      <c r="F919" t="inlineStr">
        <is>
          <t>Bergvik skog väst AB</t>
        </is>
      </c>
      <c r="G919" t="n">
        <v>4.8</v>
      </c>
      <c r="H919" t="n">
        <v>0</v>
      </c>
      <c r="I919" t="n">
        <v>0</v>
      </c>
      <c r="J919" t="n">
        <v>0</v>
      </c>
      <c r="K919" t="n">
        <v>0</v>
      </c>
      <c r="L919" t="n">
        <v>0</v>
      </c>
      <c r="M919" t="n">
        <v>0</v>
      </c>
      <c r="N919" t="n">
        <v>0</v>
      </c>
      <c r="O919" t="n">
        <v>0</v>
      </c>
      <c r="P919" t="n">
        <v>0</v>
      </c>
      <c r="Q919" t="n">
        <v>0</v>
      </c>
      <c r="R919" s="2" t="inlineStr"/>
    </row>
    <row r="920" ht="15" customHeight="1">
      <c r="A920" t="inlineStr">
        <is>
          <t>A 30036-2019</t>
        </is>
      </c>
      <c r="B920" s="1" t="n">
        <v>43633</v>
      </c>
      <c r="C920" s="1" t="n">
        <v>45846</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29979-2019</t>
        </is>
      </c>
      <c r="B921" s="1" t="n">
        <v>43633</v>
      </c>
      <c r="C921" s="1" t="n">
        <v>45846</v>
      </c>
      <c r="D921" t="inlineStr">
        <is>
          <t>UPPSALA LÄN</t>
        </is>
      </c>
      <c r="E921" t="inlineStr">
        <is>
          <t>ENKÖPING</t>
        </is>
      </c>
      <c r="G921" t="n">
        <v>2.3</v>
      </c>
      <c r="H921" t="n">
        <v>0</v>
      </c>
      <c r="I921" t="n">
        <v>0</v>
      </c>
      <c r="J921" t="n">
        <v>0</v>
      </c>
      <c r="K921" t="n">
        <v>0</v>
      </c>
      <c r="L921" t="n">
        <v>0</v>
      </c>
      <c r="M921" t="n">
        <v>0</v>
      </c>
      <c r="N921" t="n">
        <v>0</v>
      </c>
      <c r="O921" t="n">
        <v>0</v>
      </c>
      <c r="P921" t="n">
        <v>0</v>
      </c>
      <c r="Q921" t="n">
        <v>0</v>
      </c>
      <c r="R921" s="2" t="inlineStr"/>
    </row>
    <row r="922" ht="15" customHeight="1">
      <c r="A922" t="inlineStr">
        <is>
          <t>A 31106-2019</t>
        </is>
      </c>
      <c r="B922" s="1" t="n">
        <v>43635</v>
      </c>
      <c r="C922" s="1" t="n">
        <v>45846</v>
      </c>
      <c r="D922" t="inlineStr">
        <is>
          <t>UPPSALA LÄN</t>
        </is>
      </c>
      <c r="E922" t="inlineStr">
        <is>
          <t>ÖSTHAMMAR</t>
        </is>
      </c>
      <c r="F922" t="inlineStr">
        <is>
          <t>Övriga statliga verk och myndigheter</t>
        </is>
      </c>
      <c r="G922" t="n">
        <v>1.5</v>
      </c>
      <c r="H922" t="n">
        <v>0</v>
      </c>
      <c r="I922" t="n">
        <v>0</v>
      </c>
      <c r="J922" t="n">
        <v>0</v>
      </c>
      <c r="K922" t="n">
        <v>0</v>
      </c>
      <c r="L922" t="n">
        <v>0</v>
      </c>
      <c r="M922" t="n">
        <v>0</v>
      </c>
      <c r="N922" t="n">
        <v>0</v>
      </c>
      <c r="O922" t="n">
        <v>0</v>
      </c>
      <c r="P922" t="n">
        <v>0</v>
      </c>
      <c r="Q922" t="n">
        <v>0</v>
      </c>
      <c r="R922" s="2" t="inlineStr"/>
    </row>
    <row r="923" ht="15" customHeight="1">
      <c r="A923" t="inlineStr">
        <is>
          <t>A 30838-2019</t>
        </is>
      </c>
      <c r="B923" s="1" t="n">
        <v>43636</v>
      </c>
      <c r="C923" s="1" t="n">
        <v>45846</v>
      </c>
      <c r="D923" t="inlineStr">
        <is>
          <t>UPPSALA LÄN</t>
        </is>
      </c>
      <c r="E923" t="inlineStr">
        <is>
          <t>HEBY</t>
        </is>
      </c>
      <c r="G923" t="n">
        <v>5.4</v>
      </c>
      <c r="H923" t="n">
        <v>0</v>
      </c>
      <c r="I923" t="n">
        <v>0</v>
      </c>
      <c r="J923" t="n">
        <v>0</v>
      </c>
      <c r="K923" t="n">
        <v>0</v>
      </c>
      <c r="L923" t="n">
        <v>0</v>
      </c>
      <c r="M923" t="n">
        <v>0</v>
      </c>
      <c r="N923" t="n">
        <v>0</v>
      </c>
      <c r="O923" t="n">
        <v>0</v>
      </c>
      <c r="P923" t="n">
        <v>0</v>
      </c>
      <c r="Q923" t="n">
        <v>0</v>
      </c>
      <c r="R923" s="2" t="inlineStr"/>
    </row>
    <row r="924" ht="15" customHeight="1">
      <c r="A924" t="inlineStr">
        <is>
          <t>A 31081-2019</t>
        </is>
      </c>
      <c r="B924" s="1" t="n">
        <v>43640</v>
      </c>
      <c r="C924" s="1" t="n">
        <v>45846</v>
      </c>
      <c r="D924" t="inlineStr">
        <is>
          <t>UPPSALA LÄN</t>
        </is>
      </c>
      <c r="E924" t="inlineStr">
        <is>
          <t>ENKÖPING</t>
        </is>
      </c>
      <c r="G924" t="n">
        <v>3.1</v>
      </c>
      <c r="H924" t="n">
        <v>0</v>
      </c>
      <c r="I924" t="n">
        <v>0</v>
      </c>
      <c r="J924" t="n">
        <v>0</v>
      </c>
      <c r="K924" t="n">
        <v>0</v>
      </c>
      <c r="L924" t="n">
        <v>0</v>
      </c>
      <c r="M924" t="n">
        <v>0</v>
      </c>
      <c r="N924" t="n">
        <v>0</v>
      </c>
      <c r="O924" t="n">
        <v>0</v>
      </c>
      <c r="P924" t="n">
        <v>0</v>
      </c>
      <c r="Q924" t="n">
        <v>0</v>
      </c>
      <c r="R924" s="2" t="inlineStr"/>
    </row>
    <row r="925" ht="15" customHeight="1">
      <c r="A925" t="inlineStr">
        <is>
          <t>A 31074-2019</t>
        </is>
      </c>
      <c r="B925" s="1" t="n">
        <v>43640</v>
      </c>
      <c r="C925" s="1" t="n">
        <v>45846</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31438-2019</t>
        </is>
      </c>
      <c r="B926" s="1" t="n">
        <v>43641</v>
      </c>
      <c r="C926" s="1" t="n">
        <v>45846</v>
      </c>
      <c r="D926" t="inlineStr">
        <is>
          <t>UPPSALA LÄN</t>
        </is>
      </c>
      <c r="E926" t="inlineStr">
        <is>
          <t>HEBY</t>
        </is>
      </c>
      <c r="G926" t="n">
        <v>1.6</v>
      </c>
      <c r="H926" t="n">
        <v>0</v>
      </c>
      <c r="I926" t="n">
        <v>0</v>
      </c>
      <c r="J926" t="n">
        <v>0</v>
      </c>
      <c r="K926" t="n">
        <v>0</v>
      </c>
      <c r="L926" t="n">
        <v>0</v>
      </c>
      <c r="M926" t="n">
        <v>0</v>
      </c>
      <c r="N926" t="n">
        <v>0</v>
      </c>
      <c r="O926" t="n">
        <v>0</v>
      </c>
      <c r="P926" t="n">
        <v>0</v>
      </c>
      <c r="Q926" t="n">
        <v>0</v>
      </c>
      <c r="R926" s="2" t="inlineStr"/>
    </row>
    <row r="927" ht="15" customHeight="1">
      <c r="A927" t="inlineStr">
        <is>
          <t>A 31319-2019</t>
        </is>
      </c>
      <c r="B927" s="1" t="n">
        <v>43641</v>
      </c>
      <c r="C927" s="1" t="n">
        <v>45846</v>
      </c>
      <c r="D927" t="inlineStr">
        <is>
          <t>UPPSALA LÄN</t>
        </is>
      </c>
      <c r="E927" t="inlineStr">
        <is>
          <t>TIERP</t>
        </is>
      </c>
      <c r="F927" t="inlineStr">
        <is>
          <t>Bergvik skog väst AB</t>
        </is>
      </c>
      <c r="G927" t="n">
        <v>0.6</v>
      </c>
      <c r="H927" t="n">
        <v>0</v>
      </c>
      <c r="I927" t="n">
        <v>0</v>
      </c>
      <c r="J927" t="n">
        <v>0</v>
      </c>
      <c r="K927" t="n">
        <v>0</v>
      </c>
      <c r="L927" t="n">
        <v>0</v>
      </c>
      <c r="M927" t="n">
        <v>0</v>
      </c>
      <c r="N927" t="n">
        <v>0</v>
      </c>
      <c r="O927" t="n">
        <v>0</v>
      </c>
      <c r="P927" t="n">
        <v>0</v>
      </c>
      <c r="Q927" t="n">
        <v>0</v>
      </c>
      <c r="R927" s="2" t="inlineStr"/>
    </row>
    <row r="928" ht="15" customHeight="1">
      <c r="A928" t="inlineStr">
        <is>
          <t>A 31436-2019</t>
        </is>
      </c>
      <c r="B928" s="1" t="n">
        <v>43641</v>
      </c>
      <c r="C928" s="1" t="n">
        <v>45846</v>
      </c>
      <c r="D928" t="inlineStr">
        <is>
          <t>UPPSALA LÄN</t>
        </is>
      </c>
      <c r="E928" t="inlineStr">
        <is>
          <t>HEBY</t>
        </is>
      </c>
      <c r="F928" t="inlineStr">
        <is>
          <t>Bergvik skog öst AB</t>
        </is>
      </c>
      <c r="G928" t="n">
        <v>1.6</v>
      </c>
      <c r="H928" t="n">
        <v>0</v>
      </c>
      <c r="I928" t="n">
        <v>0</v>
      </c>
      <c r="J928" t="n">
        <v>0</v>
      </c>
      <c r="K928" t="n">
        <v>0</v>
      </c>
      <c r="L928" t="n">
        <v>0</v>
      </c>
      <c r="M928" t="n">
        <v>0</v>
      </c>
      <c r="N928" t="n">
        <v>0</v>
      </c>
      <c r="O928" t="n">
        <v>0</v>
      </c>
      <c r="P928" t="n">
        <v>0</v>
      </c>
      <c r="Q928" t="n">
        <v>0</v>
      </c>
      <c r="R928" s="2" t="inlineStr"/>
    </row>
    <row r="929" ht="15" customHeight="1">
      <c r="A929" t="inlineStr">
        <is>
          <t>A 31716-2019</t>
        </is>
      </c>
      <c r="B929" s="1" t="n">
        <v>43642</v>
      </c>
      <c r="C929" s="1" t="n">
        <v>45846</v>
      </c>
      <c r="D929" t="inlineStr">
        <is>
          <t>UPPSALA LÄN</t>
        </is>
      </c>
      <c r="E929" t="inlineStr">
        <is>
          <t>ÖSTHAMMAR</t>
        </is>
      </c>
      <c r="G929" t="n">
        <v>1.5</v>
      </c>
      <c r="H929" t="n">
        <v>0</v>
      </c>
      <c r="I929" t="n">
        <v>0</v>
      </c>
      <c r="J929" t="n">
        <v>0</v>
      </c>
      <c r="K929" t="n">
        <v>0</v>
      </c>
      <c r="L929" t="n">
        <v>0</v>
      </c>
      <c r="M929" t="n">
        <v>0</v>
      </c>
      <c r="N929" t="n">
        <v>0</v>
      </c>
      <c r="O929" t="n">
        <v>0</v>
      </c>
      <c r="P929" t="n">
        <v>0</v>
      </c>
      <c r="Q929" t="n">
        <v>0</v>
      </c>
      <c r="R929" s="2" t="inlineStr"/>
    </row>
    <row r="930" ht="15" customHeight="1">
      <c r="A930" t="inlineStr">
        <is>
          <t>A 31882-2019</t>
        </is>
      </c>
      <c r="B930" s="1" t="n">
        <v>43642</v>
      </c>
      <c r="C930" s="1" t="n">
        <v>45846</v>
      </c>
      <c r="D930" t="inlineStr">
        <is>
          <t>UPPSALA LÄN</t>
        </is>
      </c>
      <c r="E930" t="inlineStr">
        <is>
          <t>ÖSTHAMMAR</t>
        </is>
      </c>
      <c r="G930" t="n">
        <v>3.5</v>
      </c>
      <c r="H930" t="n">
        <v>0</v>
      </c>
      <c r="I930" t="n">
        <v>0</v>
      </c>
      <c r="J930" t="n">
        <v>0</v>
      </c>
      <c r="K930" t="n">
        <v>0</v>
      </c>
      <c r="L930" t="n">
        <v>0</v>
      </c>
      <c r="M930" t="n">
        <v>0</v>
      </c>
      <c r="N930" t="n">
        <v>0</v>
      </c>
      <c r="O930" t="n">
        <v>0</v>
      </c>
      <c r="P930" t="n">
        <v>0</v>
      </c>
      <c r="Q930" t="n">
        <v>0</v>
      </c>
      <c r="R930" s="2" t="inlineStr"/>
    </row>
    <row r="931" ht="15" customHeight="1">
      <c r="A931" t="inlineStr">
        <is>
          <t>A 31884-2019</t>
        </is>
      </c>
      <c r="B931" s="1" t="n">
        <v>43642</v>
      </c>
      <c r="C931" s="1" t="n">
        <v>45846</v>
      </c>
      <c r="D931" t="inlineStr">
        <is>
          <t>UPPSALA LÄN</t>
        </is>
      </c>
      <c r="E931" t="inlineStr">
        <is>
          <t>TIERP</t>
        </is>
      </c>
      <c r="G931" t="n">
        <v>1.9</v>
      </c>
      <c r="H931" t="n">
        <v>0</v>
      </c>
      <c r="I931" t="n">
        <v>0</v>
      </c>
      <c r="J931" t="n">
        <v>0</v>
      </c>
      <c r="K931" t="n">
        <v>0</v>
      </c>
      <c r="L931" t="n">
        <v>0</v>
      </c>
      <c r="M931" t="n">
        <v>0</v>
      </c>
      <c r="N931" t="n">
        <v>0</v>
      </c>
      <c r="O931" t="n">
        <v>0</v>
      </c>
      <c r="P931" t="n">
        <v>0</v>
      </c>
      <c r="Q931" t="n">
        <v>0</v>
      </c>
      <c r="R931" s="2" t="inlineStr"/>
    </row>
    <row r="932" ht="15" customHeight="1">
      <c r="A932" t="inlineStr">
        <is>
          <t>A 32299-2019</t>
        </is>
      </c>
      <c r="B932" s="1" t="n">
        <v>43644</v>
      </c>
      <c r="C932" s="1" t="n">
        <v>45846</v>
      </c>
      <c r="D932" t="inlineStr">
        <is>
          <t>UPPSALA LÄN</t>
        </is>
      </c>
      <c r="E932" t="inlineStr">
        <is>
          <t>HEBY</t>
        </is>
      </c>
      <c r="G932" t="n">
        <v>12.8</v>
      </c>
      <c r="H932" t="n">
        <v>0</v>
      </c>
      <c r="I932" t="n">
        <v>0</v>
      </c>
      <c r="J932" t="n">
        <v>0</v>
      </c>
      <c r="K932" t="n">
        <v>0</v>
      </c>
      <c r="L932" t="n">
        <v>0</v>
      </c>
      <c r="M932" t="n">
        <v>0</v>
      </c>
      <c r="N932" t="n">
        <v>0</v>
      </c>
      <c r="O932" t="n">
        <v>0</v>
      </c>
      <c r="P932" t="n">
        <v>0</v>
      </c>
      <c r="Q932" t="n">
        <v>0</v>
      </c>
      <c r="R932" s="2" t="inlineStr"/>
    </row>
    <row r="933" ht="15" customHeight="1">
      <c r="A933" t="inlineStr">
        <is>
          <t>A 32310-2019</t>
        </is>
      </c>
      <c r="B933" s="1" t="n">
        <v>43644</v>
      </c>
      <c r="C933" s="1" t="n">
        <v>45846</v>
      </c>
      <c r="D933" t="inlineStr">
        <is>
          <t>UPPSALA LÄN</t>
        </is>
      </c>
      <c r="E933" t="inlineStr">
        <is>
          <t>ENKÖPING</t>
        </is>
      </c>
      <c r="G933" t="n">
        <v>2.7</v>
      </c>
      <c r="H933" t="n">
        <v>0</v>
      </c>
      <c r="I933" t="n">
        <v>0</v>
      </c>
      <c r="J933" t="n">
        <v>0</v>
      </c>
      <c r="K933" t="n">
        <v>0</v>
      </c>
      <c r="L933" t="n">
        <v>0</v>
      </c>
      <c r="M933" t="n">
        <v>0</v>
      </c>
      <c r="N933" t="n">
        <v>0</v>
      </c>
      <c r="O933" t="n">
        <v>0</v>
      </c>
      <c r="P933" t="n">
        <v>0</v>
      </c>
      <c r="Q933" t="n">
        <v>0</v>
      </c>
      <c r="R933" s="2" t="inlineStr"/>
    </row>
    <row r="934" ht="15" customHeight="1">
      <c r="A934" t="inlineStr">
        <is>
          <t>A 32558-2019</t>
        </is>
      </c>
      <c r="B934" s="1" t="n">
        <v>43647</v>
      </c>
      <c r="C934" s="1" t="n">
        <v>45846</v>
      </c>
      <c r="D934" t="inlineStr">
        <is>
          <t>UPPSALA LÄN</t>
        </is>
      </c>
      <c r="E934" t="inlineStr">
        <is>
          <t>UPPSALA</t>
        </is>
      </c>
      <c r="G934" t="n">
        <v>4.2</v>
      </c>
      <c r="H934" t="n">
        <v>0</v>
      </c>
      <c r="I934" t="n">
        <v>0</v>
      </c>
      <c r="J934" t="n">
        <v>0</v>
      </c>
      <c r="K934" t="n">
        <v>0</v>
      </c>
      <c r="L934" t="n">
        <v>0</v>
      </c>
      <c r="M934" t="n">
        <v>0</v>
      </c>
      <c r="N934" t="n">
        <v>0</v>
      </c>
      <c r="O934" t="n">
        <v>0</v>
      </c>
      <c r="P934" t="n">
        <v>0</v>
      </c>
      <c r="Q934" t="n">
        <v>0</v>
      </c>
      <c r="R934" s="2" t="inlineStr"/>
    </row>
    <row r="935" ht="15" customHeight="1">
      <c r="A935" t="inlineStr">
        <is>
          <t>A 32640-2019</t>
        </is>
      </c>
      <c r="B935" s="1" t="n">
        <v>43647</v>
      </c>
      <c r="C935" s="1" t="n">
        <v>45846</v>
      </c>
      <c r="D935" t="inlineStr">
        <is>
          <t>UPPSALA LÄN</t>
        </is>
      </c>
      <c r="E935" t="inlineStr">
        <is>
          <t>ENKÖPING</t>
        </is>
      </c>
      <c r="G935" t="n">
        <v>1.5</v>
      </c>
      <c r="H935" t="n">
        <v>0</v>
      </c>
      <c r="I935" t="n">
        <v>0</v>
      </c>
      <c r="J935" t="n">
        <v>0</v>
      </c>
      <c r="K935" t="n">
        <v>0</v>
      </c>
      <c r="L935" t="n">
        <v>0</v>
      </c>
      <c r="M935" t="n">
        <v>0</v>
      </c>
      <c r="N935" t="n">
        <v>0</v>
      </c>
      <c r="O935" t="n">
        <v>0</v>
      </c>
      <c r="P935" t="n">
        <v>0</v>
      </c>
      <c r="Q935" t="n">
        <v>0</v>
      </c>
      <c r="R935" s="2" t="inlineStr"/>
    </row>
    <row r="936" ht="15" customHeight="1">
      <c r="A936" t="inlineStr">
        <is>
          <t>A 32718-2019</t>
        </is>
      </c>
      <c r="B936" s="1" t="n">
        <v>43647</v>
      </c>
      <c r="C936" s="1" t="n">
        <v>45846</v>
      </c>
      <c r="D936" t="inlineStr">
        <is>
          <t>UPPSALA LÄN</t>
        </is>
      </c>
      <c r="E936" t="inlineStr">
        <is>
          <t>ÖSTHAMMAR</t>
        </is>
      </c>
      <c r="G936" t="n">
        <v>0.5</v>
      </c>
      <c r="H936" t="n">
        <v>0</v>
      </c>
      <c r="I936" t="n">
        <v>0</v>
      </c>
      <c r="J936" t="n">
        <v>0</v>
      </c>
      <c r="K936" t="n">
        <v>0</v>
      </c>
      <c r="L936" t="n">
        <v>0</v>
      </c>
      <c r="M936" t="n">
        <v>0</v>
      </c>
      <c r="N936" t="n">
        <v>0</v>
      </c>
      <c r="O936" t="n">
        <v>0</v>
      </c>
      <c r="P936" t="n">
        <v>0</v>
      </c>
      <c r="Q936" t="n">
        <v>0</v>
      </c>
      <c r="R936" s="2" t="inlineStr"/>
    </row>
    <row r="937" ht="15" customHeight="1">
      <c r="A937" t="inlineStr">
        <is>
          <t>A 34560-2019</t>
        </is>
      </c>
      <c r="B937" s="1" t="n">
        <v>43647</v>
      </c>
      <c r="C937" s="1" t="n">
        <v>45846</v>
      </c>
      <c r="D937" t="inlineStr">
        <is>
          <t>UPPSALA LÄN</t>
        </is>
      </c>
      <c r="E937" t="inlineStr">
        <is>
          <t>UPPSALA</t>
        </is>
      </c>
      <c r="G937" t="n">
        <v>8.6</v>
      </c>
      <c r="H937" t="n">
        <v>0</v>
      </c>
      <c r="I937" t="n">
        <v>0</v>
      </c>
      <c r="J937" t="n">
        <v>0</v>
      </c>
      <c r="K937" t="n">
        <v>0</v>
      </c>
      <c r="L937" t="n">
        <v>0</v>
      </c>
      <c r="M937" t="n">
        <v>0</v>
      </c>
      <c r="N937" t="n">
        <v>0</v>
      </c>
      <c r="O937" t="n">
        <v>0</v>
      </c>
      <c r="P937" t="n">
        <v>0</v>
      </c>
      <c r="Q937" t="n">
        <v>0</v>
      </c>
      <c r="R937" s="2" t="inlineStr"/>
    </row>
    <row r="938" ht="15" customHeight="1">
      <c r="A938" t="inlineStr">
        <is>
          <t>A 32830-2019</t>
        </is>
      </c>
      <c r="B938" s="1" t="n">
        <v>43648</v>
      </c>
      <c r="C938" s="1" t="n">
        <v>45846</v>
      </c>
      <c r="D938" t="inlineStr">
        <is>
          <t>UPPSALA LÄN</t>
        </is>
      </c>
      <c r="E938" t="inlineStr">
        <is>
          <t>UPPSALA</t>
        </is>
      </c>
      <c r="G938" t="n">
        <v>13.6</v>
      </c>
      <c r="H938" t="n">
        <v>0</v>
      </c>
      <c r="I938" t="n">
        <v>0</v>
      </c>
      <c r="J938" t="n">
        <v>0</v>
      </c>
      <c r="K938" t="n">
        <v>0</v>
      </c>
      <c r="L938" t="n">
        <v>0</v>
      </c>
      <c r="M938" t="n">
        <v>0</v>
      </c>
      <c r="N938" t="n">
        <v>0</v>
      </c>
      <c r="O938" t="n">
        <v>0</v>
      </c>
      <c r="P938" t="n">
        <v>0</v>
      </c>
      <c r="Q938" t="n">
        <v>0</v>
      </c>
      <c r="R938" s="2" t="inlineStr"/>
    </row>
    <row r="939" ht="15" customHeight="1">
      <c r="A939" t="inlineStr">
        <is>
          <t>A 33339-2019</t>
        </is>
      </c>
      <c r="B939" s="1" t="n">
        <v>43650</v>
      </c>
      <c r="C939" s="1" t="n">
        <v>45846</v>
      </c>
      <c r="D939" t="inlineStr">
        <is>
          <t>UPPSALA LÄN</t>
        </is>
      </c>
      <c r="E939" t="inlineStr">
        <is>
          <t>ENKÖPING</t>
        </is>
      </c>
      <c r="G939" t="n">
        <v>3.3</v>
      </c>
      <c r="H939" t="n">
        <v>0</v>
      </c>
      <c r="I939" t="n">
        <v>0</v>
      </c>
      <c r="J939" t="n">
        <v>0</v>
      </c>
      <c r="K939" t="n">
        <v>0</v>
      </c>
      <c r="L939" t="n">
        <v>0</v>
      </c>
      <c r="M939" t="n">
        <v>0</v>
      </c>
      <c r="N939" t="n">
        <v>0</v>
      </c>
      <c r="O939" t="n">
        <v>0</v>
      </c>
      <c r="P939" t="n">
        <v>0</v>
      </c>
      <c r="Q939" t="n">
        <v>0</v>
      </c>
      <c r="R939" s="2" t="inlineStr"/>
    </row>
    <row r="940" ht="15" customHeight="1">
      <c r="A940" t="inlineStr">
        <is>
          <t>A 33532-2019</t>
        </is>
      </c>
      <c r="B940" s="1" t="n">
        <v>43651</v>
      </c>
      <c r="C940" s="1" t="n">
        <v>45846</v>
      </c>
      <c r="D940" t="inlineStr">
        <is>
          <t>UPPSALA LÄN</t>
        </is>
      </c>
      <c r="E940" t="inlineStr">
        <is>
          <t>ÖSTHAMMAR</t>
        </is>
      </c>
      <c r="G940" t="n">
        <v>1.6</v>
      </c>
      <c r="H940" t="n">
        <v>0</v>
      </c>
      <c r="I940" t="n">
        <v>0</v>
      </c>
      <c r="J940" t="n">
        <v>0</v>
      </c>
      <c r="K940" t="n">
        <v>0</v>
      </c>
      <c r="L940" t="n">
        <v>0</v>
      </c>
      <c r="M940" t="n">
        <v>0</v>
      </c>
      <c r="N940" t="n">
        <v>0</v>
      </c>
      <c r="O940" t="n">
        <v>0</v>
      </c>
      <c r="P940" t="n">
        <v>0</v>
      </c>
      <c r="Q940" t="n">
        <v>0</v>
      </c>
      <c r="R940" s="2" t="inlineStr"/>
    </row>
    <row r="941" ht="15" customHeight="1">
      <c r="A941" t="inlineStr">
        <is>
          <t>A 33544-2019</t>
        </is>
      </c>
      <c r="B941" s="1" t="n">
        <v>43651</v>
      </c>
      <c r="C941" s="1" t="n">
        <v>45846</v>
      </c>
      <c r="D941" t="inlineStr">
        <is>
          <t>UPPSALA LÄN</t>
        </is>
      </c>
      <c r="E941" t="inlineStr">
        <is>
          <t>ÖSTHAMMAR</t>
        </is>
      </c>
      <c r="G941" t="n">
        <v>4.3</v>
      </c>
      <c r="H941" t="n">
        <v>0</v>
      </c>
      <c r="I941" t="n">
        <v>0</v>
      </c>
      <c r="J941" t="n">
        <v>0</v>
      </c>
      <c r="K941" t="n">
        <v>0</v>
      </c>
      <c r="L941" t="n">
        <v>0</v>
      </c>
      <c r="M941" t="n">
        <v>0</v>
      </c>
      <c r="N941" t="n">
        <v>0</v>
      </c>
      <c r="O941" t="n">
        <v>0</v>
      </c>
      <c r="P941" t="n">
        <v>0</v>
      </c>
      <c r="Q941" t="n">
        <v>0</v>
      </c>
      <c r="R941" s="2" t="inlineStr"/>
    </row>
    <row r="942" ht="15" customHeight="1">
      <c r="A942" t="inlineStr">
        <is>
          <t>A 33602-2019</t>
        </is>
      </c>
      <c r="B942" s="1" t="n">
        <v>43651</v>
      </c>
      <c r="C942" s="1" t="n">
        <v>45846</v>
      </c>
      <c r="D942" t="inlineStr">
        <is>
          <t>UPPSALA LÄN</t>
        </is>
      </c>
      <c r="E942" t="inlineStr">
        <is>
          <t>UPPSALA</t>
        </is>
      </c>
      <c r="G942" t="n">
        <v>0.6</v>
      </c>
      <c r="H942" t="n">
        <v>0</v>
      </c>
      <c r="I942" t="n">
        <v>0</v>
      </c>
      <c r="J942" t="n">
        <v>0</v>
      </c>
      <c r="K942" t="n">
        <v>0</v>
      </c>
      <c r="L942" t="n">
        <v>0</v>
      </c>
      <c r="M942" t="n">
        <v>0</v>
      </c>
      <c r="N942" t="n">
        <v>0</v>
      </c>
      <c r="O942" t="n">
        <v>0</v>
      </c>
      <c r="P942" t="n">
        <v>0</v>
      </c>
      <c r="Q942" t="n">
        <v>0</v>
      </c>
      <c r="R942" s="2" t="inlineStr"/>
    </row>
    <row r="943" ht="15" customHeight="1">
      <c r="A943" t="inlineStr">
        <is>
          <t>A 33539-2019</t>
        </is>
      </c>
      <c r="B943" s="1" t="n">
        <v>43651</v>
      </c>
      <c r="C943" s="1" t="n">
        <v>45846</v>
      </c>
      <c r="D943" t="inlineStr">
        <is>
          <t>UPPSALA LÄN</t>
        </is>
      </c>
      <c r="E943" t="inlineStr">
        <is>
          <t>ÖSTHAMMAR</t>
        </is>
      </c>
      <c r="G943" t="n">
        <v>4.6</v>
      </c>
      <c r="H943" t="n">
        <v>0</v>
      </c>
      <c r="I943" t="n">
        <v>0</v>
      </c>
      <c r="J943" t="n">
        <v>0</v>
      </c>
      <c r="K943" t="n">
        <v>0</v>
      </c>
      <c r="L943" t="n">
        <v>0</v>
      </c>
      <c r="M943" t="n">
        <v>0</v>
      </c>
      <c r="N943" t="n">
        <v>0</v>
      </c>
      <c r="O943" t="n">
        <v>0</v>
      </c>
      <c r="P943" t="n">
        <v>0</v>
      </c>
      <c r="Q943" t="n">
        <v>0</v>
      </c>
      <c r="R943" s="2" t="inlineStr"/>
    </row>
    <row r="944" ht="15" customHeight="1">
      <c r="A944" t="inlineStr">
        <is>
          <t>A 33551-2019</t>
        </is>
      </c>
      <c r="B944" s="1" t="n">
        <v>43651</v>
      </c>
      <c r="C944" s="1" t="n">
        <v>45846</v>
      </c>
      <c r="D944" t="inlineStr">
        <is>
          <t>UPPSALA LÄN</t>
        </is>
      </c>
      <c r="E944" t="inlineStr">
        <is>
          <t>ÖSTHAMMAR</t>
        </is>
      </c>
      <c r="G944" t="n">
        <v>1.5</v>
      </c>
      <c r="H944" t="n">
        <v>0</v>
      </c>
      <c r="I944" t="n">
        <v>0</v>
      </c>
      <c r="J944" t="n">
        <v>0</v>
      </c>
      <c r="K944" t="n">
        <v>0</v>
      </c>
      <c r="L944" t="n">
        <v>0</v>
      </c>
      <c r="M944" t="n">
        <v>0</v>
      </c>
      <c r="N944" t="n">
        <v>0</v>
      </c>
      <c r="O944" t="n">
        <v>0</v>
      </c>
      <c r="P944" t="n">
        <v>0</v>
      </c>
      <c r="Q944" t="n">
        <v>0</v>
      </c>
      <c r="R944" s="2" t="inlineStr"/>
    </row>
    <row r="945" ht="15" customHeight="1">
      <c r="A945" t="inlineStr">
        <is>
          <t>A 33575-2019</t>
        </is>
      </c>
      <c r="B945" s="1" t="n">
        <v>43651</v>
      </c>
      <c r="C945" s="1" t="n">
        <v>45846</v>
      </c>
      <c r="D945" t="inlineStr">
        <is>
          <t>UPPSALA LÄN</t>
        </is>
      </c>
      <c r="E945" t="inlineStr">
        <is>
          <t>HEBY</t>
        </is>
      </c>
      <c r="G945" t="n">
        <v>0.8</v>
      </c>
      <c r="H945" t="n">
        <v>0</v>
      </c>
      <c r="I945" t="n">
        <v>0</v>
      </c>
      <c r="J945" t="n">
        <v>0</v>
      </c>
      <c r="K945" t="n">
        <v>0</v>
      </c>
      <c r="L945" t="n">
        <v>0</v>
      </c>
      <c r="M945" t="n">
        <v>0</v>
      </c>
      <c r="N945" t="n">
        <v>0</v>
      </c>
      <c r="O945" t="n">
        <v>0</v>
      </c>
      <c r="P945" t="n">
        <v>0</v>
      </c>
      <c r="Q945" t="n">
        <v>0</v>
      </c>
      <c r="R945" s="2" t="inlineStr"/>
    </row>
    <row r="946" ht="15" customHeight="1">
      <c r="A946" t="inlineStr">
        <is>
          <t>A 33584-2019</t>
        </is>
      </c>
      <c r="B946" s="1" t="n">
        <v>43651</v>
      </c>
      <c r="C946" s="1" t="n">
        <v>45846</v>
      </c>
      <c r="D946" t="inlineStr">
        <is>
          <t>UPPSALA LÄN</t>
        </is>
      </c>
      <c r="E946" t="inlineStr">
        <is>
          <t>HEBY</t>
        </is>
      </c>
      <c r="G946" t="n">
        <v>1</v>
      </c>
      <c r="H946" t="n">
        <v>0</v>
      </c>
      <c r="I946" t="n">
        <v>0</v>
      </c>
      <c r="J946" t="n">
        <v>0</v>
      </c>
      <c r="K946" t="n">
        <v>0</v>
      </c>
      <c r="L946" t="n">
        <v>0</v>
      </c>
      <c r="M946" t="n">
        <v>0</v>
      </c>
      <c r="N946" t="n">
        <v>0</v>
      </c>
      <c r="O946" t="n">
        <v>0</v>
      </c>
      <c r="P946" t="n">
        <v>0</v>
      </c>
      <c r="Q946" t="n">
        <v>0</v>
      </c>
      <c r="R946" s="2" t="inlineStr"/>
    </row>
    <row r="947" ht="15" customHeight="1">
      <c r="A947" t="inlineStr">
        <is>
          <t>A 33614-2019</t>
        </is>
      </c>
      <c r="B947" s="1" t="n">
        <v>43651</v>
      </c>
      <c r="C947" s="1" t="n">
        <v>45846</v>
      </c>
      <c r="D947" t="inlineStr">
        <is>
          <t>UPPSALA LÄN</t>
        </is>
      </c>
      <c r="E947" t="inlineStr">
        <is>
          <t>UPPSALA</t>
        </is>
      </c>
      <c r="G947" t="n">
        <v>0.5</v>
      </c>
      <c r="H947" t="n">
        <v>0</v>
      </c>
      <c r="I947" t="n">
        <v>0</v>
      </c>
      <c r="J947" t="n">
        <v>0</v>
      </c>
      <c r="K947" t="n">
        <v>0</v>
      </c>
      <c r="L947" t="n">
        <v>0</v>
      </c>
      <c r="M947" t="n">
        <v>0</v>
      </c>
      <c r="N947" t="n">
        <v>0</v>
      </c>
      <c r="O947" t="n">
        <v>0</v>
      </c>
      <c r="P947" t="n">
        <v>0</v>
      </c>
      <c r="Q947" t="n">
        <v>0</v>
      </c>
      <c r="R947" s="2" t="inlineStr"/>
    </row>
    <row r="948" ht="15" customHeight="1">
      <c r="A948" t="inlineStr">
        <is>
          <t>A 33670-2019</t>
        </is>
      </c>
      <c r="B948" s="1" t="n">
        <v>43651</v>
      </c>
      <c r="C948" s="1" t="n">
        <v>45846</v>
      </c>
      <c r="D948" t="inlineStr">
        <is>
          <t>UPPSALA LÄN</t>
        </is>
      </c>
      <c r="E948" t="inlineStr">
        <is>
          <t>TIERP</t>
        </is>
      </c>
      <c r="F948" t="inlineStr">
        <is>
          <t>Bergvik skog öst AB</t>
        </is>
      </c>
      <c r="G948" t="n">
        <v>1.9</v>
      </c>
      <c r="H948" t="n">
        <v>0</v>
      </c>
      <c r="I948" t="n">
        <v>0</v>
      </c>
      <c r="J948" t="n">
        <v>0</v>
      </c>
      <c r="K948" t="n">
        <v>0</v>
      </c>
      <c r="L948" t="n">
        <v>0</v>
      </c>
      <c r="M948" t="n">
        <v>0</v>
      </c>
      <c r="N948" t="n">
        <v>0</v>
      </c>
      <c r="O948" t="n">
        <v>0</v>
      </c>
      <c r="P948" t="n">
        <v>0</v>
      </c>
      <c r="Q948" t="n">
        <v>0</v>
      </c>
      <c r="R948" s="2" t="inlineStr"/>
    </row>
    <row r="949" ht="15" customHeight="1">
      <c r="A949" t="inlineStr">
        <is>
          <t>A 33615-2019</t>
        </is>
      </c>
      <c r="B949" s="1" t="n">
        <v>43651</v>
      </c>
      <c r="C949" s="1" t="n">
        <v>45846</v>
      </c>
      <c r="D949" t="inlineStr">
        <is>
          <t>UPPSALA LÄN</t>
        </is>
      </c>
      <c r="E949" t="inlineStr">
        <is>
          <t>UPPSALA</t>
        </is>
      </c>
      <c r="G949" t="n">
        <v>1.4</v>
      </c>
      <c r="H949" t="n">
        <v>0</v>
      </c>
      <c r="I949" t="n">
        <v>0</v>
      </c>
      <c r="J949" t="n">
        <v>0</v>
      </c>
      <c r="K949" t="n">
        <v>0</v>
      </c>
      <c r="L949" t="n">
        <v>0</v>
      </c>
      <c r="M949" t="n">
        <v>0</v>
      </c>
      <c r="N949" t="n">
        <v>0</v>
      </c>
      <c r="O949" t="n">
        <v>0</v>
      </c>
      <c r="P949" t="n">
        <v>0</v>
      </c>
      <c r="Q949" t="n">
        <v>0</v>
      </c>
      <c r="R949" s="2" t="inlineStr"/>
    </row>
    <row r="950" ht="15" customHeight="1">
      <c r="A950" t="inlineStr">
        <is>
          <t>A 33596-2019</t>
        </is>
      </c>
      <c r="B950" s="1" t="n">
        <v>43651</v>
      </c>
      <c r="C950" s="1" t="n">
        <v>45846</v>
      </c>
      <c r="D950" t="inlineStr">
        <is>
          <t>UPPSALA LÄN</t>
        </is>
      </c>
      <c r="E950" t="inlineStr">
        <is>
          <t>UPPSALA</t>
        </is>
      </c>
      <c r="G950" t="n">
        <v>1.3</v>
      </c>
      <c r="H950" t="n">
        <v>0</v>
      </c>
      <c r="I950" t="n">
        <v>0</v>
      </c>
      <c r="J950" t="n">
        <v>0</v>
      </c>
      <c r="K950" t="n">
        <v>0</v>
      </c>
      <c r="L950" t="n">
        <v>0</v>
      </c>
      <c r="M950" t="n">
        <v>0</v>
      </c>
      <c r="N950" t="n">
        <v>0</v>
      </c>
      <c r="O950" t="n">
        <v>0</v>
      </c>
      <c r="P950" t="n">
        <v>0</v>
      </c>
      <c r="Q950" t="n">
        <v>0</v>
      </c>
      <c r="R950" s="2" t="inlineStr"/>
    </row>
    <row r="951" ht="15" customHeight="1">
      <c r="A951" t="inlineStr">
        <is>
          <t>A 33784-2019</t>
        </is>
      </c>
      <c r="B951" s="1" t="n">
        <v>43651</v>
      </c>
      <c r="C951" s="1" t="n">
        <v>45846</v>
      </c>
      <c r="D951" t="inlineStr">
        <is>
          <t>UPPSALA LÄN</t>
        </is>
      </c>
      <c r="E951" t="inlineStr">
        <is>
          <t>ÖSTHAMMAR</t>
        </is>
      </c>
      <c r="G951" t="n">
        <v>1.3</v>
      </c>
      <c r="H951" t="n">
        <v>0</v>
      </c>
      <c r="I951" t="n">
        <v>0</v>
      </c>
      <c r="J951" t="n">
        <v>0</v>
      </c>
      <c r="K951" t="n">
        <v>0</v>
      </c>
      <c r="L951" t="n">
        <v>0</v>
      </c>
      <c r="M951" t="n">
        <v>0</v>
      </c>
      <c r="N951" t="n">
        <v>0</v>
      </c>
      <c r="O951" t="n">
        <v>0</v>
      </c>
      <c r="P951" t="n">
        <v>0</v>
      </c>
      <c r="Q951" t="n">
        <v>0</v>
      </c>
      <c r="R951" s="2" t="inlineStr"/>
    </row>
    <row r="952" ht="15" customHeight="1">
      <c r="A952" t="inlineStr">
        <is>
          <t>A 33932-2019</t>
        </is>
      </c>
      <c r="B952" s="1" t="n">
        <v>43654</v>
      </c>
      <c r="C952" s="1" t="n">
        <v>45846</v>
      </c>
      <c r="D952" t="inlineStr">
        <is>
          <t>UPPSALA LÄN</t>
        </is>
      </c>
      <c r="E952" t="inlineStr">
        <is>
          <t>HEBY</t>
        </is>
      </c>
      <c r="F952" t="inlineStr">
        <is>
          <t>Bergvik skog öst AB</t>
        </is>
      </c>
      <c r="G952" t="n">
        <v>0.5</v>
      </c>
      <c r="H952" t="n">
        <v>0</v>
      </c>
      <c r="I952" t="n">
        <v>0</v>
      </c>
      <c r="J952" t="n">
        <v>0</v>
      </c>
      <c r="K952" t="n">
        <v>0</v>
      </c>
      <c r="L952" t="n">
        <v>0</v>
      </c>
      <c r="M952" t="n">
        <v>0</v>
      </c>
      <c r="N952" t="n">
        <v>0</v>
      </c>
      <c r="O952" t="n">
        <v>0</v>
      </c>
      <c r="P952" t="n">
        <v>0</v>
      </c>
      <c r="Q952" t="n">
        <v>0</v>
      </c>
      <c r="R952" s="2" t="inlineStr"/>
    </row>
    <row r="953" ht="15" customHeight="1">
      <c r="A953" t="inlineStr">
        <is>
          <t>A 34007-2019</t>
        </is>
      </c>
      <c r="B953" s="1" t="n">
        <v>43654</v>
      </c>
      <c r="C953" s="1" t="n">
        <v>45846</v>
      </c>
      <c r="D953" t="inlineStr">
        <is>
          <t>UPPSALA LÄN</t>
        </is>
      </c>
      <c r="E953" t="inlineStr">
        <is>
          <t>UPPSALA</t>
        </is>
      </c>
      <c r="G953" t="n">
        <v>2</v>
      </c>
      <c r="H953" t="n">
        <v>0</v>
      </c>
      <c r="I953" t="n">
        <v>0</v>
      </c>
      <c r="J953" t="n">
        <v>0</v>
      </c>
      <c r="K953" t="n">
        <v>0</v>
      </c>
      <c r="L953" t="n">
        <v>0</v>
      </c>
      <c r="M953" t="n">
        <v>0</v>
      </c>
      <c r="N953" t="n">
        <v>0</v>
      </c>
      <c r="O953" t="n">
        <v>0</v>
      </c>
      <c r="P953" t="n">
        <v>0</v>
      </c>
      <c r="Q953" t="n">
        <v>0</v>
      </c>
      <c r="R953" s="2" t="inlineStr"/>
    </row>
    <row r="954" ht="15" customHeight="1">
      <c r="A954" t="inlineStr">
        <is>
          <t>A 34063-2019</t>
        </is>
      </c>
      <c r="B954" s="1" t="n">
        <v>43654</v>
      </c>
      <c r="C954" s="1" t="n">
        <v>45846</v>
      </c>
      <c r="D954" t="inlineStr">
        <is>
          <t>UPPSALA LÄN</t>
        </is>
      </c>
      <c r="E954" t="inlineStr">
        <is>
          <t>UPPSALA</t>
        </is>
      </c>
      <c r="G954" t="n">
        <v>1.5</v>
      </c>
      <c r="H954" t="n">
        <v>0</v>
      </c>
      <c r="I954" t="n">
        <v>0</v>
      </c>
      <c r="J954" t="n">
        <v>0</v>
      </c>
      <c r="K954" t="n">
        <v>0</v>
      </c>
      <c r="L954" t="n">
        <v>0</v>
      </c>
      <c r="M954" t="n">
        <v>0</v>
      </c>
      <c r="N954" t="n">
        <v>0</v>
      </c>
      <c r="O954" t="n">
        <v>0</v>
      </c>
      <c r="P954" t="n">
        <v>0</v>
      </c>
      <c r="Q954" t="n">
        <v>0</v>
      </c>
      <c r="R954" s="2" t="inlineStr"/>
    </row>
    <row r="955" ht="15" customHeight="1">
      <c r="A955" t="inlineStr">
        <is>
          <t>A 34386-2019</t>
        </is>
      </c>
      <c r="B955" s="1" t="n">
        <v>43656</v>
      </c>
      <c r="C955" s="1" t="n">
        <v>45846</v>
      </c>
      <c r="D955" t="inlineStr">
        <is>
          <t>UPPSALA LÄN</t>
        </is>
      </c>
      <c r="E955" t="inlineStr">
        <is>
          <t>TIERP</t>
        </is>
      </c>
      <c r="G955" t="n">
        <v>1.5</v>
      </c>
      <c r="H955" t="n">
        <v>0</v>
      </c>
      <c r="I955" t="n">
        <v>0</v>
      </c>
      <c r="J955" t="n">
        <v>0</v>
      </c>
      <c r="K955" t="n">
        <v>0</v>
      </c>
      <c r="L955" t="n">
        <v>0</v>
      </c>
      <c r="M955" t="n">
        <v>0</v>
      </c>
      <c r="N955" t="n">
        <v>0</v>
      </c>
      <c r="O955" t="n">
        <v>0</v>
      </c>
      <c r="P955" t="n">
        <v>0</v>
      </c>
      <c r="Q955" t="n">
        <v>0</v>
      </c>
      <c r="R955" s="2" t="inlineStr"/>
    </row>
    <row r="956" ht="15" customHeight="1">
      <c r="A956" t="inlineStr">
        <is>
          <t>A 34331-2019</t>
        </is>
      </c>
      <c r="B956" s="1" t="n">
        <v>43656</v>
      </c>
      <c r="C956" s="1" t="n">
        <v>45846</v>
      </c>
      <c r="D956" t="inlineStr">
        <is>
          <t>UPPSALA LÄN</t>
        </is>
      </c>
      <c r="E956" t="inlineStr">
        <is>
          <t>UPPSALA</t>
        </is>
      </c>
      <c r="G956" t="n">
        <v>2</v>
      </c>
      <c r="H956" t="n">
        <v>0</v>
      </c>
      <c r="I956" t="n">
        <v>0</v>
      </c>
      <c r="J956" t="n">
        <v>0</v>
      </c>
      <c r="K956" t="n">
        <v>0</v>
      </c>
      <c r="L956" t="n">
        <v>0</v>
      </c>
      <c r="M956" t="n">
        <v>0</v>
      </c>
      <c r="N956" t="n">
        <v>0</v>
      </c>
      <c r="O956" t="n">
        <v>0</v>
      </c>
      <c r="P956" t="n">
        <v>0</v>
      </c>
      <c r="Q956" t="n">
        <v>0</v>
      </c>
      <c r="R956" s="2" t="inlineStr"/>
    </row>
    <row r="957" ht="15" customHeight="1">
      <c r="A957" t="inlineStr">
        <is>
          <t>A 35811-2019</t>
        </is>
      </c>
      <c r="B957" s="1" t="n">
        <v>43656</v>
      </c>
      <c r="C957" s="1" t="n">
        <v>45846</v>
      </c>
      <c r="D957" t="inlineStr">
        <is>
          <t>UPPSALA LÄN</t>
        </is>
      </c>
      <c r="E957" t="inlineStr">
        <is>
          <t>HEBY</t>
        </is>
      </c>
      <c r="F957" t="inlineStr">
        <is>
          <t>Allmännings- och besparingsskogar</t>
        </is>
      </c>
      <c r="G957" t="n">
        <v>16.5</v>
      </c>
      <c r="H957" t="n">
        <v>0</v>
      </c>
      <c r="I957" t="n">
        <v>0</v>
      </c>
      <c r="J957" t="n">
        <v>0</v>
      </c>
      <c r="K957" t="n">
        <v>0</v>
      </c>
      <c r="L957" t="n">
        <v>0</v>
      </c>
      <c r="M957" t="n">
        <v>0</v>
      </c>
      <c r="N957" t="n">
        <v>0</v>
      </c>
      <c r="O957" t="n">
        <v>0</v>
      </c>
      <c r="P957" t="n">
        <v>0</v>
      </c>
      <c r="Q957" t="n">
        <v>0</v>
      </c>
      <c r="R957" s="2" t="inlineStr"/>
    </row>
    <row r="958" ht="15" customHeight="1">
      <c r="A958" t="inlineStr">
        <is>
          <t>A 34392-2019</t>
        </is>
      </c>
      <c r="B958" s="1" t="n">
        <v>43656</v>
      </c>
      <c r="C958" s="1" t="n">
        <v>45846</v>
      </c>
      <c r="D958" t="inlineStr">
        <is>
          <t>UPPSALA LÄN</t>
        </is>
      </c>
      <c r="E958" t="inlineStr">
        <is>
          <t>TIERP</t>
        </is>
      </c>
      <c r="G958" t="n">
        <v>2.8</v>
      </c>
      <c r="H958" t="n">
        <v>0</v>
      </c>
      <c r="I958" t="n">
        <v>0</v>
      </c>
      <c r="J958" t="n">
        <v>0</v>
      </c>
      <c r="K958" t="n">
        <v>0</v>
      </c>
      <c r="L958" t="n">
        <v>0</v>
      </c>
      <c r="M958" t="n">
        <v>0</v>
      </c>
      <c r="N958" t="n">
        <v>0</v>
      </c>
      <c r="O958" t="n">
        <v>0</v>
      </c>
      <c r="P958" t="n">
        <v>0</v>
      </c>
      <c r="Q958" t="n">
        <v>0</v>
      </c>
      <c r="R958" s="2" t="inlineStr"/>
    </row>
    <row r="959" ht="15" customHeight="1">
      <c r="A959" t="inlineStr">
        <is>
          <t>A 35059-2019</t>
        </is>
      </c>
      <c r="B959" s="1" t="n">
        <v>43661</v>
      </c>
      <c r="C959" s="1" t="n">
        <v>45846</v>
      </c>
      <c r="D959" t="inlineStr">
        <is>
          <t>UPPSALA LÄN</t>
        </is>
      </c>
      <c r="E959" t="inlineStr">
        <is>
          <t>KNIVSTA</t>
        </is>
      </c>
      <c r="G959" t="n">
        <v>1.3</v>
      </c>
      <c r="H959" t="n">
        <v>0</v>
      </c>
      <c r="I959" t="n">
        <v>0</v>
      </c>
      <c r="J959" t="n">
        <v>0</v>
      </c>
      <c r="K959" t="n">
        <v>0</v>
      </c>
      <c r="L959" t="n">
        <v>0</v>
      </c>
      <c r="M959" t="n">
        <v>0</v>
      </c>
      <c r="N959" t="n">
        <v>0</v>
      </c>
      <c r="O959" t="n">
        <v>0</v>
      </c>
      <c r="P959" t="n">
        <v>0</v>
      </c>
      <c r="Q959" t="n">
        <v>0</v>
      </c>
      <c r="R959" s="2" t="inlineStr"/>
    </row>
    <row r="960" ht="15" customHeight="1">
      <c r="A960" t="inlineStr">
        <is>
          <t>A 36345-2019</t>
        </is>
      </c>
      <c r="B960" s="1" t="n">
        <v>43661</v>
      </c>
      <c r="C960" s="1" t="n">
        <v>45846</v>
      </c>
      <c r="D960" t="inlineStr">
        <is>
          <t>UPPSALA LÄN</t>
        </is>
      </c>
      <c r="E960" t="inlineStr">
        <is>
          <t>UPPSALA</t>
        </is>
      </c>
      <c r="G960" t="n">
        <v>5.3</v>
      </c>
      <c r="H960" t="n">
        <v>0</v>
      </c>
      <c r="I960" t="n">
        <v>0</v>
      </c>
      <c r="J960" t="n">
        <v>0</v>
      </c>
      <c r="K960" t="n">
        <v>0</v>
      </c>
      <c r="L960" t="n">
        <v>0</v>
      </c>
      <c r="M960" t="n">
        <v>0</v>
      </c>
      <c r="N960" t="n">
        <v>0</v>
      </c>
      <c r="O960" t="n">
        <v>0</v>
      </c>
      <c r="P960" t="n">
        <v>0</v>
      </c>
      <c r="Q960" t="n">
        <v>0</v>
      </c>
      <c r="R960" s="2" t="inlineStr"/>
    </row>
    <row r="961" ht="15" customHeight="1">
      <c r="A961" t="inlineStr">
        <is>
          <t>A 36394-2019</t>
        </is>
      </c>
      <c r="B961" s="1" t="n">
        <v>43663</v>
      </c>
      <c r="C961" s="1" t="n">
        <v>45846</v>
      </c>
      <c r="D961" t="inlineStr">
        <is>
          <t>UPPSALA LÄN</t>
        </is>
      </c>
      <c r="E961" t="inlineStr">
        <is>
          <t>UPPSALA</t>
        </is>
      </c>
      <c r="G961" t="n">
        <v>2.4</v>
      </c>
      <c r="H961" t="n">
        <v>0</v>
      </c>
      <c r="I961" t="n">
        <v>0</v>
      </c>
      <c r="J961" t="n">
        <v>0</v>
      </c>
      <c r="K961" t="n">
        <v>0</v>
      </c>
      <c r="L961" t="n">
        <v>0</v>
      </c>
      <c r="M961" t="n">
        <v>0</v>
      </c>
      <c r="N961" t="n">
        <v>0</v>
      </c>
      <c r="O961" t="n">
        <v>0</v>
      </c>
      <c r="P961" t="n">
        <v>0</v>
      </c>
      <c r="Q961" t="n">
        <v>0</v>
      </c>
      <c r="R961" s="2" t="inlineStr"/>
    </row>
    <row r="962" ht="15" customHeight="1">
      <c r="A962" t="inlineStr">
        <is>
          <t>A 35752-2019</t>
        </is>
      </c>
      <c r="B962" s="1" t="n">
        <v>43665</v>
      </c>
      <c r="C962" s="1" t="n">
        <v>45846</v>
      </c>
      <c r="D962" t="inlineStr">
        <is>
          <t>UPPSALA LÄN</t>
        </is>
      </c>
      <c r="E962" t="inlineStr">
        <is>
          <t>ENKÖPING</t>
        </is>
      </c>
      <c r="G962" t="n">
        <v>2.9</v>
      </c>
      <c r="H962" t="n">
        <v>0</v>
      </c>
      <c r="I962" t="n">
        <v>0</v>
      </c>
      <c r="J962" t="n">
        <v>0</v>
      </c>
      <c r="K962" t="n">
        <v>0</v>
      </c>
      <c r="L962" t="n">
        <v>0</v>
      </c>
      <c r="M962" t="n">
        <v>0</v>
      </c>
      <c r="N962" t="n">
        <v>0</v>
      </c>
      <c r="O962" t="n">
        <v>0</v>
      </c>
      <c r="P962" t="n">
        <v>0</v>
      </c>
      <c r="Q962" t="n">
        <v>0</v>
      </c>
      <c r="R962" s="2" t="inlineStr"/>
    </row>
    <row r="963" ht="15" customHeight="1">
      <c r="A963" t="inlineStr">
        <is>
          <t>A 36019-2019</t>
        </is>
      </c>
      <c r="B963" s="1" t="n">
        <v>43668</v>
      </c>
      <c r="C963" s="1" t="n">
        <v>45846</v>
      </c>
      <c r="D963" t="inlineStr">
        <is>
          <t>UPPSALA LÄN</t>
        </is>
      </c>
      <c r="E963" t="inlineStr">
        <is>
          <t>TIERP</t>
        </is>
      </c>
      <c r="F963" t="inlineStr">
        <is>
          <t>Bergvik skog väst AB</t>
        </is>
      </c>
      <c r="G963" t="n">
        <v>1.6</v>
      </c>
      <c r="H963" t="n">
        <v>0</v>
      </c>
      <c r="I963" t="n">
        <v>0</v>
      </c>
      <c r="J963" t="n">
        <v>0</v>
      </c>
      <c r="K963" t="n">
        <v>0</v>
      </c>
      <c r="L963" t="n">
        <v>0</v>
      </c>
      <c r="M963" t="n">
        <v>0</v>
      </c>
      <c r="N963" t="n">
        <v>0</v>
      </c>
      <c r="O963" t="n">
        <v>0</v>
      </c>
      <c r="P963" t="n">
        <v>0</v>
      </c>
      <c r="Q963" t="n">
        <v>0</v>
      </c>
      <c r="R963" s="2" t="inlineStr"/>
    </row>
    <row r="964" ht="15" customHeight="1">
      <c r="A964" t="inlineStr">
        <is>
          <t>A 36370-2019</t>
        </is>
      </c>
      <c r="B964" s="1" t="n">
        <v>43670</v>
      </c>
      <c r="C964" s="1" t="n">
        <v>45846</v>
      </c>
      <c r="D964" t="inlineStr">
        <is>
          <t>UPPSALA LÄN</t>
        </is>
      </c>
      <c r="E964" t="inlineStr">
        <is>
          <t>ENKÖPING</t>
        </is>
      </c>
      <c r="G964" t="n">
        <v>26.9</v>
      </c>
      <c r="H964" t="n">
        <v>0</v>
      </c>
      <c r="I964" t="n">
        <v>0</v>
      </c>
      <c r="J964" t="n">
        <v>0</v>
      </c>
      <c r="K964" t="n">
        <v>0</v>
      </c>
      <c r="L964" t="n">
        <v>0</v>
      </c>
      <c r="M964" t="n">
        <v>0</v>
      </c>
      <c r="N964" t="n">
        <v>0</v>
      </c>
      <c r="O964" t="n">
        <v>0</v>
      </c>
      <c r="P964" t="n">
        <v>0</v>
      </c>
      <c r="Q964" t="n">
        <v>0</v>
      </c>
      <c r="R964" s="2" t="inlineStr"/>
    </row>
    <row r="965" ht="15" customHeight="1">
      <c r="A965" t="inlineStr">
        <is>
          <t>A 36733-2019</t>
        </is>
      </c>
      <c r="B965" s="1" t="n">
        <v>43672</v>
      </c>
      <c r="C965" s="1" t="n">
        <v>45846</v>
      </c>
      <c r="D965" t="inlineStr">
        <is>
          <t>UPPSALA LÄN</t>
        </is>
      </c>
      <c r="E965" t="inlineStr">
        <is>
          <t>ENKÖPING</t>
        </is>
      </c>
      <c r="G965" t="n">
        <v>1.5</v>
      </c>
      <c r="H965" t="n">
        <v>0</v>
      </c>
      <c r="I965" t="n">
        <v>0</v>
      </c>
      <c r="J965" t="n">
        <v>0</v>
      </c>
      <c r="K965" t="n">
        <v>0</v>
      </c>
      <c r="L965" t="n">
        <v>0</v>
      </c>
      <c r="M965" t="n">
        <v>0</v>
      </c>
      <c r="N965" t="n">
        <v>0</v>
      </c>
      <c r="O965" t="n">
        <v>0</v>
      </c>
      <c r="P965" t="n">
        <v>0</v>
      </c>
      <c r="Q965" t="n">
        <v>0</v>
      </c>
      <c r="R965" s="2" t="inlineStr"/>
    </row>
    <row r="966" ht="15" customHeight="1">
      <c r="A966" t="inlineStr">
        <is>
          <t>A 37114-2019</t>
        </is>
      </c>
      <c r="B966" s="1" t="n">
        <v>43676</v>
      </c>
      <c r="C966" s="1" t="n">
        <v>45846</v>
      </c>
      <c r="D966" t="inlineStr">
        <is>
          <t>UPPSALA LÄN</t>
        </is>
      </c>
      <c r="E966" t="inlineStr">
        <is>
          <t>TIERP</t>
        </is>
      </c>
      <c r="G966" t="n">
        <v>1.9</v>
      </c>
      <c r="H966" t="n">
        <v>0</v>
      </c>
      <c r="I966" t="n">
        <v>0</v>
      </c>
      <c r="J966" t="n">
        <v>0</v>
      </c>
      <c r="K966" t="n">
        <v>0</v>
      </c>
      <c r="L966" t="n">
        <v>0</v>
      </c>
      <c r="M966" t="n">
        <v>0</v>
      </c>
      <c r="N966" t="n">
        <v>0</v>
      </c>
      <c r="O966" t="n">
        <v>0</v>
      </c>
      <c r="P966" t="n">
        <v>0</v>
      </c>
      <c r="Q966" t="n">
        <v>0</v>
      </c>
      <c r="R966" s="2" t="inlineStr"/>
    </row>
    <row r="967" ht="15" customHeight="1">
      <c r="A967" t="inlineStr">
        <is>
          <t>A 37092-2019</t>
        </is>
      </c>
      <c r="B967" s="1" t="n">
        <v>43676</v>
      </c>
      <c r="C967" s="1" t="n">
        <v>45846</v>
      </c>
      <c r="D967" t="inlineStr">
        <is>
          <t>UPPSALA LÄN</t>
        </is>
      </c>
      <c r="E967" t="inlineStr">
        <is>
          <t>HEBY</t>
        </is>
      </c>
      <c r="G967" t="n">
        <v>4.6</v>
      </c>
      <c r="H967" t="n">
        <v>0</v>
      </c>
      <c r="I967" t="n">
        <v>0</v>
      </c>
      <c r="J967" t="n">
        <v>0</v>
      </c>
      <c r="K967" t="n">
        <v>0</v>
      </c>
      <c r="L967" t="n">
        <v>0</v>
      </c>
      <c r="M967" t="n">
        <v>0</v>
      </c>
      <c r="N967" t="n">
        <v>0</v>
      </c>
      <c r="O967" t="n">
        <v>0</v>
      </c>
      <c r="P967" t="n">
        <v>0</v>
      </c>
      <c r="Q967" t="n">
        <v>0</v>
      </c>
      <c r="R967" s="2" t="inlineStr"/>
    </row>
    <row r="968" ht="15" customHeight="1">
      <c r="A968" t="inlineStr">
        <is>
          <t>A 37234-2019</t>
        </is>
      </c>
      <c r="B968" s="1" t="n">
        <v>43677</v>
      </c>
      <c r="C968" s="1" t="n">
        <v>45846</v>
      </c>
      <c r="D968" t="inlineStr">
        <is>
          <t>UPPSALA LÄN</t>
        </is>
      </c>
      <c r="E968" t="inlineStr">
        <is>
          <t>UPPSALA</t>
        </is>
      </c>
      <c r="G968" t="n">
        <v>3.2</v>
      </c>
      <c r="H968" t="n">
        <v>0</v>
      </c>
      <c r="I968" t="n">
        <v>0</v>
      </c>
      <c r="J968" t="n">
        <v>0</v>
      </c>
      <c r="K968" t="n">
        <v>0</v>
      </c>
      <c r="L968" t="n">
        <v>0</v>
      </c>
      <c r="M968" t="n">
        <v>0</v>
      </c>
      <c r="N968" t="n">
        <v>0</v>
      </c>
      <c r="O968" t="n">
        <v>0</v>
      </c>
      <c r="P968" t="n">
        <v>0</v>
      </c>
      <c r="Q968" t="n">
        <v>0</v>
      </c>
      <c r="R968" s="2" t="inlineStr"/>
    </row>
    <row r="969" ht="15" customHeight="1">
      <c r="A969" t="inlineStr">
        <is>
          <t>A 37519-2019</t>
        </is>
      </c>
      <c r="B969" s="1" t="n">
        <v>43679</v>
      </c>
      <c r="C969" s="1" t="n">
        <v>45846</v>
      </c>
      <c r="D969" t="inlineStr">
        <is>
          <t>UPPSALA LÄN</t>
        </is>
      </c>
      <c r="E969" t="inlineStr">
        <is>
          <t>ENKÖPING</t>
        </is>
      </c>
      <c r="G969" t="n">
        <v>1</v>
      </c>
      <c r="H969" t="n">
        <v>0</v>
      </c>
      <c r="I969" t="n">
        <v>0</v>
      </c>
      <c r="J969" t="n">
        <v>0</v>
      </c>
      <c r="K969" t="n">
        <v>0</v>
      </c>
      <c r="L969" t="n">
        <v>0</v>
      </c>
      <c r="M969" t="n">
        <v>0</v>
      </c>
      <c r="N969" t="n">
        <v>0</v>
      </c>
      <c r="O969" t="n">
        <v>0</v>
      </c>
      <c r="P969" t="n">
        <v>0</v>
      </c>
      <c r="Q969" t="n">
        <v>0</v>
      </c>
      <c r="R969" s="2" t="inlineStr"/>
    </row>
    <row r="970" ht="15" customHeight="1">
      <c r="A970" t="inlineStr">
        <is>
          <t>A 37702-2019</t>
        </is>
      </c>
      <c r="B970" s="1" t="n">
        <v>43682</v>
      </c>
      <c r="C970" s="1" t="n">
        <v>45846</v>
      </c>
      <c r="D970" t="inlineStr">
        <is>
          <t>UPPSALA LÄN</t>
        </is>
      </c>
      <c r="E970" t="inlineStr">
        <is>
          <t>ENKÖPING</t>
        </is>
      </c>
      <c r="G970" t="n">
        <v>1.1</v>
      </c>
      <c r="H970" t="n">
        <v>0</v>
      </c>
      <c r="I970" t="n">
        <v>0</v>
      </c>
      <c r="J970" t="n">
        <v>0</v>
      </c>
      <c r="K970" t="n">
        <v>0</v>
      </c>
      <c r="L970" t="n">
        <v>0</v>
      </c>
      <c r="M970" t="n">
        <v>0</v>
      </c>
      <c r="N970" t="n">
        <v>0</v>
      </c>
      <c r="O970" t="n">
        <v>0</v>
      </c>
      <c r="P970" t="n">
        <v>0</v>
      </c>
      <c r="Q970" t="n">
        <v>0</v>
      </c>
      <c r="R970" s="2" t="inlineStr"/>
    </row>
    <row r="971" ht="15" customHeight="1">
      <c r="A971" t="inlineStr">
        <is>
          <t>A 37711-2019</t>
        </is>
      </c>
      <c r="B971" s="1" t="n">
        <v>43682</v>
      </c>
      <c r="C971" s="1" t="n">
        <v>45846</v>
      </c>
      <c r="D971" t="inlineStr">
        <is>
          <t>UPPSALA LÄN</t>
        </is>
      </c>
      <c r="E971" t="inlineStr">
        <is>
          <t>UPPSALA</t>
        </is>
      </c>
      <c r="G971" t="n">
        <v>4</v>
      </c>
      <c r="H971" t="n">
        <v>0</v>
      </c>
      <c r="I971" t="n">
        <v>0</v>
      </c>
      <c r="J971" t="n">
        <v>0</v>
      </c>
      <c r="K971" t="n">
        <v>0</v>
      </c>
      <c r="L971" t="n">
        <v>0</v>
      </c>
      <c r="M971" t="n">
        <v>0</v>
      </c>
      <c r="N971" t="n">
        <v>0</v>
      </c>
      <c r="O971" t="n">
        <v>0</v>
      </c>
      <c r="P971" t="n">
        <v>0</v>
      </c>
      <c r="Q971" t="n">
        <v>0</v>
      </c>
      <c r="R971" s="2" t="inlineStr"/>
    </row>
    <row r="972" ht="15" customHeight="1">
      <c r="A972" t="inlineStr">
        <is>
          <t>A 37700-2019</t>
        </is>
      </c>
      <c r="B972" s="1" t="n">
        <v>43682</v>
      </c>
      <c r="C972" s="1" t="n">
        <v>45846</v>
      </c>
      <c r="D972" t="inlineStr">
        <is>
          <t>UPPSALA LÄN</t>
        </is>
      </c>
      <c r="E972" t="inlineStr">
        <is>
          <t>ENKÖPING</t>
        </is>
      </c>
      <c r="G972" t="n">
        <v>2.9</v>
      </c>
      <c r="H972" t="n">
        <v>0</v>
      </c>
      <c r="I972" t="n">
        <v>0</v>
      </c>
      <c r="J972" t="n">
        <v>0</v>
      </c>
      <c r="K972" t="n">
        <v>0</v>
      </c>
      <c r="L972" t="n">
        <v>0</v>
      </c>
      <c r="M972" t="n">
        <v>0</v>
      </c>
      <c r="N972" t="n">
        <v>0</v>
      </c>
      <c r="O972" t="n">
        <v>0</v>
      </c>
      <c r="P972" t="n">
        <v>0</v>
      </c>
      <c r="Q972" t="n">
        <v>0</v>
      </c>
      <c r="R972" s="2" t="inlineStr"/>
    </row>
    <row r="973" ht="15" customHeight="1">
      <c r="A973" t="inlineStr">
        <is>
          <t>A 37936-2019</t>
        </is>
      </c>
      <c r="B973" s="1" t="n">
        <v>43683</v>
      </c>
      <c r="C973" s="1" t="n">
        <v>45846</v>
      </c>
      <c r="D973" t="inlineStr">
        <is>
          <t>UPPSALA LÄN</t>
        </is>
      </c>
      <c r="E973" t="inlineStr">
        <is>
          <t>ENKÖPING</t>
        </is>
      </c>
      <c r="G973" t="n">
        <v>0.9</v>
      </c>
      <c r="H973" t="n">
        <v>0</v>
      </c>
      <c r="I973" t="n">
        <v>0</v>
      </c>
      <c r="J973" t="n">
        <v>0</v>
      </c>
      <c r="K973" t="n">
        <v>0</v>
      </c>
      <c r="L973" t="n">
        <v>0</v>
      </c>
      <c r="M973" t="n">
        <v>0</v>
      </c>
      <c r="N973" t="n">
        <v>0</v>
      </c>
      <c r="O973" t="n">
        <v>0</v>
      </c>
      <c r="P973" t="n">
        <v>0</v>
      </c>
      <c r="Q973" t="n">
        <v>0</v>
      </c>
      <c r="R973" s="2" t="inlineStr"/>
    </row>
    <row r="974" ht="15" customHeight="1">
      <c r="A974" t="inlineStr">
        <is>
          <t>A 38204-2019</t>
        </is>
      </c>
      <c r="B974" s="1" t="n">
        <v>43683</v>
      </c>
      <c r="C974" s="1" t="n">
        <v>45846</v>
      </c>
      <c r="D974" t="inlineStr">
        <is>
          <t>UPPSALA LÄN</t>
        </is>
      </c>
      <c r="E974" t="inlineStr">
        <is>
          <t>ENKÖPING</t>
        </is>
      </c>
      <c r="G974" t="n">
        <v>1.5</v>
      </c>
      <c r="H974" t="n">
        <v>0</v>
      </c>
      <c r="I974" t="n">
        <v>0</v>
      </c>
      <c r="J974" t="n">
        <v>0</v>
      </c>
      <c r="K974" t="n">
        <v>0</v>
      </c>
      <c r="L974" t="n">
        <v>0</v>
      </c>
      <c r="M974" t="n">
        <v>0</v>
      </c>
      <c r="N974" t="n">
        <v>0</v>
      </c>
      <c r="O974" t="n">
        <v>0</v>
      </c>
      <c r="P974" t="n">
        <v>0</v>
      </c>
      <c r="Q974" t="n">
        <v>0</v>
      </c>
      <c r="R974" s="2" t="inlineStr"/>
    </row>
    <row r="975" ht="15" customHeight="1">
      <c r="A975" t="inlineStr">
        <is>
          <t>A 38189-2019</t>
        </is>
      </c>
      <c r="B975" s="1" t="n">
        <v>43684</v>
      </c>
      <c r="C975" s="1" t="n">
        <v>45846</v>
      </c>
      <c r="D975" t="inlineStr">
        <is>
          <t>UPPSALA LÄN</t>
        </is>
      </c>
      <c r="E975" t="inlineStr">
        <is>
          <t>ENKÖPING</t>
        </is>
      </c>
      <c r="G975" t="n">
        <v>1.3</v>
      </c>
      <c r="H975" t="n">
        <v>0</v>
      </c>
      <c r="I975" t="n">
        <v>0</v>
      </c>
      <c r="J975" t="n">
        <v>0</v>
      </c>
      <c r="K975" t="n">
        <v>0</v>
      </c>
      <c r="L975" t="n">
        <v>0</v>
      </c>
      <c r="M975" t="n">
        <v>0</v>
      </c>
      <c r="N975" t="n">
        <v>0</v>
      </c>
      <c r="O975" t="n">
        <v>0</v>
      </c>
      <c r="P975" t="n">
        <v>0</v>
      </c>
      <c r="Q975" t="n">
        <v>0</v>
      </c>
      <c r="R975" s="2" t="inlineStr"/>
    </row>
    <row r="976" ht="15" customHeight="1">
      <c r="A976" t="inlineStr">
        <is>
          <t>A 38205-2019</t>
        </is>
      </c>
      <c r="B976" s="1" t="n">
        <v>43684</v>
      </c>
      <c r="C976" s="1" t="n">
        <v>45846</v>
      </c>
      <c r="D976" t="inlineStr">
        <is>
          <t>UPPSALA LÄN</t>
        </is>
      </c>
      <c r="E976" t="inlineStr">
        <is>
          <t>ENKÖPING</t>
        </is>
      </c>
      <c r="G976" t="n">
        <v>0.5</v>
      </c>
      <c r="H976" t="n">
        <v>0</v>
      </c>
      <c r="I976" t="n">
        <v>0</v>
      </c>
      <c r="J976" t="n">
        <v>0</v>
      </c>
      <c r="K976" t="n">
        <v>0</v>
      </c>
      <c r="L976" t="n">
        <v>0</v>
      </c>
      <c r="M976" t="n">
        <v>0</v>
      </c>
      <c r="N976" t="n">
        <v>0</v>
      </c>
      <c r="O976" t="n">
        <v>0</v>
      </c>
      <c r="P976" t="n">
        <v>0</v>
      </c>
      <c r="Q976" t="n">
        <v>0</v>
      </c>
      <c r="R976" s="2" t="inlineStr"/>
    </row>
    <row r="977" ht="15" customHeight="1">
      <c r="A977" t="inlineStr">
        <is>
          <t>A 40148-2019</t>
        </is>
      </c>
      <c r="B977" s="1" t="n">
        <v>43684</v>
      </c>
      <c r="C977" s="1" t="n">
        <v>45846</v>
      </c>
      <c r="D977" t="inlineStr">
        <is>
          <t>UPPSALA LÄN</t>
        </is>
      </c>
      <c r="E977" t="inlineStr">
        <is>
          <t>HÅBO</t>
        </is>
      </c>
      <c r="G977" t="n">
        <v>1.5</v>
      </c>
      <c r="H977" t="n">
        <v>0</v>
      </c>
      <c r="I977" t="n">
        <v>0</v>
      </c>
      <c r="J977" t="n">
        <v>0</v>
      </c>
      <c r="K977" t="n">
        <v>0</v>
      </c>
      <c r="L977" t="n">
        <v>0</v>
      </c>
      <c r="M977" t="n">
        <v>0</v>
      </c>
      <c r="N977" t="n">
        <v>0</v>
      </c>
      <c r="O977" t="n">
        <v>0</v>
      </c>
      <c r="P977" t="n">
        <v>0</v>
      </c>
      <c r="Q977" t="n">
        <v>0</v>
      </c>
      <c r="R977" s="2" t="inlineStr"/>
    </row>
    <row r="978" ht="15" customHeight="1">
      <c r="A978" t="inlineStr">
        <is>
          <t>A 38475-2019</t>
        </is>
      </c>
      <c r="B978" s="1" t="n">
        <v>43685</v>
      </c>
      <c r="C978" s="1" t="n">
        <v>45846</v>
      </c>
      <c r="D978" t="inlineStr">
        <is>
          <t>UPPSALA LÄN</t>
        </is>
      </c>
      <c r="E978" t="inlineStr">
        <is>
          <t>ENKÖPING</t>
        </is>
      </c>
      <c r="G978" t="n">
        <v>1.9</v>
      </c>
      <c r="H978" t="n">
        <v>0</v>
      </c>
      <c r="I978" t="n">
        <v>0</v>
      </c>
      <c r="J978" t="n">
        <v>0</v>
      </c>
      <c r="K978" t="n">
        <v>0</v>
      </c>
      <c r="L978" t="n">
        <v>0</v>
      </c>
      <c r="M978" t="n">
        <v>0</v>
      </c>
      <c r="N978" t="n">
        <v>0</v>
      </c>
      <c r="O978" t="n">
        <v>0</v>
      </c>
      <c r="P978" t="n">
        <v>0</v>
      </c>
      <c r="Q978" t="n">
        <v>0</v>
      </c>
      <c r="R978" s="2" t="inlineStr"/>
    </row>
    <row r="979" ht="15" customHeight="1">
      <c r="A979" t="inlineStr">
        <is>
          <t>A 38684-2019</t>
        </is>
      </c>
      <c r="B979" s="1" t="n">
        <v>43686</v>
      </c>
      <c r="C979" s="1" t="n">
        <v>45846</v>
      </c>
      <c r="D979" t="inlineStr">
        <is>
          <t>UPPSALA LÄN</t>
        </is>
      </c>
      <c r="E979" t="inlineStr">
        <is>
          <t>UPPSALA</t>
        </is>
      </c>
      <c r="G979" t="n">
        <v>0.4</v>
      </c>
      <c r="H979" t="n">
        <v>0</v>
      </c>
      <c r="I979" t="n">
        <v>0</v>
      </c>
      <c r="J979" t="n">
        <v>0</v>
      </c>
      <c r="K979" t="n">
        <v>0</v>
      </c>
      <c r="L979" t="n">
        <v>0</v>
      </c>
      <c r="M979" t="n">
        <v>0</v>
      </c>
      <c r="N979" t="n">
        <v>0</v>
      </c>
      <c r="O979" t="n">
        <v>0</v>
      </c>
      <c r="P979" t="n">
        <v>0</v>
      </c>
      <c r="Q979" t="n">
        <v>0</v>
      </c>
      <c r="R979" s="2" t="inlineStr"/>
    </row>
    <row r="980" ht="15" customHeight="1">
      <c r="A980" t="inlineStr">
        <is>
          <t>A 39554-2019</t>
        </is>
      </c>
      <c r="B980" s="1" t="n">
        <v>43686</v>
      </c>
      <c r="C980" s="1" t="n">
        <v>45846</v>
      </c>
      <c r="D980" t="inlineStr">
        <is>
          <t>UPPSALA LÄN</t>
        </is>
      </c>
      <c r="E980" t="inlineStr">
        <is>
          <t>TIERP</t>
        </is>
      </c>
      <c r="G980" t="n">
        <v>2.6</v>
      </c>
      <c r="H980" t="n">
        <v>0</v>
      </c>
      <c r="I980" t="n">
        <v>0</v>
      </c>
      <c r="J980" t="n">
        <v>0</v>
      </c>
      <c r="K980" t="n">
        <v>0</v>
      </c>
      <c r="L980" t="n">
        <v>0</v>
      </c>
      <c r="M980" t="n">
        <v>0</v>
      </c>
      <c r="N980" t="n">
        <v>0</v>
      </c>
      <c r="O980" t="n">
        <v>0</v>
      </c>
      <c r="P980" t="n">
        <v>0</v>
      </c>
      <c r="Q980" t="n">
        <v>0</v>
      </c>
      <c r="R980" s="2" t="inlineStr"/>
    </row>
    <row r="981" ht="15" customHeight="1">
      <c r="A981" t="inlineStr">
        <is>
          <t>A 39582-2019</t>
        </is>
      </c>
      <c r="B981" s="1" t="n">
        <v>43686</v>
      </c>
      <c r="C981" s="1" t="n">
        <v>45846</v>
      </c>
      <c r="D981" t="inlineStr">
        <is>
          <t>UPPSALA LÄN</t>
        </is>
      </c>
      <c r="E981" t="inlineStr">
        <is>
          <t>ÖSTHAMMAR</t>
        </is>
      </c>
      <c r="G981" t="n">
        <v>12.2</v>
      </c>
      <c r="H981" t="n">
        <v>0</v>
      </c>
      <c r="I981" t="n">
        <v>0</v>
      </c>
      <c r="J981" t="n">
        <v>0</v>
      </c>
      <c r="K981" t="n">
        <v>0</v>
      </c>
      <c r="L981" t="n">
        <v>0</v>
      </c>
      <c r="M981" t="n">
        <v>0</v>
      </c>
      <c r="N981" t="n">
        <v>0</v>
      </c>
      <c r="O981" t="n">
        <v>0</v>
      </c>
      <c r="P981" t="n">
        <v>0</v>
      </c>
      <c r="Q981" t="n">
        <v>0</v>
      </c>
      <c r="R981" s="2" t="inlineStr"/>
    </row>
    <row r="982" ht="15" customHeight="1">
      <c r="A982" t="inlineStr">
        <is>
          <t>A 38896-2019</t>
        </is>
      </c>
      <c r="B982" s="1" t="n">
        <v>43689</v>
      </c>
      <c r="C982" s="1" t="n">
        <v>45846</v>
      </c>
      <c r="D982" t="inlineStr">
        <is>
          <t>UPPSALA LÄN</t>
        </is>
      </c>
      <c r="E982" t="inlineStr">
        <is>
          <t>ENKÖPING</t>
        </is>
      </c>
      <c r="G982" t="n">
        <v>0.9</v>
      </c>
      <c r="H982" t="n">
        <v>0</v>
      </c>
      <c r="I982" t="n">
        <v>0</v>
      </c>
      <c r="J982" t="n">
        <v>0</v>
      </c>
      <c r="K982" t="n">
        <v>0</v>
      </c>
      <c r="L982" t="n">
        <v>0</v>
      </c>
      <c r="M982" t="n">
        <v>0</v>
      </c>
      <c r="N982" t="n">
        <v>0</v>
      </c>
      <c r="O982" t="n">
        <v>0</v>
      </c>
      <c r="P982" t="n">
        <v>0</v>
      </c>
      <c r="Q982" t="n">
        <v>0</v>
      </c>
      <c r="R982" s="2" t="inlineStr"/>
    </row>
    <row r="983" ht="15" customHeight="1">
      <c r="A983" t="inlineStr">
        <is>
          <t>A 39918-2019</t>
        </is>
      </c>
      <c r="B983" s="1" t="n">
        <v>43689</v>
      </c>
      <c r="C983" s="1" t="n">
        <v>45846</v>
      </c>
      <c r="D983" t="inlineStr">
        <is>
          <t>UPPSALA LÄN</t>
        </is>
      </c>
      <c r="E983" t="inlineStr">
        <is>
          <t>HEBY</t>
        </is>
      </c>
      <c r="G983" t="n">
        <v>4.1</v>
      </c>
      <c r="H983" t="n">
        <v>0</v>
      </c>
      <c r="I983" t="n">
        <v>0</v>
      </c>
      <c r="J983" t="n">
        <v>0</v>
      </c>
      <c r="K983" t="n">
        <v>0</v>
      </c>
      <c r="L983" t="n">
        <v>0</v>
      </c>
      <c r="M983" t="n">
        <v>0</v>
      </c>
      <c r="N983" t="n">
        <v>0</v>
      </c>
      <c r="O983" t="n">
        <v>0</v>
      </c>
      <c r="P983" t="n">
        <v>0</v>
      </c>
      <c r="Q983" t="n">
        <v>0</v>
      </c>
      <c r="R983" s="2" t="inlineStr"/>
    </row>
    <row r="984" ht="15" customHeight="1">
      <c r="A984" t="inlineStr">
        <is>
          <t>A 39087-2019</t>
        </is>
      </c>
      <c r="B984" s="1" t="n">
        <v>43689</v>
      </c>
      <c r="C984" s="1" t="n">
        <v>45846</v>
      </c>
      <c r="D984" t="inlineStr">
        <is>
          <t>UPPSALA LÄN</t>
        </is>
      </c>
      <c r="E984" t="inlineStr">
        <is>
          <t>HEBY</t>
        </is>
      </c>
      <c r="G984" t="n">
        <v>1.2</v>
      </c>
      <c r="H984" t="n">
        <v>0</v>
      </c>
      <c r="I984" t="n">
        <v>0</v>
      </c>
      <c r="J984" t="n">
        <v>0</v>
      </c>
      <c r="K984" t="n">
        <v>0</v>
      </c>
      <c r="L984" t="n">
        <v>0</v>
      </c>
      <c r="M984" t="n">
        <v>0</v>
      </c>
      <c r="N984" t="n">
        <v>0</v>
      </c>
      <c r="O984" t="n">
        <v>0</v>
      </c>
      <c r="P984" t="n">
        <v>0</v>
      </c>
      <c r="Q984" t="n">
        <v>0</v>
      </c>
      <c r="R984" s="2" t="inlineStr"/>
    </row>
    <row r="985" ht="15" customHeight="1">
      <c r="A985" t="inlineStr">
        <is>
          <t>A 38899-2019</t>
        </is>
      </c>
      <c r="B985" s="1" t="n">
        <v>43689</v>
      </c>
      <c r="C985" s="1" t="n">
        <v>45846</v>
      </c>
      <c r="D985" t="inlineStr">
        <is>
          <t>UPPSALA LÄN</t>
        </is>
      </c>
      <c r="E985" t="inlineStr">
        <is>
          <t>ENKÖPING</t>
        </is>
      </c>
      <c r="G985" t="n">
        <v>0.5</v>
      </c>
      <c r="H985" t="n">
        <v>0</v>
      </c>
      <c r="I985" t="n">
        <v>0</v>
      </c>
      <c r="J985" t="n">
        <v>0</v>
      </c>
      <c r="K985" t="n">
        <v>0</v>
      </c>
      <c r="L985" t="n">
        <v>0</v>
      </c>
      <c r="M985" t="n">
        <v>0</v>
      </c>
      <c r="N985" t="n">
        <v>0</v>
      </c>
      <c r="O985" t="n">
        <v>0</v>
      </c>
      <c r="P985" t="n">
        <v>0</v>
      </c>
      <c r="Q985" t="n">
        <v>0</v>
      </c>
      <c r="R985" s="2" t="inlineStr"/>
    </row>
    <row r="986" ht="15" customHeight="1">
      <c r="A986" t="inlineStr">
        <is>
          <t>A 39911-2019</t>
        </is>
      </c>
      <c r="B986" s="1" t="n">
        <v>43692</v>
      </c>
      <c r="C986" s="1" t="n">
        <v>45846</v>
      </c>
      <c r="D986" t="inlineStr">
        <is>
          <t>UPPSALA LÄN</t>
        </is>
      </c>
      <c r="E986" t="inlineStr">
        <is>
          <t>TIERP</t>
        </is>
      </c>
      <c r="G986" t="n">
        <v>5.2</v>
      </c>
      <c r="H986" t="n">
        <v>0</v>
      </c>
      <c r="I986" t="n">
        <v>0</v>
      </c>
      <c r="J986" t="n">
        <v>0</v>
      </c>
      <c r="K986" t="n">
        <v>0</v>
      </c>
      <c r="L986" t="n">
        <v>0</v>
      </c>
      <c r="M986" t="n">
        <v>0</v>
      </c>
      <c r="N986" t="n">
        <v>0</v>
      </c>
      <c r="O986" t="n">
        <v>0</v>
      </c>
      <c r="P986" t="n">
        <v>0</v>
      </c>
      <c r="Q986" t="n">
        <v>0</v>
      </c>
      <c r="R986" s="2" t="inlineStr"/>
    </row>
    <row r="987" ht="15" customHeight="1">
      <c r="A987" t="inlineStr">
        <is>
          <t>A 39914-2019</t>
        </is>
      </c>
      <c r="B987" s="1" t="n">
        <v>43692</v>
      </c>
      <c r="C987" s="1" t="n">
        <v>45846</v>
      </c>
      <c r="D987" t="inlineStr">
        <is>
          <t>UPPSALA LÄN</t>
        </is>
      </c>
      <c r="E987" t="inlineStr">
        <is>
          <t>TIERP</t>
        </is>
      </c>
      <c r="G987" t="n">
        <v>0.6</v>
      </c>
      <c r="H987" t="n">
        <v>0</v>
      </c>
      <c r="I987" t="n">
        <v>0</v>
      </c>
      <c r="J987" t="n">
        <v>0</v>
      </c>
      <c r="K987" t="n">
        <v>0</v>
      </c>
      <c r="L987" t="n">
        <v>0</v>
      </c>
      <c r="M987" t="n">
        <v>0</v>
      </c>
      <c r="N987" t="n">
        <v>0</v>
      </c>
      <c r="O987" t="n">
        <v>0</v>
      </c>
      <c r="P987" t="n">
        <v>0</v>
      </c>
      <c r="Q987" t="n">
        <v>0</v>
      </c>
      <c r="R987" s="2" t="inlineStr"/>
    </row>
    <row r="988" ht="15" customHeight="1">
      <c r="A988" t="inlineStr">
        <is>
          <t>A 39910-2019</t>
        </is>
      </c>
      <c r="B988" s="1" t="n">
        <v>43692</v>
      </c>
      <c r="C988" s="1" t="n">
        <v>45846</v>
      </c>
      <c r="D988" t="inlineStr">
        <is>
          <t>UPPSALA LÄN</t>
        </is>
      </c>
      <c r="E988" t="inlineStr">
        <is>
          <t>ÖSTHAMMAR</t>
        </is>
      </c>
      <c r="G988" t="n">
        <v>3.9</v>
      </c>
      <c r="H988" t="n">
        <v>0</v>
      </c>
      <c r="I988" t="n">
        <v>0</v>
      </c>
      <c r="J988" t="n">
        <v>0</v>
      </c>
      <c r="K988" t="n">
        <v>0</v>
      </c>
      <c r="L988" t="n">
        <v>0</v>
      </c>
      <c r="M988" t="n">
        <v>0</v>
      </c>
      <c r="N988" t="n">
        <v>0</v>
      </c>
      <c r="O988" t="n">
        <v>0</v>
      </c>
      <c r="P988" t="n">
        <v>0</v>
      </c>
      <c r="Q988" t="n">
        <v>0</v>
      </c>
      <c r="R988" s="2" t="inlineStr"/>
    </row>
    <row r="989" ht="15" customHeight="1">
      <c r="A989" t="inlineStr">
        <is>
          <t>A 40151-2019</t>
        </is>
      </c>
      <c r="B989" s="1" t="n">
        <v>43693</v>
      </c>
      <c r="C989" s="1" t="n">
        <v>45846</v>
      </c>
      <c r="D989" t="inlineStr">
        <is>
          <t>UPPSALA LÄN</t>
        </is>
      </c>
      <c r="E989" t="inlineStr">
        <is>
          <t>UPPSALA</t>
        </is>
      </c>
      <c r="G989" t="n">
        <v>0.5</v>
      </c>
      <c r="H989" t="n">
        <v>0</v>
      </c>
      <c r="I989" t="n">
        <v>0</v>
      </c>
      <c r="J989" t="n">
        <v>0</v>
      </c>
      <c r="K989" t="n">
        <v>0</v>
      </c>
      <c r="L989" t="n">
        <v>0</v>
      </c>
      <c r="M989" t="n">
        <v>0</v>
      </c>
      <c r="N989" t="n">
        <v>0</v>
      </c>
      <c r="O989" t="n">
        <v>0</v>
      </c>
      <c r="P989" t="n">
        <v>0</v>
      </c>
      <c r="Q989" t="n">
        <v>0</v>
      </c>
      <c r="R989" s="2" t="inlineStr"/>
    </row>
    <row r="990" ht="15" customHeight="1">
      <c r="A990" t="inlineStr">
        <is>
          <t>A 40247-2019</t>
        </is>
      </c>
      <c r="B990" s="1" t="n">
        <v>43695</v>
      </c>
      <c r="C990" s="1" t="n">
        <v>45846</v>
      </c>
      <c r="D990" t="inlineStr">
        <is>
          <t>UPPSALA LÄN</t>
        </is>
      </c>
      <c r="E990" t="inlineStr">
        <is>
          <t>ENKÖPING</t>
        </is>
      </c>
      <c r="G990" t="n">
        <v>2.6</v>
      </c>
      <c r="H990" t="n">
        <v>0</v>
      </c>
      <c r="I990" t="n">
        <v>0</v>
      </c>
      <c r="J990" t="n">
        <v>0</v>
      </c>
      <c r="K990" t="n">
        <v>0</v>
      </c>
      <c r="L990" t="n">
        <v>0</v>
      </c>
      <c r="M990" t="n">
        <v>0</v>
      </c>
      <c r="N990" t="n">
        <v>0</v>
      </c>
      <c r="O990" t="n">
        <v>0</v>
      </c>
      <c r="P990" t="n">
        <v>0</v>
      </c>
      <c r="Q990" t="n">
        <v>0</v>
      </c>
      <c r="R990" s="2" t="inlineStr"/>
    </row>
    <row r="991" ht="15" customHeight="1">
      <c r="A991" t="inlineStr">
        <is>
          <t>A 40336-2019</t>
        </is>
      </c>
      <c r="B991" s="1" t="n">
        <v>43696</v>
      </c>
      <c r="C991" s="1" t="n">
        <v>45846</v>
      </c>
      <c r="D991" t="inlineStr">
        <is>
          <t>UPPSALA LÄN</t>
        </is>
      </c>
      <c r="E991" t="inlineStr">
        <is>
          <t>HEBY</t>
        </is>
      </c>
      <c r="G991" t="n">
        <v>2.2</v>
      </c>
      <c r="H991" t="n">
        <v>0</v>
      </c>
      <c r="I991" t="n">
        <v>0</v>
      </c>
      <c r="J991" t="n">
        <v>0</v>
      </c>
      <c r="K991" t="n">
        <v>0</v>
      </c>
      <c r="L991" t="n">
        <v>0</v>
      </c>
      <c r="M991" t="n">
        <v>0</v>
      </c>
      <c r="N991" t="n">
        <v>0</v>
      </c>
      <c r="O991" t="n">
        <v>0</v>
      </c>
      <c r="P991" t="n">
        <v>0</v>
      </c>
      <c r="Q991" t="n">
        <v>0</v>
      </c>
      <c r="R991" s="2" t="inlineStr"/>
    </row>
    <row r="992" ht="15" customHeight="1">
      <c r="A992" t="inlineStr">
        <is>
          <t>A 41609-2019</t>
        </is>
      </c>
      <c r="B992" s="1" t="n">
        <v>43696</v>
      </c>
      <c r="C992" s="1" t="n">
        <v>45846</v>
      </c>
      <c r="D992" t="inlineStr">
        <is>
          <t>UPPSALA LÄN</t>
        </is>
      </c>
      <c r="E992" t="inlineStr">
        <is>
          <t>UPPSALA</t>
        </is>
      </c>
      <c r="F992" t="inlineStr">
        <is>
          <t>Övriga Aktiebolag</t>
        </is>
      </c>
      <c r="G992" t="n">
        <v>1.7</v>
      </c>
      <c r="H992" t="n">
        <v>0</v>
      </c>
      <c r="I992" t="n">
        <v>0</v>
      </c>
      <c r="J992" t="n">
        <v>0</v>
      </c>
      <c r="K992" t="n">
        <v>0</v>
      </c>
      <c r="L992" t="n">
        <v>0</v>
      </c>
      <c r="M992" t="n">
        <v>0</v>
      </c>
      <c r="N992" t="n">
        <v>0</v>
      </c>
      <c r="O992" t="n">
        <v>0</v>
      </c>
      <c r="P992" t="n">
        <v>0</v>
      </c>
      <c r="Q992" t="n">
        <v>0</v>
      </c>
      <c r="R992" s="2" t="inlineStr"/>
    </row>
    <row r="993" ht="15" customHeight="1">
      <c r="A993" t="inlineStr">
        <is>
          <t>A 41653-2019</t>
        </is>
      </c>
      <c r="B993" s="1" t="n">
        <v>43696</v>
      </c>
      <c r="C993" s="1" t="n">
        <v>45846</v>
      </c>
      <c r="D993" t="inlineStr">
        <is>
          <t>UPPSALA LÄN</t>
        </is>
      </c>
      <c r="E993" t="inlineStr">
        <is>
          <t>UPPSALA</t>
        </is>
      </c>
      <c r="G993" t="n">
        <v>5.2</v>
      </c>
      <c r="H993" t="n">
        <v>0</v>
      </c>
      <c r="I993" t="n">
        <v>0</v>
      </c>
      <c r="J993" t="n">
        <v>0</v>
      </c>
      <c r="K993" t="n">
        <v>0</v>
      </c>
      <c r="L993" t="n">
        <v>0</v>
      </c>
      <c r="M993" t="n">
        <v>0</v>
      </c>
      <c r="N993" t="n">
        <v>0</v>
      </c>
      <c r="O993" t="n">
        <v>0</v>
      </c>
      <c r="P993" t="n">
        <v>0</v>
      </c>
      <c r="Q993" t="n">
        <v>0</v>
      </c>
      <c r="R993" s="2" t="inlineStr"/>
    </row>
    <row r="994" ht="15" customHeight="1">
      <c r="A994" t="inlineStr">
        <is>
          <t>A 40792-2019</t>
        </is>
      </c>
      <c r="B994" s="1" t="n">
        <v>43697</v>
      </c>
      <c r="C994" s="1" t="n">
        <v>45846</v>
      </c>
      <c r="D994" t="inlineStr">
        <is>
          <t>UPPSALA LÄN</t>
        </is>
      </c>
      <c r="E994" t="inlineStr">
        <is>
          <t>HEBY</t>
        </is>
      </c>
      <c r="G994" t="n">
        <v>1.1</v>
      </c>
      <c r="H994" t="n">
        <v>0</v>
      </c>
      <c r="I994" t="n">
        <v>0</v>
      </c>
      <c r="J994" t="n">
        <v>0</v>
      </c>
      <c r="K994" t="n">
        <v>0</v>
      </c>
      <c r="L994" t="n">
        <v>0</v>
      </c>
      <c r="M994" t="n">
        <v>0</v>
      </c>
      <c r="N994" t="n">
        <v>0</v>
      </c>
      <c r="O994" t="n">
        <v>0</v>
      </c>
      <c r="P994" t="n">
        <v>0</v>
      </c>
      <c r="Q994" t="n">
        <v>0</v>
      </c>
      <c r="R994" s="2" t="inlineStr"/>
    </row>
    <row r="995" ht="15" customHeight="1">
      <c r="A995" t="inlineStr">
        <is>
          <t>A 40839-2019</t>
        </is>
      </c>
      <c r="B995" s="1" t="n">
        <v>43697</v>
      </c>
      <c r="C995" s="1" t="n">
        <v>45846</v>
      </c>
      <c r="D995" t="inlineStr">
        <is>
          <t>UPPSALA LÄN</t>
        </is>
      </c>
      <c r="E995" t="inlineStr">
        <is>
          <t>ENKÖPING</t>
        </is>
      </c>
      <c r="G995" t="n">
        <v>1.9</v>
      </c>
      <c r="H995" t="n">
        <v>0</v>
      </c>
      <c r="I995" t="n">
        <v>0</v>
      </c>
      <c r="J995" t="n">
        <v>0</v>
      </c>
      <c r="K995" t="n">
        <v>0</v>
      </c>
      <c r="L995" t="n">
        <v>0</v>
      </c>
      <c r="M995" t="n">
        <v>0</v>
      </c>
      <c r="N995" t="n">
        <v>0</v>
      </c>
      <c r="O995" t="n">
        <v>0</v>
      </c>
      <c r="P995" t="n">
        <v>0</v>
      </c>
      <c r="Q995" t="n">
        <v>0</v>
      </c>
      <c r="R995" s="2" t="inlineStr"/>
    </row>
    <row r="996" ht="15" customHeight="1">
      <c r="A996" t="inlineStr">
        <is>
          <t>A 40843-2019</t>
        </is>
      </c>
      <c r="B996" s="1" t="n">
        <v>43697</v>
      </c>
      <c r="C996" s="1" t="n">
        <v>45846</v>
      </c>
      <c r="D996" t="inlineStr">
        <is>
          <t>UPPSALA LÄN</t>
        </is>
      </c>
      <c r="E996" t="inlineStr">
        <is>
          <t>ENKÖPING</t>
        </is>
      </c>
      <c r="G996" t="n">
        <v>1.6</v>
      </c>
      <c r="H996" t="n">
        <v>0</v>
      </c>
      <c r="I996" t="n">
        <v>0</v>
      </c>
      <c r="J996" t="n">
        <v>0</v>
      </c>
      <c r="K996" t="n">
        <v>0</v>
      </c>
      <c r="L996" t="n">
        <v>0</v>
      </c>
      <c r="M996" t="n">
        <v>0</v>
      </c>
      <c r="N996" t="n">
        <v>0</v>
      </c>
      <c r="O996" t="n">
        <v>0</v>
      </c>
      <c r="P996" t="n">
        <v>0</v>
      </c>
      <c r="Q996" t="n">
        <v>0</v>
      </c>
      <c r="R996" s="2" t="inlineStr"/>
    </row>
    <row r="997" ht="15" customHeight="1">
      <c r="A997" t="inlineStr">
        <is>
          <t>A 41512-2019</t>
        </is>
      </c>
      <c r="B997" s="1" t="n">
        <v>43699</v>
      </c>
      <c r="C997" s="1" t="n">
        <v>45846</v>
      </c>
      <c r="D997" t="inlineStr">
        <is>
          <t>UPPSALA LÄN</t>
        </is>
      </c>
      <c r="E997" t="inlineStr">
        <is>
          <t>ENKÖPING</t>
        </is>
      </c>
      <c r="G997" t="n">
        <v>5.8</v>
      </c>
      <c r="H997" t="n">
        <v>0</v>
      </c>
      <c r="I997" t="n">
        <v>0</v>
      </c>
      <c r="J997" t="n">
        <v>0</v>
      </c>
      <c r="K997" t="n">
        <v>0</v>
      </c>
      <c r="L997" t="n">
        <v>0</v>
      </c>
      <c r="M997" t="n">
        <v>0</v>
      </c>
      <c r="N997" t="n">
        <v>0</v>
      </c>
      <c r="O997" t="n">
        <v>0</v>
      </c>
      <c r="P997" t="n">
        <v>0</v>
      </c>
      <c r="Q997" t="n">
        <v>0</v>
      </c>
      <c r="R997" s="2" t="inlineStr"/>
    </row>
    <row r="998" ht="15" customHeight="1">
      <c r="A998" t="inlineStr">
        <is>
          <t>A 41697-2019</t>
        </is>
      </c>
      <c r="B998" s="1" t="n">
        <v>43699</v>
      </c>
      <c r="C998" s="1" t="n">
        <v>45846</v>
      </c>
      <c r="D998" t="inlineStr">
        <is>
          <t>UPPSALA LÄN</t>
        </is>
      </c>
      <c r="E998" t="inlineStr">
        <is>
          <t>ÖSTHAMMAR</t>
        </is>
      </c>
      <c r="F998" t="inlineStr">
        <is>
          <t>Bergvik skog öst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41524-2019</t>
        </is>
      </c>
      <c r="B999" s="1" t="n">
        <v>43699</v>
      </c>
      <c r="C999" s="1" t="n">
        <v>45846</v>
      </c>
      <c r="D999" t="inlineStr">
        <is>
          <t>UPPSALA LÄN</t>
        </is>
      </c>
      <c r="E999" t="inlineStr">
        <is>
          <t>UPPSALA</t>
        </is>
      </c>
      <c r="G999" t="n">
        <v>2.4</v>
      </c>
      <c r="H999" t="n">
        <v>0</v>
      </c>
      <c r="I999" t="n">
        <v>0</v>
      </c>
      <c r="J999" t="n">
        <v>0</v>
      </c>
      <c r="K999" t="n">
        <v>0</v>
      </c>
      <c r="L999" t="n">
        <v>0</v>
      </c>
      <c r="M999" t="n">
        <v>0</v>
      </c>
      <c r="N999" t="n">
        <v>0</v>
      </c>
      <c r="O999" t="n">
        <v>0</v>
      </c>
      <c r="P999" t="n">
        <v>0</v>
      </c>
      <c r="Q999" t="n">
        <v>0</v>
      </c>
      <c r="R999" s="2" t="inlineStr"/>
    </row>
    <row r="1000" ht="15" customHeight="1">
      <c r="A1000" t="inlineStr">
        <is>
          <t>A 41539-2019</t>
        </is>
      </c>
      <c r="B1000" s="1" t="n">
        <v>43699</v>
      </c>
      <c r="C1000" s="1" t="n">
        <v>45846</v>
      </c>
      <c r="D1000" t="inlineStr">
        <is>
          <t>UPPSALA LÄN</t>
        </is>
      </c>
      <c r="E1000" t="inlineStr">
        <is>
          <t>ÖSTHAMMAR</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41535-2019</t>
        </is>
      </c>
      <c r="B1001" s="1" t="n">
        <v>43699</v>
      </c>
      <c r="C1001" s="1" t="n">
        <v>45846</v>
      </c>
      <c r="D1001" t="inlineStr">
        <is>
          <t>UPPSALA LÄN</t>
        </is>
      </c>
      <c r="E1001" t="inlineStr">
        <is>
          <t>UPPSALA</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41695-2019</t>
        </is>
      </c>
      <c r="B1002" s="1" t="n">
        <v>43699</v>
      </c>
      <c r="C1002" s="1" t="n">
        <v>45846</v>
      </c>
      <c r="D1002" t="inlineStr">
        <is>
          <t>UPPSALA LÄN</t>
        </is>
      </c>
      <c r="E1002" t="inlineStr">
        <is>
          <t>UPPSALA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42350-2019</t>
        </is>
      </c>
      <c r="B1003" s="1" t="n">
        <v>43703</v>
      </c>
      <c r="C1003" s="1" t="n">
        <v>45846</v>
      </c>
      <c r="D1003" t="inlineStr">
        <is>
          <t>UPPSALA LÄN</t>
        </is>
      </c>
      <c r="E1003" t="inlineStr">
        <is>
          <t>ENKÖPING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42111-2019</t>
        </is>
      </c>
      <c r="B1004" s="1" t="n">
        <v>43703</v>
      </c>
      <c r="C1004" s="1" t="n">
        <v>45846</v>
      </c>
      <c r="D1004" t="inlineStr">
        <is>
          <t>UPPSALA LÄN</t>
        </is>
      </c>
      <c r="E1004" t="inlineStr">
        <is>
          <t>UPPSALA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42624-2019</t>
        </is>
      </c>
      <c r="B1005" s="1" t="n">
        <v>43704</v>
      </c>
      <c r="C1005" s="1" t="n">
        <v>45846</v>
      </c>
      <c r="D1005" t="inlineStr">
        <is>
          <t>UPPSALA LÄN</t>
        </is>
      </c>
      <c r="E1005" t="inlineStr">
        <is>
          <t>ENKÖPING</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42986-2019</t>
        </is>
      </c>
      <c r="B1006" s="1" t="n">
        <v>43705</v>
      </c>
      <c r="C1006" s="1" t="n">
        <v>45846</v>
      </c>
      <c r="D1006" t="inlineStr">
        <is>
          <t>UPPSALA LÄN</t>
        </is>
      </c>
      <c r="E1006" t="inlineStr">
        <is>
          <t>UPPSALA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42841-2019</t>
        </is>
      </c>
      <c r="B1007" s="1" t="n">
        <v>43705</v>
      </c>
      <c r="C1007" s="1" t="n">
        <v>45846</v>
      </c>
      <c r="D1007" t="inlineStr">
        <is>
          <t>UPPSALA LÄN</t>
        </is>
      </c>
      <c r="E1007" t="inlineStr">
        <is>
          <t>HEBY</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43039-2019</t>
        </is>
      </c>
      <c r="B1008" s="1" t="n">
        <v>43705</v>
      </c>
      <c r="C1008" s="1" t="n">
        <v>45846</v>
      </c>
      <c r="D1008" t="inlineStr">
        <is>
          <t>UPPSALA LÄN</t>
        </is>
      </c>
      <c r="E1008" t="inlineStr">
        <is>
          <t>HEBY</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42829-2019</t>
        </is>
      </c>
      <c r="B1009" s="1" t="n">
        <v>43705</v>
      </c>
      <c r="C1009" s="1" t="n">
        <v>45846</v>
      </c>
      <c r="D1009" t="inlineStr">
        <is>
          <t>UPPSALA LÄN</t>
        </is>
      </c>
      <c r="E1009" t="inlineStr">
        <is>
          <t>ENKÖPING</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43222-2019</t>
        </is>
      </c>
      <c r="B1010" s="1" t="n">
        <v>43706</v>
      </c>
      <c r="C1010" s="1" t="n">
        <v>45846</v>
      </c>
      <c r="D1010" t="inlineStr">
        <is>
          <t>UPPSALA LÄN</t>
        </is>
      </c>
      <c r="E1010" t="inlineStr">
        <is>
          <t>UPPSALA</t>
        </is>
      </c>
      <c r="F1010" t="inlineStr">
        <is>
          <t>Bergvik skog öst AB</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43426-2019</t>
        </is>
      </c>
      <c r="B1011" s="1" t="n">
        <v>43706</v>
      </c>
      <c r="C1011" s="1" t="n">
        <v>45846</v>
      </c>
      <c r="D1011" t="inlineStr">
        <is>
          <t>UPPSALA LÄN</t>
        </is>
      </c>
      <c r="E1011" t="inlineStr">
        <is>
          <t>ÖSTHAMMAR</t>
        </is>
      </c>
      <c r="F1011" t="inlineStr">
        <is>
          <t>Bergvik skog öst AB</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43715-2019</t>
        </is>
      </c>
      <c r="B1012" s="1" t="n">
        <v>43706</v>
      </c>
      <c r="C1012" s="1" t="n">
        <v>45846</v>
      </c>
      <c r="D1012" t="inlineStr">
        <is>
          <t>UPPSALA LÄN</t>
        </is>
      </c>
      <c r="E1012" t="inlineStr">
        <is>
          <t>UPPSALA</t>
        </is>
      </c>
      <c r="F1012" t="inlineStr">
        <is>
          <t>Övriga statliga verk och myndigheter</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43535-2019</t>
        </is>
      </c>
      <c r="B1013" s="1" t="n">
        <v>43706</v>
      </c>
      <c r="C1013" s="1" t="n">
        <v>45846</v>
      </c>
      <c r="D1013" t="inlineStr">
        <is>
          <t>UPPSALA LÄN</t>
        </is>
      </c>
      <c r="E1013" t="inlineStr">
        <is>
          <t>TIERP</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43224-2019</t>
        </is>
      </c>
      <c r="B1014" s="1" t="n">
        <v>43706</v>
      </c>
      <c r="C1014" s="1" t="n">
        <v>45846</v>
      </c>
      <c r="D1014" t="inlineStr">
        <is>
          <t>UPPSALA LÄN</t>
        </is>
      </c>
      <c r="E1014" t="inlineStr">
        <is>
          <t>UPPSALA</t>
        </is>
      </c>
      <c r="F1014" t="inlineStr">
        <is>
          <t>Bergvik skog öst AB</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43435-2019</t>
        </is>
      </c>
      <c r="B1015" s="1" t="n">
        <v>43706</v>
      </c>
      <c r="C1015" s="1" t="n">
        <v>45846</v>
      </c>
      <c r="D1015" t="inlineStr">
        <is>
          <t>UPPSALA LÄN</t>
        </is>
      </c>
      <c r="E1015" t="inlineStr">
        <is>
          <t>UPPSALA</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43722-2019</t>
        </is>
      </c>
      <c r="B1016" s="1" t="n">
        <v>43706</v>
      </c>
      <c r="C1016" s="1" t="n">
        <v>45846</v>
      </c>
      <c r="D1016" t="inlineStr">
        <is>
          <t>UPPSALA LÄN</t>
        </is>
      </c>
      <c r="E1016" t="inlineStr">
        <is>
          <t>UPPSALA</t>
        </is>
      </c>
      <c r="F1016" t="inlineStr">
        <is>
          <t>Övriga statliga verk och myndigheter</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43308-2019</t>
        </is>
      </c>
      <c r="B1017" s="1" t="n">
        <v>43706</v>
      </c>
      <c r="C1017" s="1" t="n">
        <v>45846</v>
      </c>
      <c r="D1017" t="inlineStr">
        <is>
          <t>UPPSALA LÄN</t>
        </is>
      </c>
      <c r="E1017" t="inlineStr">
        <is>
          <t>ENKÖPING</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43625-2019</t>
        </is>
      </c>
      <c r="B1018" s="1" t="n">
        <v>43707</v>
      </c>
      <c r="C1018" s="1" t="n">
        <v>45846</v>
      </c>
      <c r="D1018" t="inlineStr">
        <is>
          <t>UPPSALA LÄN</t>
        </is>
      </c>
      <c r="E1018" t="inlineStr">
        <is>
          <t>TIERP</t>
        </is>
      </c>
      <c r="F1018" t="inlineStr">
        <is>
          <t>Bergvik skog väst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43704-2019</t>
        </is>
      </c>
      <c r="B1019" s="1" t="n">
        <v>43707</v>
      </c>
      <c r="C1019" s="1" t="n">
        <v>45846</v>
      </c>
      <c r="D1019" t="inlineStr">
        <is>
          <t>UPPSALA LÄN</t>
        </is>
      </c>
      <c r="E1019" t="inlineStr">
        <is>
          <t>UPPSALA</t>
        </is>
      </c>
      <c r="F1019" t="inlineStr">
        <is>
          <t>Bergvik skog öst AB</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43725-2019</t>
        </is>
      </c>
      <c r="B1020" s="1" t="n">
        <v>43707</v>
      </c>
      <c r="C1020" s="1" t="n">
        <v>45846</v>
      </c>
      <c r="D1020" t="inlineStr">
        <is>
          <t>UPPSALA LÄN</t>
        </is>
      </c>
      <c r="E1020" t="inlineStr">
        <is>
          <t>UPPSALA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44109-2019</t>
        </is>
      </c>
      <c r="B1021" s="1" t="n">
        <v>43707</v>
      </c>
      <c r="C1021" s="1" t="n">
        <v>45846</v>
      </c>
      <c r="D1021" t="inlineStr">
        <is>
          <t>UPPSALA LÄN</t>
        </is>
      </c>
      <c r="E1021" t="inlineStr">
        <is>
          <t>UPPSALA</t>
        </is>
      </c>
      <c r="F1021" t="inlineStr">
        <is>
          <t>Allmännings- och besparingsskogar</t>
        </is>
      </c>
      <c r="G1021" t="n">
        <v>81.3</v>
      </c>
      <c r="H1021" t="n">
        <v>0</v>
      </c>
      <c r="I1021" t="n">
        <v>0</v>
      </c>
      <c r="J1021" t="n">
        <v>0</v>
      </c>
      <c r="K1021" t="n">
        <v>0</v>
      </c>
      <c r="L1021" t="n">
        <v>0</v>
      </c>
      <c r="M1021" t="n">
        <v>0</v>
      </c>
      <c r="N1021" t="n">
        <v>0</v>
      </c>
      <c r="O1021" t="n">
        <v>0</v>
      </c>
      <c r="P1021" t="n">
        <v>0</v>
      </c>
      <c r="Q1021" t="n">
        <v>0</v>
      </c>
      <c r="R1021" s="2" t="inlineStr"/>
    </row>
    <row r="1022" ht="15" customHeight="1">
      <c r="A1022" t="inlineStr">
        <is>
          <t>A 43713-2019</t>
        </is>
      </c>
      <c r="B1022" s="1" t="n">
        <v>43707</v>
      </c>
      <c r="C1022" s="1" t="n">
        <v>45846</v>
      </c>
      <c r="D1022" t="inlineStr">
        <is>
          <t>UPPSALA LÄN</t>
        </is>
      </c>
      <c r="E1022" t="inlineStr">
        <is>
          <t>UPPSALA</t>
        </is>
      </c>
      <c r="F1022" t="inlineStr">
        <is>
          <t>Bergvik skog öst AB</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43853-2019</t>
        </is>
      </c>
      <c r="B1023" s="1" t="n">
        <v>43707</v>
      </c>
      <c r="C1023" s="1" t="n">
        <v>45846</v>
      </c>
      <c r="D1023" t="inlineStr">
        <is>
          <t>UPPSALA LÄN</t>
        </is>
      </c>
      <c r="E1023" t="inlineStr">
        <is>
          <t>UPPSALA</t>
        </is>
      </c>
      <c r="F1023" t="inlineStr">
        <is>
          <t>Övriga statliga verk och myndigheter</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43998-2019</t>
        </is>
      </c>
      <c r="B1024" s="1" t="n">
        <v>43709</v>
      </c>
      <c r="C1024" s="1" t="n">
        <v>45846</v>
      </c>
      <c r="D1024" t="inlineStr">
        <is>
          <t>UPPSALA LÄN</t>
        </is>
      </c>
      <c r="E1024" t="inlineStr">
        <is>
          <t>ENKÖPING</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43999-2019</t>
        </is>
      </c>
      <c r="B1025" s="1" t="n">
        <v>43709</v>
      </c>
      <c r="C1025" s="1" t="n">
        <v>45846</v>
      </c>
      <c r="D1025" t="inlineStr">
        <is>
          <t>UPPSALA LÄN</t>
        </is>
      </c>
      <c r="E1025" t="inlineStr">
        <is>
          <t>ENKÖPING</t>
        </is>
      </c>
      <c r="G1025" t="n">
        <v>0.1</v>
      </c>
      <c r="H1025" t="n">
        <v>0</v>
      </c>
      <c r="I1025" t="n">
        <v>0</v>
      </c>
      <c r="J1025" t="n">
        <v>0</v>
      </c>
      <c r="K1025" t="n">
        <v>0</v>
      </c>
      <c r="L1025" t="n">
        <v>0</v>
      </c>
      <c r="M1025" t="n">
        <v>0</v>
      </c>
      <c r="N1025" t="n">
        <v>0</v>
      </c>
      <c r="O1025" t="n">
        <v>0</v>
      </c>
      <c r="P1025" t="n">
        <v>0</v>
      </c>
      <c r="Q1025" t="n">
        <v>0</v>
      </c>
      <c r="R1025" s="2" t="inlineStr"/>
    </row>
    <row r="1026" ht="15" customHeight="1">
      <c r="A1026" t="inlineStr">
        <is>
          <t>A 44141-2019</t>
        </is>
      </c>
      <c r="B1026" s="1" t="n">
        <v>43710</v>
      </c>
      <c r="C1026" s="1" t="n">
        <v>45846</v>
      </c>
      <c r="D1026" t="inlineStr">
        <is>
          <t>UPPSALA LÄN</t>
        </is>
      </c>
      <c r="E1026" t="inlineStr">
        <is>
          <t>UPPSALA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45500-2019</t>
        </is>
      </c>
      <c r="B1027" s="1" t="n">
        <v>43710</v>
      </c>
      <c r="C1027" s="1" t="n">
        <v>45846</v>
      </c>
      <c r="D1027" t="inlineStr">
        <is>
          <t>UPPSALA LÄN</t>
        </is>
      </c>
      <c r="E1027" t="inlineStr">
        <is>
          <t>HEBY</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45493-2019</t>
        </is>
      </c>
      <c r="B1028" s="1" t="n">
        <v>43710</v>
      </c>
      <c r="C1028" s="1" t="n">
        <v>45846</v>
      </c>
      <c r="D1028" t="inlineStr">
        <is>
          <t>UPPSALA LÄN</t>
        </is>
      </c>
      <c r="E1028" t="inlineStr">
        <is>
          <t>HEBY</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44497-2019</t>
        </is>
      </c>
      <c r="B1029" s="1" t="n">
        <v>43711</v>
      </c>
      <c r="C1029" s="1" t="n">
        <v>45846</v>
      </c>
      <c r="D1029" t="inlineStr">
        <is>
          <t>UPPSALA LÄN</t>
        </is>
      </c>
      <c r="E1029" t="inlineStr">
        <is>
          <t>HEBY</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44569-2019</t>
        </is>
      </c>
      <c r="B1030" s="1" t="n">
        <v>43711</v>
      </c>
      <c r="C1030" s="1" t="n">
        <v>45846</v>
      </c>
      <c r="D1030" t="inlineStr">
        <is>
          <t>UPPSALA LÄN</t>
        </is>
      </c>
      <c r="E1030" t="inlineStr">
        <is>
          <t>TIERP</t>
        </is>
      </c>
      <c r="F1030" t="inlineStr">
        <is>
          <t>Bergvik skog öst AB</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44457-2019</t>
        </is>
      </c>
      <c r="B1031" s="1" t="n">
        <v>43711</v>
      </c>
      <c r="C1031" s="1" t="n">
        <v>45846</v>
      </c>
      <c r="D1031" t="inlineStr">
        <is>
          <t>UPPSALA LÄN</t>
        </is>
      </c>
      <c r="E1031" t="inlineStr">
        <is>
          <t>ÄLVKARLEBY</t>
        </is>
      </c>
      <c r="F1031" t="inlineStr">
        <is>
          <t>Bergvik skog väst AB</t>
        </is>
      </c>
      <c r="G1031" t="n">
        <v>8.699999999999999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44749-2019</t>
        </is>
      </c>
      <c r="B1032" s="1" t="n">
        <v>43712</v>
      </c>
      <c r="C1032" s="1" t="n">
        <v>45846</v>
      </c>
      <c r="D1032" t="inlineStr">
        <is>
          <t>UPPSALA LÄN</t>
        </is>
      </c>
      <c r="E1032" t="inlineStr">
        <is>
          <t>ENKÖPING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44701-2019</t>
        </is>
      </c>
      <c r="B1033" s="1" t="n">
        <v>43712</v>
      </c>
      <c r="C1033" s="1" t="n">
        <v>45846</v>
      </c>
      <c r="D1033" t="inlineStr">
        <is>
          <t>UPPSALA LÄN</t>
        </is>
      </c>
      <c r="E1033" t="inlineStr">
        <is>
          <t>UPPSALA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44687-2019</t>
        </is>
      </c>
      <c r="B1034" s="1" t="n">
        <v>43712</v>
      </c>
      <c r="C1034" s="1" t="n">
        <v>45846</v>
      </c>
      <c r="D1034" t="inlineStr">
        <is>
          <t>UPPSALA LÄN</t>
        </is>
      </c>
      <c r="E1034" t="inlineStr">
        <is>
          <t>UPPSALA</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45010-2019</t>
        </is>
      </c>
      <c r="B1035" s="1" t="n">
        <v>43713</v>
      </c>
      <c r="C1035" s="1" t="n">
        <v>45846</v>
      </c>
      <c r="D1035" t="inlineStr">
        <is>
          <t>UPPSALA LÄN</t>
        </is>
      </c>
      <c r="E1035" t="inlineStr">
        <is>
          <t>UPPSALA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45140-2019</t>
        </is>
      </c>
      <c r="B1036" s="1" t="n">
        <v>43713</v>
      </c>
      <c r="C1036" s="1" t="n">
        <v>45846</v>
      </c>
      <c r="D1036" t="inlineStr">
        <is>
          <t>UPPSALA LÄN</t>
        </is>
      </c>
      <c r="E1036" t="inlineStr">
        <is>
          <t>ÖSTHAMMAR</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45007-2019</t>
        </is>
      </c>
      <c r="B1037" s="1" t="n">
        <v>43713</v>
      </c>
      <c r="C1037" s="1" t="n">
        <v>45846</v>
      </c>
      <c r="D1037" t="inlineStr">
        <is>
          <t>UPPSALA LÄN</t>
        </is>
      </c>
      <c r="E1037" t="inlineStr">
        <is>
          <t>ENKÖPING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44991-2019</t>
        </is>
      </c>
      <c r="B1038" s="1" t="n">
        <v>43713</v>
      </c>
      <c r="C1038" s="1" t="n">
        <v>45846</v>
      </c>
      <c r="D1038" t="inlineStr">
        <is>
          <t>UPPSALA LÄN</t>
        </is>
      </c>
      <c r="E1038" t="inlineStr">
        <is>
          <t>HEBY</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45481-2019</t>
        </is>
      </c>
      <c r="B1039" s="1" t="n">
        <v>43714</v>
      </c>
      <c r="C1039" s="1" t="n">
        <v>45846</v>
      </c>
      <c r="D1039" t="inlineStr">
        <is>
          <t>UPPSALA LÄN</t>
        </is>
      </c>
      <c r="E1039" t="inlineStr">
        <is>
          <t>ENKÖPING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45574-2019</t>
        </is>
      </c>
      <c r="B1040" s="1" t="n">
        <v>43716</v>
      </c>
      <c r="C1040" s="1" t="n">
        <v>45846</v>
      </c>
      <c r="D1040" t="inlineStr">
        <is>
          <t>UPPSALA LÄN</t>
        </is>
      </c>
      <c r="E1040" t="inlineStr">
        <is>
          <t>UPPSALA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45681-2019</t>
        </is>
      </c>
      <c r="B1041" s="1" t="n">
        <v>43717</v>
      </c>
      <c r="C1041" s="1" t="n">
        <v>45846</v>
      </c>
      <c r="D1041" t="inlineStr">
        <is>
          <t>UPPSALA LÄN</t>
        </is>
      </c>
      <c r="E1041" t="inlineStr">
        <is>
          <t>ÖSTHAMMAR</t>
        </is>
      </c>
      <c r="F1041" t="inlineStr">
        <is>
          <t>Bergvik skog öst AB</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45729-2019</t>
        </is>
      </c>
      <c r="B1042" s="1" t="n">
        <v>43717</v>
      </c>
      <c r="C1042" s="1" t="n">
        <v>45846</v>
      </c>
      <c r="D1042" t="inlineStr">
        <is>
          <t>UPPSALA LÄN</t>
        </is>
      </c>
      <c r="E1042" t="inlineStr">
        <is>
          <t>ENKÖPING</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45767-2019</t>
        </is>
      </c>
      <c r="B1043" s="1" t="n">
        <v>43717</v>
      </c>
      <c r="C1043" s="1" t="n">
        <v>45846</v>
      </c>
      <c r="D1043" t="inlineStr">
        <is>
          <t>UPPSALA LÄN</t>
        </is>
      </c>
      <c r="E1043" t="inlineStr">
        <is>
          <t>ENKÖPING</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45784-2019</t>
        </is>
      </c>
      <c r="B1044" s="1" t="n">
        <v>43717</v>
      </c>
      <c r="C1044" s="1" t="n">
        <v>45846</v>
      </c>
      <c r="D1044" t="inlineStr">
        <is>
          <t>UPPSALA LÄN</t>
        </is>
      </c>
      <c r="E1044" t="inlineStr">
        <is>
          <t>ENKÖPING</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45667-2019</t>
        </is>
      </c>
      <c r="B1045" s="1" t="n">
        <v>43717</v>
      </c>
      <c r="C1045" s="1" t="n">
        <v>45846</v>
      </c>
      <c r="D1045" t="inlineStr">
        <is>
          <t>UPPSALA LÄN</t>
        </is>
      </c>
      <c r="E1045" t="inlineStr">
        <is>
          <t>HEBY</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46292-2019</t>
        </is>
      </c>
      <c r="B1046" s="1" t="n">
        <v>43718</v>
      </c>
      <c r="C1046" s="1" t="n">
        <v>45846</v>
      </c>
      <c r="D1046" t="inlineStr">
        <is>
          <t>UPPSALA LÄN</t>
        </is>
      </c>
      <c r="E1046" t="inlineStr">
        <is>
          <t>ENKÖPING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46274-2019</t>
        </is>
      </c>
      <c r="B1047" s="1" t="n">
        <v>43718</v>
      </c>
      <c r="C1047" s="1" t="n">
        <v>45846</v>
      </c>
      <c r="D1047" t="inlineStr">
        <is>
          <t>UPPSALA LÄN</t>
        </is>
      </c>
      <c r="E1047" t="inlineStr">
        <is>
          <t>ENKÖPING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46311-2019</t>
        </is>
      </c>
      <c r="B1048" s="1" t="n">
        <v>43718</v>
      </c>
      <c r="C1048" s="1" t="n">
        <v>45846</v>
      </c>
      <c r="D1048" t="inlineStr">
        <is>
          <t>UPPSALA LÄN</t>
        </is>
      </c>
      <c r="E1048" t="inlineStr">
        <is>
          <t>UPPSALA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46307-2019</t>
        </is>
      </c>
      <c r="B1049" s="1" t="n">
        <v>43718</v>
      </c>
      <c r="C1049" s="1" t="n">
        <v>45846</v>
      </c>
      <c r="D1049" t="inlineStr">
        <is>
          <t>UPPSALA LÄN</t>
        </is>
      </c>
      <c r="E1049" t="inlineStr">
        <is>
          <t>UPPSALA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46151-2019</t>
        </is>
      </c>
      <c r="B1050" s="1" t="n">
        <v>43718</v>
      </c>
      <c r="C1050" s="1" t="n">
        <v>45846</v>
      </c>
      <c r="D1050" t="inlineStr">
        <is>
          <t>UPPSALA LÄN</t>
        </is>
      </c>
      <c r="E1050" t="inlineStr">
        <is>
          <t>UPPSALA</t>
        </is>
      </c>
      <c r="F1050" t="inlineStr">
        <is>
          <t>Övriga Aktiebolag</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46157-2019</t>
        </is>
      </c>
      <c r="B1051" s="1" t="n">
        <v>43718</v>
      </c>
      <c r="C1051" s="1" t="n">
        <v>45846</v>
      </c>
      <c r="D1051" t="inlineStr">
        <is>
          <t>UPPSALA LÄN</t>
        </is>
      </c>
      <c r="E1051" t="inlineStr">
        <is>
          <t>UPPSALA</t>
        </is>
      </c>
      <c r="F1051" t="inlineStr">
        <is>
          <t>Övriga Aktiebolag</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46310-2019</t>
        </is>
      </c>
      <c r="B1052" s="1" t="n">
        <v>43718</v>
      </c>
      <c r="C1052" s="1" t="n">
        <v>45846</v>
      </c>
      <c r="D1052" t="inlineStr">
        <is>
          <t>UPPSALA LÄN</t>
        </is>
      </c>
      <c r="E1052" t="inlineStr">
        <is>
          <t>UPPSALA</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46147-2019</t>
        </is>
      </c>
      <c r="B1053" s="1" t="n">
        <v>43718</v>
      </c>
      <c r="C1053" s="1" t="n">
        <v>45846</v>
      </c>
      <c r="D1053" t="inlineStr">
        <is>
          <t>UPPSALA LÄN</t>
        </is>
      </c>
      <c r="E1053" t="inlineStr">
        <is>
          <t>UPPSALA</t>
        </is>
      </c>
      <c r="F1053" t="inlineStr">
        <is>
          <t>Övriga Aktiebolag</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46563-2019</t>
        </is>
      </c>
      <c r="B1054" s="1" t="n">
        <v>43719</v>
      </c>
      <c r="C1054" s="1" t="n">
        <v>45846</v>
      </c>
      <c r="D1054" t="inlineStr">
        <is>
          <t>UPPSALA LÄN</t>
        </is>
      </c>
      <c r="E1054" t="inlineStr">
        <is>
          <t>HEBY</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46545-2019</t>
        </is>
      </c>
      <c r="B1055" s="1" t="n">
        <v>43719</v>
      </c>
      <c r="C1055" s="1" t="n">
        <v>45846</v>
      </c>
      <c r="D1055" t="inlineStr">
        <is>
          <t>UPPSALA LÄN</t>
        </is>
      </c>
      <c r="E1055" t="inlineStr">
        <is>
          <t>HEBY</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46877-2019</t>
        </is>
      </c>
      <c r="B1056" s="1" t="n">
        <v>43720</v>
      </c>
      <c r="C1056" s="1" t="n">
        <v>45846</v>
      </c>
      <c r="D1056" t="inlineStr">
        <is>
          <t>UPPSALA LÄN</t>
        </is>
      </c>
      <c r="E1056" t="inlineStr">
        <is>
          <t>UPPSALA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46896-2019</t>
        </is>
      </c>
      <c r="B1057" s="1" t="n">
        <v>43720</v>
      </c>
      <c r="C1057" s="1" t="n">
        <v>45846</v>
      </c>
      <c r="D1057" t="inlineStr">
        <is>
          <t>UPPSALA LÄN</t>
        </is>
      </c>
      <c r="E1057" t="inlineStr">
        <is>
          <t>UPPSALA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46971-2019</t>
        </is>
      </c>
      <c r="B1058" s="1" t="n">
        <v>43720</v>
      </c>
      <c r="C1058" s="1" t="n">
        <v>45846</v>
      </c>
      <c r="D1058" t="inlineStr">
        <is>
          <t>UPPSALA LÄN</t>
        </is>
      </c>
      <c r="E1058" t="inlineStr">
        <is>
          <t>ENKÖPING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47039-2019</t>
        </is>
      </c>
      <c r="B1059" s="1" t="n">
        <v>43720</v>
      </c>
      <c r="C1059" s="1" t="n">
        <v>45846</v>
      </c>
      <c r="D1059" t="inlineStr">
        <is>
          <t>UPPSALA LÄN</t>
        </is>
      </c>
      <c r="E1059" t="inlineStr">
        <is>
          <t>ENKÖPING</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47368-2019</t>
        </is>
      </c>
      <c r="B1060" s="1" t="n">
        <v>43721</v>
      </c>
      <c r="C1060" s="1" t="n">
        <v>45846</v>
      </c>
      <c r="D1060" t="inlineStr">
        <is>
          <t>UPPSALA LÄN</t>
        </is>
      </c>
      <c r="E1060" t="inlineStr">
        <is>
          <t>ENKÖPING</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47440-2019</t>
        </is>
      </c>
      <c r="B1061" s="1" t="n">
        <v>43723</v>
      </c>
      <c r="C1061" s="1" t="n">
        <v>45846</v>
      </c>
      <c r="D1061" t="inlineStr">
        <is>
          <t>UPPSALA LÄN</t>
        </is>
      </c>
      <c r="E1061" t="inlineStr">
        <is>
          <t>ÖSTHAMMAR</t>
        </is>
      </c>
      <c r="G1061" t="n">
        <v>0.1</v>
      </c>
      <c r="H1061" t="n">
        <v>0</v>
      </c>
      <c r="I1061" t="n">
        <v>0</v>
      </c>
      <c r="J1061" t="n">
        <v>0</v>
      </c>
      <c r="K1061" t="n">
        <v>0</v>
      </c>
      <c r="L1061" t="n">
        <v>0</v>
      </c>
      <c r="M1061" t="n">
        <v>0</v>
      </c>
      <c r="N1061" t="n">
        <v>0</v>
      </c>
      <c r="O1061" t="n">
        <v>0</v>
      </c>
      <c r="P1061" t="n">
        <v>0</v>
      </c>
      <c r="Q1061" t="n">
        <v>0</v>
      </c>
      <c r="R1061" s="2" t="inlineStr"/>
    </row>
    <row r="1062" ht="15" customHeight="1">
      <c r="A1062" t="inlineStr">
        <is>
          <t>A 47436-2019</t>
        </is>
      </c>
      <c r="B1062" s="1" t="n">
        <v>43723</v>
      </c>
      <c r="C1062" s="1" t="n">
        <v>45846</v>
      </c>
      <c r="D1062" t="inlineStr">
        <is>
          <t>UPPSALA LÄN</t>
        </is>
      </c>
      <c r="E1062" t="inlineStr">
        <is>
          <t>ÖSTHAMMAR</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47476-2019</t>
        </is>
      </c>
      <c r="B1063" s="1" t="n">
        <v>43724</v>
      </c>
      <c r="C1063" s="1" t="n">
        <v>45846</v>
      </c>
      <c r="D1063" t="inlineStr">
        <is>
          <t>UPPSALA LÄN</t>
        </is>
      </c>
      <c r="E1063" t="inlineStr">
        <is>
          <t>ENKÖPING</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48086-2019</t>
        </is>
      </c>
      <c r="B1064" s="1" t="n">
        <v>43725</v>
      </c>
      <c r="C1064" s="1" t="n">
        <v>45846</v>
      </c>
      <c r="D1064" t="inlineStr">
        <is>
          <t>UPPSALA LÄN</t>
        </is>
      </c>
      <c r="E1064" t="inlineStr">
        <is>
          <t>HEBY</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48098-2019</t>
        </is>
      </c>
      <c r="B1065" s="1" t="n">
        <v>43725</v>
      </c>
      <c r="C1065" s="1" t="n">
        <v>45846</v>
      </c>
      <c r="D1065" t="inlineStr">
        <is>
          <t>UPPSALA LÄN</t>
        </is>
      </c>
      <c r="E1065" t="inlineStr">
        <is>
          <t>ENKÖPING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48095-2019</t>
        </is>
      </c>
      <c r="B1066" s="1" t="n">
        <v>43725</v>
      </c>
      <c r="C1066" s="1" t="n">
        <v>45846</v>
      </c>
      <c r="D1066" t="inlineStr">
        <is>
          <t>UPPSALA LÄN</t>
        </is>
      </c>
      <c r="E1066" t="inlineStr">
        <is>
          <t>ENKÖPING</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48096-2019</t>
        </is>
      </c>
      <c r="B1067" s="1" t="n">
        <v>43725</v>
      </c>
      <c r="C1067" s="1" t="n">
        <v>45846</v>
      </c>
      <c r="D1067" t="inlineStr">
        <is>
          <t>UPPSALA LÄN</t>
        </is>
      </c>
      <c r="E1067" t="inlineStr">
        <is>
          <t>ENKÖPING</t>
        </is>
      </c>
      <c r="G1067" t="n">
        <v>0.2</v>
      </c>
      <c r="H1067" t="n">
        <v>0</v>
      </c>
      <c r="I1067" t="n">
        <v>0</v>
      </c>
      <c r="J1067" t="n">
        <v>0</v>
      </c>
      <c r="K1067" t="n">
        <v>0</v>
      </c>
      <c r="L1067" t="n">
        <v>0</v>
      </c>
      <c r="M1067" t="n">
        <v>0</v>
      </c>
      <c r="N1067" t="n">
        <v>0</v>
      </c>
      <c r="O1067" t="n">
        <v>0</v>
      </c>
      <c r="P1067" t="n">
        <v>0</v>
      </c>
      <c r="Q1067" t="n">
        <v>0</v>
      </c>
      <c r="R1067" s="2" t="inlineStr"/>
    </row>
    <row r="1068" ht="15" customHeight="1">
      <c r="A1068" t="inlineStr">
        <is>
          <t>A 48515-2019</t>
        </is>
      </c>
      <c r="B1068" s="1" t="n">
        <v>43727</v>
      </c>
      <c r="C1068" s="1" t="n">
        <v>45846</v>
      </c>
      <c r="D1068" t="inlineStr">
        <is>
          <t>UPPSALA LÄN</t>
        </is>
      </c>
      <c r="E1068" t="inlineStr">
        <is>
          <t>ENKÖPING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48485-2019</t>
        </is>
      </c>
      <c r="B1069" s="1" t="n">
        <v>43727</v>
      </c>
      <c r="C1069" s="1" t="n">
        <v>45846</v>
      </c>
      <c r="D1069" t="inlineStr">
        <is>
          <t>UPPSALA LÄN</t>
        </is>
      </c>
      <c r="E1069" t="inlineStr">
        <is>
          <t>UPPSALA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48511-2019</t>
        </is>
      </c>
      <c r="B1070" s="1" t="n">
        <v>43727</v>
      </c>
      <c r="C1070" s="1" t="n">
        <v>45846</v>
      </c>
      <c r="D1070" t="inlineStr">
        <is>
          <t>UPPSALA LÄN</t>
        </is>
      </c>
      <c r="E1070" t="inlineStr">
        <is>
          <t>ENKÖPING</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49567-2019</t>
        </is>
      </c>
      <c r="B1071" s="1" t="n">
        <v>43730</v>
      </c>
      <c r="C1071" s="1" t="n">
        <v>45846</v>
      </c>
      <c r="D1071" t="inlineStr">
        <is>
          <t>UPPSALA LÄN</t>
        </is>
      </c>
      <c r="E1071" t="inlineStr">
        <is>
          <t>UPPSALA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49082-2019</t>
        </is>
      </c>
      <c r="B1072" s="1" t="n">
        <v>43731</v>
      </c>
      <c r="C1072" s="1" t="n">
        <v>45846</v>
      </c>
      <c r="D1072" t="inlineStr">
        <is>
          <t>UPPSALA LÄN</t>
        </is>
      </c>
      <c r="E1072" t="inlineStr">
        <is>
          <t>KNIVSTA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50358-2019</t>
        </is>
      </c>
      <c r="B1073" s="1" t="n">
        <v>43731</v>
      </c>
      <c r="C1073" s="1" t="n">
        <v>45846</v>
      </c>
      <c r="D1073" t="inlineStr">
        <is>
          <t>UPPSALA LÄN</t>
        </is>
      </c>
      <c r="E1073" t="inlineStr">
        <is>
          <t>HEBY</t>
        </is>
      </c>
      <c r="F1073" t="inlineStr">
        <is>
          <t>Bergvik skog väst AB</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50414-2019</t>
        </is>
      </c>
      <c r="B1074" s="1" t="n">
        <v>43731</v>
      </c>
      <c r="C1074" s="1" t="n">
        <v>45846</v>
      </c>
      <c r="D1074" t="inlineStr">
        <is>
          <t>UPPSALA LÄN</t>
        </is>
      </c>
      <c r="E1074" t="inlineStr">
        <is>
          <t>HEBY</t>
        </is>
      </c>
      <c r="F1074" t="inlineStr">
        <is>
          <t>Bergvik skog väst AB</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49568-2019</t>
        </is>
      </c>
      <c r="B1075" s="1" t="n">
        <v>43732</v>
      </c>
      <c r="C1075" s="1" t="n">
        <v>45846</v>
      </c>
      <c r="D1075" t="inlineStr">
        <is>
          <t>UPPSALA LÄN</t>
        </is>
      </c>
      <c r="E1075" t="inlineStr">
        <is>
          <t>HÅBO</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49856-2019</t>
        </is>
      </c>
      <c r="B1076" s="1" t="n">
        <v>43733</v>
      </c>
      <c r="C1076" s="1" t="n">
        <v>45846</v>
      </c>
      <c r="D1076" t="inlineStr">
        <is>
          <t>UPPSALA LÄN</t>
        </is>
      </c>
      <c r="E1076" t="inlineStr">
        <is>
          <t>ENKÖPING</t>
        </is>
      </c>
      <c r="G1076" t="n">
        <v>9.9</v>
      </c>
      <c r="H1076" t="n">
        <v>0</v>
      </c>
      <c r="I1076" t="n">
        <v>0</v>
      </c>
      <c r="J1076" t="n">
        <v>0</v>
      </c>
      <c r="K1076" t="n">
        <v>0</v>
      </c>
      <c r="L1076" t="n">
        <v>0</v>
      </c>
      <c r="M1076" t="n">
        <v>0</v>
      </c>
      <c r="N1076" t="n">
        <v>0</v>
      </c>
      <c r="O1076" t="n">
        <v>0</v>
      </c>
      <c r="P1076" t="n">
        <v>0</v>
      </c>
      <c r="Q1076" t="n">
        <v>0</v>
      </c>
      <c r="R1076" s="2" t="inlineStr"/>
    </row>
    <row r="1077" ht="15" customHeight="1">
      <c r="A1077" t="inlineStr">
        <is>
          <t>A 49877-2019</t>
        </is>
      </c>
      <c r="B1077" s="1" t="n">
        <v>43733</v>
      </c>
      <c r="C1077" s="1" t="n">
        <v>45846</v>
      </c>
      <c r="D1077" t="inlineStr">
        <is>
          <t>UPPSALA LÄN</t>
        </is>
      </c>
      <c r="E1077" t="inlineStr">
        <is>
          <t>TIERP</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50180-2019</t>
        </is>
      </c>
      <c r="B1078" s="1" t="n">
        <v>43733</v>
      </c>
      <c r="C1078" s="1" t="n">
        <v>45846</v>
      </c>
      <c r="D1078" t="inlineStr">
        <is>
          <t>UPPSALA LÄN</t>
        </is>
      </c>
      <c r="E1078" t="inlineStr">
        <is>
          <t>UPPSALA</t>
        </is>
      </c>
      <c r="F1078" t="inlineStr">
        <is>
          <t>Allmännings- och besparingsskogar</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49900-2019</t>
        </is>
      </c>
      <c r="B1079" s="1" t="n">
        <v>43733</v>
      </c>
      <c r="C1079" s="1" t="n">
        <v>45846</v>
      </c>
      <c r="D1079" t="inlineStr">
        <is>
          <t>UPPSALA LÄN</t>
        </is>
      </c>
      <c r="E1079" t="inlineStr">
        <is>
          <t>TIERP</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49941-2019</t>
        </is>
      </c>
      <c r="B1080" s="1" t="n">
        <v>43733</v>
      </c>
      <c r="C1080" s="1" t="n">
        <v>45846</v>
      </c>
      <c r="D1080" t="inlineStr">
        <is>
          <t>UPPSALA LÄN</t>
        </is>
      </c>
      <c r="E1080" t="inlineStr">
        <is>
          <t>ENKÖPING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50156-2019</t>
        </is>
      </c>
      <c r="B1081" s="1" t="n">
        <v>43734</v>
      </c>
      <c r="C1081" s="1" t="n">
        <v>45846</v>
      </c>
      <c r="D1081" t="inlineStr">
        <is>
          <t>UPPSALA LÄN</t>
        </is>
      </c>
      <c r="E1081" t="inlineStr">
        <is>
          <t>TIERP</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50348-2019</t>
        </is>
      </c>
      <c r="B1082" s="1" t="n">
        <v>43735</v>
      </c>
      <c r="C1082" s="1" t="n">
        <v>45846</v>
      </c>
      <c r="D1082" t="inlineStr">
        <is>
          <t>UPPSALA LÄN</t>
        </is>
      </c>
      <c r="E1082" t="inlineStr">
        <is>
          <t>HEBY</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50361-2019</t>
        </is>
      </c>
      <c r="B1083" s="1" t="n">
        <v>43735</v>
      </c>
      <c r="C1083" s="1" t="n">
        <v>45846</v>
      </c>
      <c r="D1083" t="inlineStr">
        <is>
          <t>UPPSALA LÄN</t>
        </is>
      </c>
      <c r="E1083" t="inlineStr">
        <is>
          <t>HEBY</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50346-2019</t>
        </is>
      </c>
      <c r="B1084" s="1" t="n">
        <v>43735</v>
      </c>
      <c r="C1084" s="1" t="n">
        <v>45846</v>
      </c>
      <c r="D1084" t="inlineStr">
        <is>
          <t>UPPSALA LÄN</t>
        </is>
      </c>
      <c r="E1084" t="inlineStr">
        <is>
          <t>HEBY</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50387-2019</t>
        </is>
      </c>
      <c r="B1085" s="1" t="n">
        <v>43735</v>
      </c>
      <c r="C1085" s="1" t="n">
        <v>45846</v>
      </c>
      <c r="D1085" t="inlineStr">
        <is>
          <t>UPPSALA LÄN</t>
        </is>
      </c>
      <c r="E1085" t="inlineStr">
        <is>
          <t>UPPSALA</t>
        </is>
      </c>
      <c r="F1085" t="inlineStr">
        <is>
          <t>Kyrkan</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50415-2019</t>
        </is>
      </c>
      <c r="B1086" s="1" t="n">
        <v>43735</v>
      </c>
      <c r="C1086" s="1" t="n">
        <v>45846</v>
      </c>
      <c r="D1086" t="inlineStr">
        <is>
          <t>UPPSALA LÄN</t>
        </is>
      </c>
      <c r="E1086" t="inlineStr">
        <is>
          <t>UPPSALA</t>
        </is>
      </c>
      <c r="F1086" t="inlineStr">
        <is>
          <t>Kyrkan</t>
        </is>
      </c>
      <c r="G1086" t="n">
        <v>13.6</v>
      </c>
      <c r="H1086" t="n">
        <v>0</v>
      </c>
      <c r="I1086" t="n">
        <v>0</v>
      </c>
      <c r="J1086" t="n">
        <v>0</v>
      </c>
      <c r="K1086" t="n">
        <v>0</v>
      </c>
      <c r="L1086" t="n">
        <v>0</v>
      </c>
      <c r="M1086" t="n">
        <v>0</v>
      </c>
      <c r="N1086" t="n">
        <v>0</v>
      </c>
      <c r="O1086" t="n">
        <v>0</v>
      </c>
      <c r="P1086" t="n">
        <v>0</v>
      </c>
      <c r="Q1086" t="n">
        <v>0</v>
      </c>
      <c r="R1086" s="2" t="inlineStr"/>
    </row>
    <row r="1087" ht="15" customHeight="1">
      <c r="A1087" t="inlineStr">
        <is>
          <t>A 50616-2019</t>
        </is>
      </c>
      <c r="B1087" s="1" t="n">
        <v>43736</v>
      </c>
      <c r="C1087" s="1" t="n">
        <v>45846</v>
      </c>
      <c r="D1087" t="inlineStr">
        <is>
          <t>UPPSALA LÄN</t>
        </is>
      </c>
      <c r="E1087" t="inlineStr">
        <is>
          <t>UPPSALA</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50785-2019</t>
        </is>
      </c>
      <c r="B1088" s="1" t="n">
        <v>43737</v>
      </c>
      <c r="C1088" s="1" t="n">
        <v>45846</v>
      </c>
      <c r="D1088" t="inlineStr">
        <is>
          <t>UPPSALA LÄN</t>
        </is>
      </c>
      <c r="E1088" t="inlineStr">
        <is>
          <t>HEBY</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50858-2019</t>
        </is>
      </c>
      <c r="B1089" s="1" t="n">
        <v>43738</v>
      </c>
      <c r="C1089" s="1" t="n">
        <v>45846</v>
      </c>
      <c r="D1089" t="inlineStr">
        <is>
          <t>UPPSALA LÄN</t>
        </is>
      </c>
      <c r="E1089" t="inlineStr">
        <is>
          <t>TIERP</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50893-2019</t>
        </is>
      </c>
      <c r="B1090" s="1" t="n">
        <v>43738</v>
      </c>
      <c r="C1090" s="1" t="n">
        <v>45846</v>
      </c>
      <c r="D1090" t="inlineStr">
        <is>
          <t>UPPSALA LÄN</t>
        </is>
      </c>
      <c r="E1090" t="inlineStr">
        <is>
          <t>ENKÖPING</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50688-2019</t>
        </is>
      </c>
      <c r="B1091" s="1" t="n">
        <v>43738</v>
      </c>
      <c r="C1091" s="1" t="n">
        <v>45846</v>
      </c>
      <c r="D1091" t="inlineStr">
        <is>
          <t>UPPSALA LÄN</t>
        </is>
      </c>
      <c r="E1091" t="inlineStr">
        <is>
          <t>HEBY</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52516-2019</t>
        </is>
      </c>
      <c r="B1092" s="1" t="n">
        <v>43738</v>
      </c>
      <c r="C1092" s="1" t="n">
        <v>45846</v>
      </c>
      <c r="D1092" t="inlineStr">
        <is>
          <t>UPPSALA LÄN</t>
        </is>
      </c>
      <c r="E1092" t="inlineStr">
        <is>
          <t>ENKÖPING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51025-2019</t>
        </is>
      </c>
      <c r="B1093" s="1" t="n">
        <v>43739</v>
      </c>
      <c r="C1093" s="1" t="n">
        <v>45846</v>
      </c>
      <c r="D1093" t="inlineStr">
        <is>
          <t>UPPSALA LÄN</t>
        </is>
      </c>
      <c r="E1093" t="inlineStr">
        <is>
          <t>ÖSTHAMMAR</t>
        </is>
      </c>
      <c r="F1093" t="inlineStr">
        <is>
          <t>Bergvik skog öst AB</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51488-2019</t>
        </is>
      </c>
      <c r="B1094" s="1" t="n">
        <v>43740</v>
      </c>
      <c r="C1094" s="1" t="n">
        <v>45846</v>
      </c>
      <c r="D1094" t="inlineStr">
        <is>
          <t>UPPSALA LÄN</t>
        </is>
      </c>
      <c r="E1094" t="inlineStr">
        <is>
          <t>TIERP</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53320-2019</t>
        </is>
      </c>
      <c r="B1095" s="1" t="n">
        <v>43740</v>
      </c>
      <c r="C1095" s="1" t="n">
        <v>45846</v>
      </c>
      <c r="D1095" t="inlineStr">
        <is>
          <t>UPPSALA LÄN</t>
        </is>
      </c>
      <c r="E1095" t="inlineStr">
        <is>
          <t>HEBY</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51862-2019</t>
        </is>
      </c>
      <c r="B1096" s="1" t="n">
        <v>43741</v>
      </c>
      <c r="C1096" s="1" t="n">
        <v>45846</v>
      </c>
      <c r="D1096" t="inlineStr">
        <is>
          <t>UPPSALA LÄN</t>
        </is>
      </c>
      <c r="E1096" t="inlineStr">
        <is>
          <t>HEBY</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51782-2019</t>
        </is>
      </c>
      <c r="B1097" s="1" t="n">
        <v>43741</v>
      </c>
      <c r="C1097" s="1" t="n">
        <v>45846</v>
      </c>
      <c r="D1097" t="inlineStr">
        <is>
          <t>UPPSALA LÄN</t>
        </is>
      </c>
      <c r="E1097" t="inlineStr">
        <is>
          <t>ENKÖPING</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51796-2019</t>
        </is>
      </c>
      <c r="B1098" s="1" t="n">
        <v>43741</v>
      </c>
      <c r="C1098" s="1" t="n">
        <v>45846</v>
      </c>
      <c r="D1098" t="inlineStr">
        <is>
          <t>UPPSALA LÄN</t>
        </is>
      </c>
      <c r="E1098" t="inlineStr">
        <is>
          <t>TIERP</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51802-2019</t>
        </is>
      </c>
      <c r="B1099" s="1" t="n">
        <v>43741</v>
      </c>
      <c r="C1099" s="1" t="n">
        <v>45846</v>
      </c>
      <c r="D1099" t="inlineStr">
        <is>
          <t>UPPSALA LÄN</t>
        </is>
      </c>
      <c r="E1099" t="inlineStr">
        <is>
          <t>ENKÖPING</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51836-2019</t>
        </is>
      </c>
      <c r="B1100" s="1" t="n">
        <v>43741</v>
      </c>
      <c r="C1100" s="1" t="n">
        <v>45846</v>
      </c>
      <c r="D1100" t="inlineStr">
        <is>
          <t>UPPSALA LÄN</t>
        </is>
      </c>
      <c r="E1100" t="inlineStr">
        <is>
          <t>ENKÖPING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51805-2019</t>
        </is>
      </c>
      <c r="B1101" s="1" t="n">
        <v>43741</v>
      </c>
      <c r="C1101" s="1" t="n">
        <v>45846</v>
      </c>
      <c r="D1101" t="inlineStr">
        <is>
          <t>UPPSALA LÄN</t>
        </is>
      </c>
      <c r="E1101" t="inlineStr">
        <is>
          <t>ENKÖPING</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51905-2019</t>
        </is>
      </c>
      <c r="B1102" s="1" t="n">
        <v>43741</v>
      </c>
      <c r="C1102" s="1" t="n">
        <v>45846</v>
      </c>
      <c r="D1102" t="inlineStr">
        <is>
          <t>UPPSALA LÄN</t>
        </is>
      </c>
      <c r="E1102" t="inlineStr">
        <is>
          <t>ENKÖPING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51912-2019</t>
        </is>
      </c>
      <c r="B1103" s="1" t="n">
        <v>43741</v>
      </c>
      <c r="C1103" s="1" t="n">
        <v>45846</v>
      </c>
      <c r="D1103" t="inlineStr">
        <is>
          <t>UPPSALA LÄN</t>
        </is>
      </c>
      <c r="E1103" t="inlineStr">
        <is>
          <t>ENKÖPING</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52187-2019</t>
        </is>
      </c>
      <c r="B1104" s="1" t="n">
        <v>43742</v>
      </c>
      <c r="C1104" s="1" t="n">
        <v>45846</v>
      </c>
      <c r="D1104" t="inlineStr">
        <is>
          <t>UPPSALA LÄN</t>
        </is>
      </c>
      <c r="E1104" t="inlineStr">
        <is>
          <t>HEBY</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52386-2019</t>
        </is>
      </c>
      <c r="B1105" s="1" t="n">
        <v>43745</v>
      </c>
      <c r="C1105" s="1" t="n">
        <v>45846</v>
      </c>
      <c r="D1105" t="inlineStr">
        <is>
          <t>UPPSALA LÄN</t>
        </is>
      </c>
      <c r="E1105" t="inlineStr">
        <is>
          <t>UPPSALA</t>
        </is>
      </c>
      <c r="G1105" t="n">
        <v>15.7</v>
      </c>
      <c r="H1105" t="n">
        <v>0</v>
      </c>
      <c r="I1105" t="n">
        <v>0</v>
      </c>
      <c r="J1105" t="n">
        <v>0</v>
      </c>
      <c r="K1105" t="n">
        <v>0</v>
      </c>
      <c r="L1105" t="n">
        <v>0</v>
      </c>
      <c r="M1105" t="n">
        <v>0</v>
      </c>
      <c r="N1105" t="n">
        <v>0</v>
      </c>
      <c r="O1105" t="n">
        <v>0</v>
      </c>
      <c r="P1105" t="n">
        <v>0</v>
      </c>
      <c r="Q1105" t="n">
        <v>0</v>
      </c>
      <c r="R1105" s="2" t="inlineStr"/>
    </row>
    <row r="1106" ht="15" customHeight="1">
      <c r="A1106" t="inlineStr">
        <is>
          <t>A 52524-2019</t>
        </is>
      </c>
      <c r="B1106" s="1" t="n">
        <v>43745</v>
      </c>
      <c r="C1106" s="1" t="n">
        <v>45846</v>
      </c>
      <c r="D1106" t="inlineStr">
        <is>
          <t>UPPSALA LÄN</t>
        </is>
      </c>
      <c r="E1106" t="inlineStr">
        <is>
          <t>ENKÖPING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52394-2019</t>
        </is>
      </c>
      <c r="B1107" s="1" t="n">
        <v>43745</v>
      </c>
      <c r="C1107" s="1" t="n">
        <v>45846</v>
      </c>
      <c r="D1107" t="inlineStr">
        <is>
          <t>UPPSALA LÄN</t>
        </is>
      </c>
      <c r="E1107" t="inlineStr">
        <is>
          <t>ENKÖPING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52419-2019</t>
        </is>
      </c>
      <c r="B1108" s="1" t="n">
        <v>43745</v>
      </c>
      <c r="C1108" s="1" t="n">
        <v>45846</v>
      </c>
      <c r="D1108" t="inlineStr">
        <is>
          <t>UPPSALA LÄN</t>
        </is>
      </c>
      <c r="E1108" t="inlineStr">
        <is>
          <t>UPPSALA</t>
        </is>
      </c>
      <c r="F1108" t="inlineStr">
        <is>
          <t>Allmännings- och besparingsskogar</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54280-2019</t>
        </is>
      </c>
      <c r="B1109" s="1" t="n">
        <v>43745</v>
      </c>
      <c r="C1109" s="1" t="n">
        <v>45846</v>
      </c>
      <c r="D1109" t="inlineStr">
        <is>
          <t>UPPSALA LÄN</t>
        </is>
      </c>
      <c r="E1109" t="inlineStr">
        <is>
          <t>HEBY</t>
        </is>
      </c>
      <c r="F1109" t="inlineStr">
        <is>
          <t>Bergvik skog väst AB</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54258-2019</t>
        </is>
      </c>
      <c r="B1110" s="1" t="n">
        <v>43745</v>
      </c>
      <c r="C1110" s="1" t="n">
        <v>45846</v>
      </c>
      <c r="D1110" t="inlineStr">
        <is>
          <t>UPPSALA LÄN</t>
        </is>
      </c>
      <c r="E1110" t="inlineStr">
        <is>
          <t>HEBY</t>
        </is>
      </c>
      <c r="F1110" t="inlineStr">
        <is>
          <t>Bergvik skog väst AB</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52726-2019</t>
        </is>
      </c>
      <c r="B1111" s="1" t="n">
        <v>43746</v>
      </c>
      <c r="C1111" s="1" t="n">
        <v>45846</v>
      </c>
      <c r="D1111" t="inlineStr">
        <is>
          <t>UPPSALA LÄN</t>
        </is>
      </c>
      <c r="E1111" t="inlineStr">
        <is>
          <t>ENKÖPING</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52831-2019</t>
        </is>
      </c>
      <c r="B1112" s="1" t="n">
        <v>43746</v>
      </c>
      <c r="C1112" s="1" t="n">
        <v>45846</v>
      </c>
      <c r="D1112" t="inlineStr">
        <is>
          <t>UPPSALA LÄN</t>
        </is>
      </c>
      <c r="E1112" t="inlineStr">
        <is>
          <t>TIERP</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52955-2019</t>
        </is>
      </c>
      <c r="B1113" s="1" t="n">
        <v>43747</v>
      </c>
      <c r="C1113" s="1" t="n">
        <v>45846</v>
      </c>
      <c r="D1113" t="inlineStr">
        <is>
          <t>UPPSALA LÄN</t>
        </is>
      </c>
      <c r="E1113" t="inlineStr">
        <is>
          <t>TIERP</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52950-2019</t>
        </is>
      </c>
      <c r="B1114" s="1" t="n">
        <v>43747</v>
      </c>
      <c r="C1114" s="1" t="n">
        <v>45846</v>
      </c>
      <c r="D1114" t="inlineStr">
        <is>
          <t>UPPSALA LÄN</t>
        </is>
      </c>
      <c r="E1114" t="inlineStr">
        <is>
          <t>UPPSALA</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53303-2019</t>
        </is>
      </c>
      <c r="B1115" s="1" t="n">
        <v>43747</v>
      </c>
      <c r="C1115" s="1" t="n">
        <v>45846</v>
      </c>
      <c r="D1115" t="inlineStr">
        <is>
          <t>UPPSALA LÄN</t>
        </is>
      </c>
      <c r="E1115" t="inlineStr">
        <is>
          <t>UPPSALA</t>
        </is>
      </c>
      <c r="F1115" t="inlineStr">
        <is>
          <t>Allmännings- och besparingsskogar</t>
        </is>
      </c>
      <c r="G1115" t="n">
        <v>17.5</v>
      </c>
      <c r="H1115" t="n">
        <v>0</v>
      </c>
      <c r="I1115" t="n">
        <v>0</v>
      </c>
      <c r="J1115" t="n">
        <v>0</v>
      </c>
      <c r="K1115" t="n">
        <v>0</v>
      </c>
      <c r="L1115" t="n">
        <v>0</v>
      </c>
      <c r="M1115" t="n">
        <v>0</v>
      </c>
      <c r="N1115" t="n">
        <v>0</v>
      </c>
      <c r="O1115" t="n">
        <v>0</v>
      </c>
      <c r="P1115" t="n">
        <v>0</v>
      </c>
      <c r="Q1115" t="n">
        <v>0</v>
      </c>
      <c r="R1115" s="2" t="inlineStr"/>
    </row>
    <row r="1116" ht="15" customHeight="1">
      <c r="A1116" t="inlineStr">
        <is>
          <t>A 54479-2019</t>
        </is>
      </c>
      <c r="B1116" s="1" t="n">
        <v>43747</v>
      </c>
      <c r="C1116" s="1" t="n">
        <v>45846</v>
      </c>
      <c r="D1116" t="inlineStr">
        <is>
          <t>UPPSALA LÄN</t>
        </is>
      </c>
      <c r="E1116" t="inlineStr">
        <is>
          <t>HEBY</t>
        </is>
      </c>
      <c r="F1116" t="inlineStr">
        <is>
          <t>Bergvik skog väst AB</t>
        </is>
      </c>
      <c r="G1116" t="n">
        <v>7.4</v>
      </c>
      <c r="H1116" t="n">
        <v>0</v>
      </c>
      <c r="I1116" t="n">
        <v>0</v>
      </c>
      <c r="J1116" t="n">
        <v>0</v>
      </c>
      <c r="K1116" t="n">
        <v>0</v>
      </c>
      <c r="L1116" t="n">
        <v>0</v>
      </c>
      <c r="M1116" t="n">
        <v>0</v>
      </c>
      <c r="N1116" t="n">
        <v>0</v>
      </c>
      <c r="O1116" t="n">
        <v>0</v>
      </c>
      <c r="P1116" t="n">
        <v>0</v>
      </c>
      <c r="Q1116" t="n">
        <v>0</v>
      </c>
      <c r="R1116" s="2" t="inlineStr"/>
    </row>
    <row r="1117" ht="15" customHeight="1">
      <c r="A1117" t="inlineStr">
        <is>
          <t>A 53316-2019</t>
        </is>
      </c>
      <c r="B1117" s="1" t="n">
        <v>43748</v>
      </c>
      <c r="C1117" s="1" t="n">
        <v>45846</v>
      </c>
      <c r="D1117" t="inlineStr">
        <is>
          <t>UPPSALA LÄN</t>
        </is>
      </c>
      <c r="E1117" t="inlineStr">
        <is>
          <t>UPPSALA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53442-2019</t>
        </is>
      </c>
      <c r="B1118" s="1" t="n">
        <v>43748</v>
      </c>
      <c r="C1118" s="1" t="n">
        <v>45846</v>
      </c>
      <c r="D1118" t="inlineStr">
        <is>
          <t>UPPSALA LÄN</t>
        </is>
      </c>
      <c r="E1118" t="inlineStr">
        <is>
          <t>ÖSTHAMMAR</t>
        </is>
      </c>
      <c r="F1118" t="inlineStr">
        <is>
          <t>Bergvik skog öst AB</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53733-2019</t>
        </is>
      </c>
      <c r="B1119" s="1" t="n">
        <v>43749</v>
      </c>
      <c r="C1119" s="1" t="n">
        <v>45846</v>
      </c>
      <c r="D1119" t="inlineStr">
        <is>
          <t>UPPSALA LÄN</t>
        </is>
      </c>
      <c r="E1119" t="inlineStr">
        <is>
          <t>HEBY</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53738-2019</t>
        </is>
      </c>
      <c r="B1120" s="1" t="n">
        <v>43749</v>
      </c>
      <c r="C1120" s="1" t="n">
        <v>45846</v>
      </c>
      <c r="D1120" t="inlineStr">
        <is>
          <t>UPPSALA LÄN</t>
        </is>
      </c>
      <c r="E1120" t="inlineStr">
        <is>
          <t>HEBY</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53840-2019</t>
        </is>
      </c>
      <c r="B1121" s="1" t="n">
        <v>43752</v>
      </c>
      <c r="C1121" s="1" t="n">
        <v>45846</v>
      </c>
      <c r="D1121" t="inlineStr">
        <is>
          <t>UPPSALA LÄN</t>
        </is>
      </c>
      <c r="E1121" t="inlineStr">
        <is>
          <t>ENKÖPING</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55369-2019</t>
        </is>
      </c>
      <c r="B1122" s="1" t="n">
        <v>43754</v>
      </c>
      <c r="C1122" s="1" t="n">
        <v>45846</v>
      </c>
      <c r="D1122" t="inlineStr">
        <is>
          <t>UPPSALA LÄN</t>
        </is>
      </c>
      <c r="E1122" t="inlineStr">
        <is>
          <t>HEBY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54757-2019</t>
        </is>
      </c>
      <c r="B1123" s="1" t="n">
        <v>43755</v>
      </c>
      <c r="C1123" s="1" t="n">
        <v>45846</v>
      </c>
      <c r="D1123" t="inlineStr">
        <is>
          <t>UPPSALA LÄN</t>
        </is>
      </c>
      <c r="E1123" t="inlineStr">
        <is>
          <t>UPPSALA</t>
        </is>
      </c>
      <c r="F1123" t="inlineStr">
        <is>
          <t>Övriga statliga verk och myndigheter</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55382-2019</t>
        </is>
      </c>
      <c r="B1124" s="1" t="n">
        <v>43755</v>
      </c>
      <c r="C1124" s="1" t="n">
        <v>45846</v>
      </c>
      <c r="D1124" t="inlineStr">
        <is>
          <t>UPPSALA LÄN</t>
        </is>
      </c>
      <c r="E1124" t="inlineStr">
        <is>
          <t>ÖSTHAMMAR</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55170-2019</t>
        </is>
      </c>
      <c r="B1125" s="1" t="n">
        <v>43756</v>
      </c>
      <c r="C1125" s="1" t="n">
        <v>45846</v>
      </c>
      <c r="D1125" t="inlineStr">
        <is>
          <t>UPPSALA LÄN</t>
        </is>
      </c>
      <c r="E1125" t="inlineStr">
        <is>
          <t>KNIVSTA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56380-2019</t>
        </is>
      </c>
      <c r="B1126" s="1" t="n">
        <v>43756</v>
      </c>
      <c r="C1126" s="1" t="n">
        <v>45846</v>
      </c>
      <c r="D1126" t="inlineStr">
        <is>
          <t>UPPSALA LÄN</t>
        </is>
      </c>
      <c r="E1126" t="inlineStr">
        <is>
          <t>TIERP</t>
        </is>
      </c>
      <c r="F1126" t="inlineStr">
        <is>
          <t>Bergvik skog väst AB</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56153-2019</t>
        </is>
      </c>
      <c r="B1127" s="1" t="n">
        <v>43756</v>
      </c>
      <c r="C1127" s="1" t="n">
        <v>45846</v>
      </c>
      <c r="D1127" t="inlineStr">
        <is>
          <t>UPPSALA LÄN</t>
        </is>
      </c>
      <c r="E1127" t="inlineStr">
        <is>
          <t>ENKÖPING</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55516-2019</t>
        </is>
      </c>
      <c r="B1128" s="1" t="n">
        <v>43759</v>
      </c>
      <c r="C1128" s="1" t="n">
        <v>45846</v>
      </c>
      <c r="D1128" t="inlineStr">
        <is>
          <t>UPPSALA LÄN</t>
        </is>
      </c>
      <c r="E1128" t="inlineStr">
        <is>
          <t>ENKÖPING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55872-2019</t>
        </is>
      </c>
      <c r="B1129" s="1" t="n">
        <v>43759</v>
      </c>
      <c r="C1129" s="1" t="n">
        <v>45846</v>
      </c>
      <c r="D1129" t="inlineStr">
        <is>
          <t>UPPSALA LÄN</t>
        </is>
      </c>
      <c r="E1129" t="inlineStr">
        <is>
          <t>ENKÖPING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55876-2019</t>
        </is>
      </c>
      <c r="B1130" s="1" t="n">
        <v>43759</v>
      </c>
      <c r="C1130" s="1" t="n">
        <v>45846</v>
      </c>
      <c r="D1130" t="inlineStr">
        <is>
          <t>UPPSALA LÄN</t>
        </is>
      </c>
      <c r="E1130" t="inlineStr">
        <is>
          <t>HÅBO</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55512-2019</t>
        </is>
      </c>
      <c r="B1131" s="1" t="n">
        <v>43759</v>
      </c>
      <c r="C1131" s="1" t="n">
        <v>45846</v>
      </c>
      <c r="D1131" t="inlineStr">
        <is>
          <t>UPPSALA LÄN</t>
        </is>
      </c>
      <c r="E1131" t="inlineStr">
        <is>
          <t>ENKÖPING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56041-2019</t>
        </is>
      </c>
      <c r="B1132" s="1" t="n">
        <v>43759</v>
      </c>
      <c r="C1132" s="1" t="n">
        <v>45846</v>
      </c>
      <c r="D1132" t="inlineStr">
        <is>
          <t>UPPSALA LÄN</t>
        </is>
      </c>
      <c r="E1132" t="inlineStr">
        <is>
          <t>UPPSALA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55944-2019</t>
        </is>
      </c>
      <c r="B1133" s="1" t="n">
        <v>43761</v>
      </c>
      <c r="C1133" s="1" t="n">
        <v>45846</v>
      </c>
      <c r="D1133" t="inlineStr">
        <is>
          <t>UPPSALA LÄN</t>
        </is>
      </c>
      <c r="E1133" t="inlineStr">
        <is>
          <t>TIERP</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57686-2019</t>
        </is>
      </c>
      <c r="B1134" s="1" t="n">
        <v>43761</v>
      </c>
      <c r="C1134" s="1" t="n">
        <v>45846</v>
      </c>
      <c r="D1134" t="inlineStr">
        <is>
          <t>UPPSALA LÄN</t>
        </is>
      </c>
      <c r="E1134" t="inlineStr">
        <is>
          <t>ÖSTHAMMAR</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56309-2019</t>
        </is>
      </c>
      <c r="B1135" s="1" t="n">
        <v>43762</v>
      </c>
      <c r="C1135" s="1" t="n">
        <v>45846</v>
      </c>
      <c r="D1135" t="inlineStr">
        <is>
          <t>UPPSALA LÄN</t>
        </is>
      </c>
      <c r="E1135" t="inlineStr">
        <is>
          <t>ENKÖPING</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56634-2019</t>
        </is>
      </c>
      <c r="B1136" s="1" t="n">
        <v>43763</v>
      </c>
      <c r="C1136" s="1" t="n">
        <v>45846</v>
      </c>
      <c r="D1136" t="inlineStr">
        <is>
          <t>UPPSALA LÄN</t>
        </is>
      </c>
      <c r="E1136" t="inlineStr">
        <is>
          <t>UPPSALA</t>
        </is>
      </c>
      <c r="F1136" t="inlineStr">
        <is>
          <t>Övriga Aktiebolag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56932-2019</t>
        </is>
      </c>
      <c r="B1137" s="1" t="n">
        <v>43766</v>
      </c>
      <c r="C1137" s="1" t="n">
        <v>45846</v>
      </c>
      <c r="D1137" t="inlineStr">
        <is>
          <t>UPPSALA LÄN</t>
        </is>
      </c>
      <c r="E1137" t="inlineStr">
        <is>
          <t>ENKÖPING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56910-2019</t>
        </is>
      </c>
      <c r="B1138" s="1" t="n">
        <v>43766</v>
      </c>
      <c r="C1138" s="1" t="n">
        <v>45846</v>
      </c>
      <c r="D1138" t="inlineStr">
        <is>
          <t>UPPSALA LÄN</t>
        </is>
      </c>
      <c r="E1138" t="inlineStr">
        <is>
          <t>ENKÖPING</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57023-2019</t>
        </is>
      </c>
      <c r="B1139" s="1" t="n">
        <v>43766</v>
      </c>
      <c r="C1139" s="1" t="n">
        <v>45846</v>
      </c>
      <c r="D1139" t="inlineStr">
        <is>
          <t>UPPSALA LÄN</t>
        </is>
      </c>
      <c r="E1139" t="inlineStr">
        <is>
          <t>HEBY</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57066-2019</t>
        </is>
      </c>
      <c r="B1140" s="1" t="n">
        <v>43766</v>
      </c>
      <c r="C1140" s="1" t="n">
        <v>45846</v>
      </c>
      <c r="D1140" t="inlineStr">
        <is>
          <t>UPPSALA LÄN</t>
        </is>
      </c>
      <c r="E1140" t="inlineStr">
        <is>
          <t>ENKÖPING</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56897-2019</t>
        </is>
      </c>
      <c r="B1141" s="1" t="n">
        <v>43766</v>
      </c>
      <c r="C1141" s="1" t="n">
        <v>45846</v>
      </c>
      <c r="D1141" t="inlineStr">
        <is>
          <t>UPPSALA LÄN</t>
        </is>
      </c>
      <c r="E1141" t="inlineStr">
        <is>
          <t>ENKÖPING</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57126-2019</t>
        </is>
      </c>
      <c r="B1142" s="1" t="n">
        <v>43766</v>
      </c>
      <c r="C1142" s="1" t="n">
        <v>45846</v>
      </c>
      <c r="D1142" t="inlineStr">
        <is>
          <t>UPPSALA LÄN</t>
        </is>
      </c>
      <c r="E1142" t="inlineStr">
        <is>
          <t>ENKÖPING</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57134-2019</t>
        </is>
      </c>
      <c r="B1143" s="1" t="n">
        <v>43766</v>
      </c>
      <c r="C1143" s="1" t="n">
        <v>45846</v>
      </c>
      <c r="D1143" t="inlineStr">
        <is>
          <t>UPPSALA LÄN</t>
        </is>
      </c>
      <c r="E1143" t="inlineStr">
        <is>
          <t>HEBY</t>
        </is>
      </c>
      <c r="G1143" t="n">
        <v>6.9</v>
      </c>
      <c r="H1143" t="n">
        <v>0</v>
      </c>
      <c r="I1143" t="n">
        <v>0</v>
      </c>
      <c r="J1143" t="n">
        <v>0</v>
      </c>
      <c r="K1143" t="n">
        <v>0</v>
      </c>
      <c r="L1143" t="n">
        <v>0</v>
      </c>
      <c r="M1143" t="n">
        <v>0</v>
      </c>
      <c r="N1143" t="n">
        <v>0</v>
      </c>
      <c r="O1143" t="n">
        <v>0</v>
      </c>
      <c r="P1143" t="n">
        <v>0</v>
      </c>
      <c r="Q1143" t="n">
        <v>0</v>
      </c>
      <c r="R1143" s="2" t="inlineStr"/>
      <c r="U1143">
        <f>HYPERLINK("https://klasma.github.io/Logging_0331/knärot/A 57134-2019 karta knärot.png", "A 57134-2019")</f>
        <v/>
      </c>
      <c r="V1143">
        <f>HYPERLINK("https://klasma.github.io/Logging_0331/klagomål/A 57134-2019 FSC-klagomål.docx", "A 57134-2019")</f>
        <v/>
      </c>
      <c r="W1143">
        <f>HYPERLINK("https://klasma.github.io/Logging_0331/klagomålsmail/A 57134-2019 FSC-klagomål mail.docx", "A 57134-2019")</f>
        <v/>
      </c>
      <c r="X1143">
        <f>HYPERLINK("https://klasma.github.io/Logging_0331/tillsyn/A 57134-2019 tillsynsbegäran.docx", "A 57134-2019")</f>
        <v/>
      </c>
      <c r="Y1143">
        <f>HYPERLINK("https://klasma.github.io/Logging_0331/tillsynsmail/A 57134-2019 tillsynsbegäran mail.docx", "A 57134-2019")</f>
        <v/>
      </c>
    </row>
    <row r="1144" ht="15" customHeight="1">
      <c r="A1144" t="inlineStr">
        <is>
          <t>A 57304-2019</t>
        </is>
      </c>
      <c r="B1144" s="1" t="n">
        <v>43767</v>
      </c>
      <c r="C1144" s="1" t="n">
        <v>45846</v>
      </c>
      <c r="D1144" t="inlineStr">
        <is>
          <t>UPPSALA LÄN</t>
        </is>
      </c>
      <c r="E1144" t="inlineStr">
        <is>
          <t>ÖSTHAMMAR</t>
        </is>
      </c>
      <c r="F1144" t="inlineStr">
        <is>
          <t>Bergvik skog öst AB</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57813-2019</t>
        </is>
      </c>
      <c r="B1145" s="1" t="n">
        <v>43768</v>
      </c>
      <c r="C1145" s="1" t="n">
        <v>45846</v>
      </c>
      <c r="D1145" t="inlineStr">
        <is>
          <t>UPPSALA LÄN</t>
        </is>
      </c>
      <c r="E1145" t="inlineStr">
        <is>
          <t>ENKÖPING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57792-2019</t>
        </is>
      </c>
      <c r="B1146" s="1" t="n">
        <v>43768</v>
      </c>
      <c r="C1146" s="1" t="n">
        <v>45846</v>
      </c>
      <c r="D1146" t="inlineStr">
        <is>
          <t>UPPSALA LÄN</t>
        </is>
      </c>
      <c r="E1146" t="inlineStr">
        <is>
          <t>HEBY</t>
        </is>
      </c>
      <c r="G1146" t="n">
        <v>6.7</v>
      </c>
      <c r="H1146" t="n">
        <v>0</v>
      </c>
      <c r="I1146" t="n">
        <v>0</v>
      </c>
      <c r="J1146" t="n">
        <v>0</v>
      </c>
      <c r="K1146" t="n">
        <v>0</v>
      </c>
      <c r="L1146" t="n">
        <v>0</v>
      </c>
      <c r="M1146" t="n">
        <v>0</v>
      </c>
      <c r="N1146" t="n">
        <v>0</v>
      </c>
      <c r="O1146" t="n">
        <v>0</v>
      </c>
      <c r="P1146" t="n">
        <v>0</v>
      </c>
      <c r="Q1146" t="n">
        <v>0</v>
      </c>
      <c r="R1146" s="2" t="inlineStr"/>
    </row>
    <row r="1147" ht="15" customHeight="1">
      <c r="A1147" t="inlineStr">
        <is>
          <t>A 57821-2019</t>
        </is>
      </c>
      <c r="B1147" s="1" t="n">
        <v>43768</v>
      </c>
      <c r="C1147" s="1" t="n">
        <v>45846</v>
      </c>
      <c r="D1147" t="inlineStr">
        <is>
          <t>UPPSALA LÄN</t>
        </is>
      </c>
      <c r="E1147" t="inlineStr">
        <is>
          <t>ENKÖPING</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57820-2019</t>
        </is>
      </c>
      <c r="B1148" s="1" t="n">
        <v>43768</v>
      </c>
      <c r="C1148" s="1" t="n">
        <v>45846</v>
      </c>
      <c r="D1148" t="inlineStr">
        <is>
          <t>UPPSALA LÄN</t>
        </is>
      </c>
      <c r="E1148" t="inlineStr">
        <is>
          <t>ENKÖPING</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57745-2019</t>
        </is>
      </c>
      <c r="B1149" s="1" t="n">
        <v>43768</v>
      </c>
      <c r="C1149" s="1" t="n">
        <v>45846</v>
      </c>
      <c r="D1149" t="inlineStr">
        <is>
          <t>UPPSALA LÄN</t>
        </is>
      </c>
      <c r="E1149" t="inlineStr">
        <is>
          <t>ÄLVKARLEBY</t>
        </is>
      </c>
      <c r="F1149" t="inlineStr">
        <is>
          <t>Bergvik skog väst AB</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58146-2019</t>
        </is>
      </c>
      <c r="B1150" s="1" t="n">
        <v>43769</v>
      </c>
      <c r="C1150" s="1" t="n">
        <v>45846</v>
      </c>
      <c r="D1150" t="inlineStr">
        <is>
          <t>UPPSALA LÄN</t>
        </is>
      </c>
      <c r="E1150" t="inlineStr">
        <is>
          <t>KNIVSTA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59227-2019</t>
        </is>
      </c>
      <c r="B1151" s="1" t="n">
        <v>43770</v>
      </c>
      <c r="C1151" s="1" t="n">
        <v>45846</v>
      </c>
      <c r="D1151" t="inlineStr">
        <is>
          <t>UPPSALA LÄN</t>
        </is>
      </c>
      <c r="E1151" t="inlineStr">
        <is>
          <t>TIERP</t>
        </is>
      </c>
      <c r="F1151" t="inlineStr">
        <is>
          <t>Bergvik skog väst AB</t>
        </is>
      </c>
      <c r="G1151" t="n">
        <v>8.4</v>
      </c>
      <c r="H1151" t="n">
        <v>0</v>
      </c>
      <c r="I1151" t="n">
        <v>0</v>
      </c>
      <c r="J1151" t="n">
        <v>0</v>
      </c>
      <c r="K1151" t="n">
        <v>0</v>
      </c>
      <c r="L1151" t="n">
        <v>0</v>
      </c>
      <c r="M1151" t="n">
        <v>0</v>
      </c>
      <c r="N1151" t="n">
        <v>0</v>
      </c>
      <c r="O1151" t="n">
        <v>0</v>
      </c>
      <c r="P1151" t="n">
        <v>0</v>
      </c>
      <c r="Q1151" t="n">
        <v>0</v>
      </c>
      <c r="R1151" s="2" t="inlineStr"/>
    </row>
    <row r="1152" ht="15" customHeight="1">
      <c r="A1152" t="inlineStr">
        <is>
          <t>A 58276-2019</t>
        </is>
      </c>
      <c r="B1152" s="1" t="n">
        <v>43770</v>
      </c>
      <c r="C1152" s="1" t="n">
        <v>45846</v>
      </c>
      <c r="D1152" t="inlineStr">
        <is>
          <t>UPPSALA LÄN</t>
        </is>
      </c>
      <c r="E1152" t="inlineStr">
        <is>
          <t>TIERP</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58491-2019</t>
        </is>
      </c>
      <c r="B1153" s="1" t="n">
        <v>43773</v>
      </c>
      <c r="C1153" s="1" t="n">
        <v>45846</v>
      </c>
      <c r="D1153" t="inlineStr">
        <is>
          <t>UPPSALA LÄN</t>
        </is>
      </c>
      <c r="E1153" t="inlineStr">
        <is>
          <t>ENKÖPING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58445-2019</t>
        </is>
      </c>
      <c r="B1154" s="1" t="n">
        <v>43773</v>
      </c>
      <c r="C1154" s="1" t="n">
        <v>45846</v>
      </c>
      <c r="D1154" t="inlineStr">
        <is>
          <t>UPPSALA LÄN</t>
        </is>
      </c>
      <c r="E1154" t="inlineStr">
        <is>
          <t>UPPSALA</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58527-2019</t>
        </is>
      </c>
      <c r="B1155" s="1" t="n">
        <v>43773</v>
      </c>
      <c r="C1155" s="1" t="n">
        <v>45846</v>
      </c>
      <c r="D1155" t="inlineStr">
        <is>
          <t>UPPSALA LÄN</t>
        </is>
      </c>
      <c r="E1155" t="inlineStr">
        <is>
          <t>UPPSALA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58558-2019</t>
        </is>
      </c>
      <c r="B1156" s="1" t="n">
        <v>43773</v>
      </c>
      <c r="C1156" s="1" t="n">
        <v>45846</v>
      </c>
      <c r="D1156" t="inlineStr">
        <is>
          <t>UPPSALA LÄN</t>
        </is>
      </c>
      <c r="E1156" t="inlineStr">
        <is>
          <t>ENKÖPING</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58903-2019</t>
        </is>
      </c>
      <c r="B1157" s="1" t="n">
        <v>43773</v>
      </c>
      <c r="C1157" s="1" t="n">
        <v>45846</v>
      </c>
      <c r="D1157" t="inlineStr">
        <is>
          <t>UPPSALA LÄN</t>
        </is>
      </c>
      <c r="E1157" t="inlineStr">
        <is>
          <t>UPPSALA</t>
        </is>
      </c>
      <c r="F1157" t="inlineStr">
        <is>
          <t>Övriga Aktiebolag</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59283-2019</t>
        </is>
      </c>
      <c r="B1158" s="1" t="n">
        <v>43773</v>
      </c>
      <c r="C1158" s="1" t="n">
        <v>45846</v>
      </c>
      <c r="D1158" t="inlineStr">
        <is>
          <t>UPPSALA LÄN</t>
        </is>
      </c>
      <c r="E1158" t="inlineStr">
        <is>
          <t>HÅBO</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58665-2019</t>
        </is>
      </c>
      <c r="B1159" s="1" t="n">
        <v>43773</v>
      </c>
      <c r="C1159" s="1" t="n">
        <v>45846</v>
      </c>
      <c r="D1159" t="inlineStr">
        <is>
          <t>UPPSALA LÄN</t>
        </is>
      </c>
      <c r="E1159" t="inlineStr">
        <is>
          <t>ÖSTHAMMAR</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59058-2019</t>
        </is>
      </c>
      <c r="B1160" s="1" t="n">
        <v>43774</v>
      </c>
      <c r="C1160" s="1" t="n">
        <v>45846</v>
      </c>
      <c r="D1160" t="inlineStr">
        <is>
          <t>UPPSALA LÄN</t>
        </is>
      </c>
      <c r="E1160" t="inlineStr">
        <is>
          <t>TIERP</t>
        </is>
      </c>
      <c r="F1160" t="inlineStr">
        <is>
          <t>Bergvik skog väst AB</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59239-2019</t>
        </is>
      </c>
      <c r="B1161" s="1" t="n">
        <v>43775</v>
      </c>
      <c r="C1161" s="1" t="n">
        <v>45846</v>
      </c>
      <c r="D1161" t="inlineStr">
        <is>
          <t>UPPSALA LÄN</t>
        </is>
      </c>
      <c r="E1161" t="inlineStr">
        <is>
          <t>HEBY</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60054-2019</t>
        </is>
      </c>
      <c r="B1162" s="1" t="n">
        <v>43775</v>
      </c>
      <c r="C1162" s="1" t="n">
        <v>45846</v>
      </c>
      <c r="D1162" t="inlineStr">
        <is>
          <t>UPPSALA LÄN</t>
        </is>
      </c>
      <c r="E1162" t="inlineStr">
        <is>
          <t>ENKÖPING</t>
        </is>
      </c>
      <c r="G1162" t="n">
        <v>18.4</v>
      </c>
      <c r="H1162" t="n">
        <v>0</v>
      </c>
      <c r="I1162" t="n">
        <v>0</v>
      </c>
      <c r="J1162" t="n">
        <v>0</v>
      </c>
      <c r="K1162" t="n">
        <v>0</v>
      </c>
      <c r="L1162" t="n">
        <v>0</v>
      </c>
      <c r="M1162" t="n">
        <v>0</v>
      </c>
      <c r="N1162" t="n">
        <v>0</v>
      </c>
      <c r="O1162" t="n">
        <v>0</v>
      </c>
      <c r="P1162" t="n">
        <v>0</v>
      </c>
      <c r="Q1162" t="n">
        <v>0</v>
      </c>
      <c r="R1162" s="2" t="inlineStr"/>
    </row>
    <row r="1163" ht="15" customHeight="1">
      <c r="A1163" t="inlineStr">
        <is>
          <t>A 59600-2019</t>
        </is>
      </c>
      <c r="B1163" s="1" t="n">
        <v>43776</v>
      </c>
      <c r="C1163" s="1" t="n">
        <v>45846</v>
      </c>
      <c r="D1163" t="inlineStr">
        <is>
          <t>UPPSALA LÄN</t>
        </is>
      </c>
      <c r="E1163" t="inlineStr">
        <is>
          <t>ENKÖPING</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60070-2019</t>
        </is>
      </c>
      <c r="B1164" s="1" t="n">
        <v>43777</v>
      </c>
      <c r="C1164" s="1" t="n">
        <v>45846</v>
      </c>
      <c r="D1164" t="inlineStr">
        <is>
          <t>UPPSALA LÄN</t>
        </is>
      </c>
      <c r="E1164" t="inlineStr">
        <is>
          <t>ENKÖPING</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60011-2019</t>
        </is>
      </c>
      <c r="B1165" s="1" t="n">
        <v>43777</v>
      </c>
      <c r="C1165" s="1" t="n">
        <v>45846</v>
      </c>
      <c r="D1165" t="inlineStr">
        <is>
          <t>UPPSALA LÄN</t>
        </is>
      </c>
      <c r="E1165" t="inlineStr">
        <is>
          <t>UPPSALA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60062-2019</t>
        </is>
      </c>
      <c r="B1166" s="1" t="n">
        <v>43777</v>
      </c>
      <c r="C1166" s="1" t="n">
        <v>45846</v>
      </c>
      <c r="D1166" t="inlineStr">
        <is>
          <t>UPPSALA LÄN</t>
        </is>
      </c>
      <c r="E1166" t="inlineStr">
        <is>
          <t>ENKÖPING</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60159-2019</t>
        </is>
      </c>
      <c r="B1167" s="1" t="n">
        <v>43777</v>
      </c>
      <c r="C1167" s="1" t="n">
        <v>45846</v>
      </c>
      <c r="D1167" t="inlineStr">
        <is>
          <t>UPPSALA LÄN</t>
        </is>
      </c>
      <c r="E1167" t="inlineStr">
        <is>
          <t>UPPSALA</t>
        </is>
      </c>
      <c r="F1167" t="inlineStr">
        <is>
          <t>Övriga Aktiebolag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60230-2019</t>
        </is>
      </c>
      <c r="B1168" s="1" t="n">
        <v>43780</v>
      </c>
      <c r="C1168" s="1" t="n">
        <v>45846</v>
      </c>
      <c r="D1168" t="inlineStr">
        <is>
          <t>UPPSALA LÄN</t>
        </is>
      </c>
      <c r="E1168" t="inlineStr">
        <is>
          <t>TIERP</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60163-2019</t>
        </is>
      </c>
      <c r="B1169" s="1" t="n">
        <v>43780</v>
      </c>
      <c r="C1169" s="1" t="n">
        <v>45846</v>
      </c>
      <c r="D1169" t="inlineStr">
        <is>
          <t>UPPSALA LÄN</t>
        </is>
      </c>
      <c r="E1169" t="inlineStr">
        <is>
          <t>UPPSALA</t>
        </is>
      </c>
      <c r="F1169" t="inlineStr">
        <is>
          <t>Övriga Aktiebolag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60222-2019</t>
        </is>
      </c>
      <c r="B1170" s="1" t="n">
        <v>43780</v>
      </c>
      <c r="C1170" s="1" t="n">
        <v>45846</v>
      </c>
      <c r="D1170" t="inlineStr">
        <is>
          <t>UPPSALA LÄN</t>
        </is>
      </c>
      <c r="E1170" t="inlineStr">
        <is>
          <t>TIERP</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61322-2019</t>
        </is>
      </c>
      <c r="B1171" s="1" t="n">
        <v>43780</v>
      </c>
      <c r="C1171" s="1" t="n">
        <v>45846</v>
      </c>
      <c r="D1171" t="inlineStr">
        <is>
          <t>UPPSALA LÄN</t>
        </is>
      </c>
      <c r="E1171" t="inlineStr">
        <is>
          <t>TIERP</t>
        </is>
      </c>
      <c r="F1171" t="inlineStr">
        <is>
          <t>Bergvik skog väst AB</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60579-2019</t>
        </is>
      </c>
      <c r="B1172" s="1" t="n">
        <v>43780</v>
      </c>
      <c r="C1172" s="1" t="n">
        <v>45846</v>
      </c>
      <c r="D1172" t="inlineStr">
        <is>
          <t>UPPSALA LÄN</t>
        </is>
      </c>
      <c r="E1172" t="inlineStr">
        <is>
          <t>UPPSALA</t>
        </is>
      </c>
      <c r="F1172" t="inlineStr">
        <is>
          <t>Övriga Aktiebolag</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60806-2019</t>
        </is>
      </c>
      <c r="B1173" s="1" t="n">
        <v>43781</v>
      </c>
      <c r="C1173" s="1" t="n">
        <v>45846</v>
      </c>
      <c r="D1173" t="inlineStr">
        <is>
          <t>UPPSALA LÄN</t>
        </is>
      </c>
      <c r="E1173" t="inlineStr">
        <is>
          <t>HEBY</t>
        </is>
      </c>
      <c r="F1173" t="inlineStr">
        <is>
          <t>Allmännings- och besparingsskogar</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60977-2019</t>
        </is>
      </c>
      <c r="B1174" s="1" t="n">
        <v>43782</v>
      </c>
      <c r="C1174" s="1" t="n">
        <v>45846</v>
      </c>
      <c r="D1174" t="inlineStr">
        <is>
          <t>UPPSALA LÄN</t>
        </is>
      </c>
      <c r="E1174" t="inlineStr">
        <is>
          <t>ÖSTHAMMAR</t>
        </is>
      </c>
      <c r="F1174" t="inlineStr">
        <is>
          <t>Bergvik skog öst AB</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61005-2019</t>
        </is>
      </c>
      <c r="B1175" s="1" t="n">
        <v>43782</v>
      </c>
      <c r="C1175" s="1" t="n">
        <v>45846</v>
      </c>
      <c r="D1175" t="inlineStr">
        <is>
          <t>UPPSALA LÄN</t>
        </is>
      </c>
      <c r="E1175" t="inlineStr">
        <is>
          <t>ENKÖPING</t>
        </is>
      </c>
      <c r="G1175" t="n">
        <v>11.8</v>
      </c>
      <c r="H1175" t="n">
        <v>0</v>
      </c>
      <c r="I1175" t="n">
        <v>0</v>
      </c>
      <c r="J1175" t="n">
        <v>0</v>
      </c>
      <c r="K1175" t="n">
        <v>0</v>
      </c>
      <c r="L1175" t="n">
        <v>0</v>
      </c>
      <c r="M1175" t="n">
        <v>0</v>
      </c>
      <c r="N1175" t="n">
        <v>0</v>
      </c>
      <c r="O1175" t="n">
        <v>0</v>
      </c>
      <c r="P1175" t="n">
        <v>0</v>
      </c>
      <c r="Q1175" t="n">
        <v>0</v>
      </c>
      <c r="R1175" s="2" t="inlineStr"/>
    </row>
    <row r="1176" ht="15" customHeight="1">
      <c r="A1176" t="inlineStr">
        <is>
          <t>A 62096-2019</t>
        </is>
      </c>
      <c r="B1176" s="1" t="n">
        <v>43782</v>
      </c>
      <c r="C1176" s="1" t="n">
        <v>45846</v>
      </c>
      <c r="D1176" t="inlineStr">
        <is>
          <t>UPPSALA LÄN</t>
        </is>
      </c>
      <c r="E1176" t="inlineStr">
        <is>
          <t>HEBY</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62308-2019</t>
        </is>
      </c>
      <c r="B1177" s="1" t="n">
        <v>43782</v>
      </c>
      <c r="C1177" s="1" t="n">
        <v>45846</v>
      </c>
      <c r="D1177" t="inlineStr">
        <is>
          <t>UPPSALA LÄN</t>
        </is>
      </c>
      <c r="E1177" t="inlineStr">
        <is>
          <t>UPPSALA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61351-2019</t>
        </is>
      </c>
      <c r="B1178" s="1" t="n">
        <v>43783</v>
      </c>
      <c r="C1178" s="1" t="n">
        <v>45846</v>
      </c>
      <c r="D1178" t="inlineStr">
        <is>
          <t>UPPSALA LÄN</t>
        </is>
      </c>
      <c r="E1178" t="inlineStr">
        <is>
          <t>HEBY</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61395-2019</t>
        </is>
      </c>
      <c r="B1179" s="1" t="n">
        <v>43783</v>
      </c>
      <c r="C1179" s="1" t="n">
        <v>45846</v>
      </c>
      <c r="D1179" t="inlineStr">
        <is>
          <t>UPPSALA LÄN</t>
        </is>
      </c>
      <c r="E1179" t="inlineStr">
        <is>
          <t>HEBY</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61388-2019</t>
        </is>
      </c>
      <c r="B1180" s="1" t="n">
        <v>43783</v>
      </c>
      <c r="C1180" s="1" t="n">
        <v>45846</v>
      </c>
      <c r="D1180" t="inlineStr">
        <is>
          <t>UPPSALA LÄN</t>
        </is>
      </c>
      <c r="E1180" t="inlineStr">
        <is>
          <t>HEBY</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61667-2019</t>
        </is>
      </c>
      <c r="B1181" s="1" t="n">
        <v>43784</v>
      </c>
      <c r="C1181" s="1" t="n">
        <v>45846</v>
      </c>
      <c r="D1181" t="inlineStr">
        <is>
          <t>UPPSALA LÄN</t>
        </is>
      </c>
      <c r="E1181" t="inlineStr">
        <is>
          <t>UPPSALA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61924-2019</t>
        </is>
      </c>
      <c r="B1182" s="1" t="n">
        <v>43787</v>
      </c>
      <c r="C1182" s="1" t="n">
        <v>45846</v>
      </c>
      <c r="D1182" t="inlineStr">
        <is>
          <t>UPPSALA LÄN</t>
        </is>
      </c>
      <c r="E1182" t="inlineStr">
        <is>
          <t>HEBY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61866-2019</t>
        </is>
      </c>
      <c r="B1183" s="1" t="n">
        <v>43787</v>
      </c>
      <c r="C1183" s="1" t="n">
        <v>45846</v>
      </c>
      <c r="D1183" t="inlineStr">
        <is>
          <t>UPPSALA LÄN</t>
        </is>
      </c>
      <c r="E1183" t="inlineStr">
        <is>
          <t>ÖSTHAMMAR</t>
        </is>
      </c>
      <c r="F1183" t="inlineStr">
        <is>
          <t>Bergvik skog öst AB</t>
        </is>
      </c>
      <c r="G1183" t="n">
        <v>6.6</v>
      </c>
      <c r="H1183" t="n">
        <v>0</v>
      </c>
      <c r="I1183" t="n">
        <v>0</v>
      </c>
      <c r="J1183" t="n">
        <v>0</v>
      </c>
      <c r="K1183" t="n">
        <v>0</v>
      </c>
      <c r="L1183" t="n">
        <v>0</v>
      </c>
      <c r="M1183" t="n">
        <v>0</v>
      </c>
      <c r="N1183" t="n">
        <v>0</v>
      </c>
      <c r="O1183" t="n">
        <v>0</v>
      </c>
      <c r="P1183" t="n">
        <v>0</v>
      </c>
      <c r="Q1183" t="n">
        <v>0</v>
      </c>
      <c r="R1183" s="2" t="inlineStr"/>
    </row>
    <row r="1184" ht="15" customHeight="1">
      <c r="A1184" t="inlineStr">
        <is>
          <t>A 62026-2019</t>
        </is>
      </c>
      <c r="B1184" s="1" t="n">
        <v>43787</v>
      </c>
      <c r="C1184" s="1" t="n">
        <v>45846</v>
      </c>
      <c r="D1184" t="inlineStr">
        <is>
          <t>UPPSALA LÄN</t>
        </is>
      </c>
      <c r="E1184" t="inlineStr">
        <is>
          <t>HEBY</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62022-2019</t>
        </is>
      </c>
      <c r="B1185" s="1" t="n">
        <v>43787</v>
      </c>
      <c r="C1185" s="1" t="n">
        <v>45846</v>
      </c>
      <c r="D1185" t="inlineStr">
        <is>
          <t>UPPSALA LÄN</t>
        </is>
      </c>
      <c r="E1185" t="inlineStr">
        <is>
          <t>HEBY</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62808-2019</t>
        </is>
      </c>
      <c r="B1186" s="1" t="n">
        <v>43790</v>
      </c>
      <c r="C1186" s="1" t="n">
        <v>45846</v>
      </c>
      <c r="D1186" t="inlineStr">
        <is>
          <t>UPPSALA LÄN</t>
        </is>
      </c>
      <c r="E1186" t="inlineStr">
        <is>
          <t>ÖSTHAMMAR</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62868-2019</t>
        </is>
      </c>
      <c r="B1187" s="1" t="n">
        <v>43790</v>
      </c>
      <c r="C1187" s="1" t="n">
        <v>45846</v>
      </c>
      <c r="D1187" t="inlineStr">
        <is>
          <t>UPPSALA LÄN</t>
        </is>
      </c>
      <c r="E1187" t="inlineStr">
        <is>
          <t>ENKÖPING</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63145-2019</t>
        </is>
      </c>
      <c r="B1188" s="1" t="n">
        <v>43791</v>
      </c>
      <c r="C1188" s="1" t="n">
        <v>45846</v>
      </c>
      <c r="D1188" t="inlineStr">
        <is>
          <t>UPPSALA LÄN</t>
        </is>
      </c>
      <c r="E1188" t="inlineStr">
        <is>
          <t>UPPSALA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63091-2019</t>
        </is>
      </c>
      <c r="B1189" s="1" t="n">
        <v>43791</v>
      </c>
      <c r="C1189" s="1" t="n">
        <v>45846</v>
      </c>
      <c r="D1189" t="inlineStr">
        <is>
          <t>UPPSALA LÄN</t>
        </is>
      </c>
      <c r="E1189" t="inlineStr">
        <is>
          <t>UPPSALA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63099-2019</t>
        </is>
      </c>
      <c r="B1190" s="1" t="n">
        <v>43791</v>
      </c>
      <c r="C1190" s="1" t="n">
        <v>45846</v>
      </c>
      <c r="D1190" t="inlineStr">
        <is>
          <t>UPPSALA LÄN</t>
        </is>
      </c>
      <c r="E1190" t="inlineStr">
        <is>
          <t>UPPSALA</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63118-2019</t>
        </is>
      </c>
      <c r="B1191" s="1" t="n">
        <v>43791</v>
      </c>
      <c r="C1191" s="1" t="n">
        <v>45846</v>
      </c>
      <c r="D1191" t="inlineStr">
        <is>
          <t>UPPSALA LÄN</t>
        </is>
      </c>
      <c r="E1191" t="inlineStr">
        <is>
          <t>UPPSALA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63376-2019</t>
        </is>
      </c>
      <c r="B1192" s="1" t="n">
        <v>43794</v>
      </c>
      <c r="C1192" s="1" t="n">
        <v>45846</v>
      </c>
      <c r="D1192" t="inlineStr">
        <is>
          <t>UPPSALA LÄN</t>
        </is>
      </c>
      <c r="E1192" t="inlineStr">
        <is>
          <t>HEBY</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63589-2019</t>
        </is>
      </c>
      <c r="B1193" s="1" t="n">
        <v>43795</v>
      </c>
      <c r="C1193" s="1" t="n">
        <v>45846</v>
      </c>
      <c r="D1193" t="inlineStr">
        <is>
          <t>UPPSALA LÄN</t>
        </is>
      </c>
      <c r="E1193" t="inlineStr">
        <is>
          <t>UPPSALA</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63564-2019</t>
        </is>
      </c>
      <c r="B1194" s="1" t="n">
        <v>43795</v>
      </c>
      <c r="C1194" s="1" t="n">
        <v>45846</v>
      </c>
      <c r="D1194" t="inlineStr">
        <is>
          <t>UPPSALA LÄN</t>
        </is>
      </c>
      <c r="E1194" t="inlineStr">
        <is>
          <t>ÖSTHAMMAR</t>
        </is>
      </c>
      <c r="F1194" t="inlineStr">
        <is>
          <t>Övriga Aktiebolag</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63769-2019</t>
        </is>
      </c>
      <c r="B1195" s="1" t="n">
        <v>43795</v>
      </c>
      <c r="C1195" s="1" t="n">
        <v>45846</v>
      </c>
      <c r="D1195" t="inlineStr">
        <is>
          <t>UPPSALA LÄN</t>
        </is>
      </c>
      <c r="E1195" t="inlineStr">
        <is>
          <t>TIERP</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63757-2019</t>
        </is>
      </c>
      <c r="B1196" s="1" t="n">
        <v>43795</v>
      </c>
      <c r="C1196" s="1" t="n">
        <v>45846</v>
      </c>
      <c r="D1196" t="inlineStr">
        <is>
          <t>UPPSALA LÄN</t>
        </is>
      </c>
      <c r="E1196" t="inlineStr">
        <is>
          <t>UPPSALA</t>
        </is>
      </c>
      <c r="G1196" t="n">
        <v>6.9</v>
      </c>
      <c r="H1196" t="n">
        <v>0</v>
      </c>
      <c r="I1196" t="n">
        <v>0</v>
      </c>
      <c r="J1196" t="n">
        <v>0</v>
      </c>
      <c r="K1196" t="n">
        <v>0</v>
      </c>
      <c r="L1196" t="n">
        <v>0</v>
      </c>
      <c r="M1196" t="n">
        <v>0</v>
      </c>
      <c r="N1196" t="n">
        <v>0</v>
      </c>
      <c r="O1196" t="n">
        <v>0</v>
      </c>
      <c r="P1196" t="n">
        <v>0</v>
      </c>
      <c r="Q1196" t="n">
        <v>0</v>
      </c>
      <c r="R1196" s="2" t="inlineStr"/>
    </row>
    <row r="1197" ht="15" customHeight="1">
      <c r="A1197" t="inlineStr">
        <is>
          <t>A 63756-2019</t>
        </is>
      </c>
      <c r="B1197" s="1" t="n">
        <v>43795</v>
      </c>
      <c r="C1197" s="1" t="n">
        <v>45846</v>
      </c>
      <c r="D1197" t="inlineStr">
        <is>
          <t>UPPSALA LÄN</t>
        </is>
      </c>
      <c r="E1197" t="inlineStr">
        <is>
          <t>UPPSALA</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63872-2019</t>
        </is>
      </c>
      <c r="B1198" s="1" t="n">
        <v>43796</v>
      </c>
      <c r="C1198" s="1" t="n">
        <v>45846</v>
      </c>
      <c r="D1198" t="inlineStr">
        <is>
          <t>UPPSALA LÄN</t>
        </is>
      </c>
      <c r="E1198" t="inlineStr">
        <is>
          <t>TIERP</t>
        </is>
      </c>
      <c r="F1198" t="inlineStr">
        <is>
          <t>Bergvik skog väst AB</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64252-2019</t>
        </is>
      </c>
      <c r="B1199" s="1" t="n">
        <v>43797</v>
      </c>
      <c r="C1199" s="1" t="n">
        <v>45846</v>
      </c>
      <c r="D1199" t="inlineStr">
        <is>
          <t>UPPSALA LÄN</t>
        </is>
      </c>
      <c r="E1199" t="inlineStr">
        <is>
          <t>TIERP</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64250-2019</t>
        </is>
      </c>
      <c r="B1200" s="1" t="n">
        <v>43797</v>
      </c>
      <c r="C1200" s="1" t="n">
        <v>45846</v>
      </c>
      <c r="D1200" t="inlineStr">
        <is>
          <t>UPPSALA LÄN</t>
        </is>
      </c>
      <c r="E1200" t="inlineStr">
        <is>
          <t>HEBY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64271-2019</t>
        </is>
      </c>
      <c r="B1201" s="1" t="n">
        <v>43797</v>
      </c>
      <c r="C1201" s="1" t="n">
        <v>45846</v>
      </c>
      <c r="D1201" t="inlineStr">
        <is>
          <t>UPPSALA LÄN</t>
        </is>
      </c>
      <c r="E1201" t="inlineStr">
        <is>
          <t>TIERP</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64344-2019</t>
        </is>
      </c>
      <c r="B1202" s="1" t="n">
        <v>43797</v>
      </c>
      <c r="C1202" s="1" t="n">
        <v>45846</v>
      </c>
      <c r="D1202" t="inlineStr">
        <is>
          <t>UPPSALA LÄN</t>
        </is>
      </c>
      <c r="E1202" t="inlineStr">
        <is>
          <t>ÖSTHAMMAR</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65903-2019</t>
        </is>
      </c>
      <c r="B1203" s="1" t="n">
        <v>43800</v>
      </c>
      <c r="C1203" s="1" t="n">
        <v>45846</v>
      </c>
      <c r="D1203" t="inlineStr">
        <is>
          <t>UPPSALA LÄN</t>
        </is>
      </c>
      <c r="E1203" t="inlineStr">
        <is>
          <t>KNIVSTA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64836-2019</t>
        </is>
      </c>
      <c r="B1204" s="1" t="n">
        <v>43801</v>
      </c>
      <c r="C1204" s="1" t="n">
        <v>45846</v>
      </c>
      <c r="D1204" t="inlineStr">
        <is>
          <t>UPPSALA LÄN</t>
        </is>
      </c>
      <c r="E1204" t="inlineStr">
        <is>
          <t>UPPSALA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64834-2019</t>
        </is>
      </c>
      <c r="B1205" s="1" t="n">
        <v>43801</v>
      </c>
      <c r="C1205" s="1" t="n">
        <v>45846</v>
      </c>
      <c r="D1205" t="inlineStr">
        <is>
          <t>UPPSALA LÄN</t>
        </is>
      </c>
      <c r="E1205" t="inlineStr">
        <is>
          <t>UPPSALA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64986-2019</t>
        </is>
      </c>
      <c r="B1206" s="1" t="n">
        <v>43801</v>
      </c>
      <c r="C1206" s="1" t="n">
        <v>45846</v>
      </c>
      <c r="D1206" t="inlineStr">
        <is>
          <t>UPPSALA LÄN</t>
        </is>
      </c>
      <c r="E1206" t="inlineStr">
        <is>
          <t>TIERP</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64983-2019</t>
        </is>
      </c>
      <c r="B1207" s="1" t="n">
        <v>43801</v>
      </c>
      <c r="C1207" s="1" t="n">
        <v>45846</v>
      </c>
      <c r="D1207" t="inlineStr">
        <is>
          <t>UPPSALA LÄN</t>
        </is>
      </c>
      <c r="E1207" t="inlineStr">
        <is>
          <t>TIERP</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65087-2019</t>
        </is>
      </c>
      <c r="B1208" s="1" t="n">
        <v>43802</v>
      </c>
      <c r="C1208" s="1" t="n">
        <v>45846</v>
      </c>
      <c r="D1208" t="inlineStr">
        <is>
          <t>UPPSALA LÄN</t>
        </is>
      </c>
      <c r="E1208" t="inlineStr">
        <is>
          <t>TIERP</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65111-2019</t>
        </is>
      </c>
      <c r="B1209" s="1" t="n">
        <v>43802</v>
      </c>
      <c r="C1209" s="1" t="n">
        <v>45846</v>
      </c>
      <c r="D1209" t="inlineStr">
        <is>
          <t>UPPSALA LÄN</t>
        </is>
      </c>
      <c r="E1209" t="inlineStr">
        <is>
          <t>HEBY</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65182-2019</t>
        </is>
      </c>
      <c r="B1210" s="1" t="n">
        <v>43802</v>
      </c>
      <c r="C1210" s="1" t="n">
        <v>45846</v>
      </c>
      <c r="D1210" t="inlineStr">
        <is>
          <t>UPPSALA LÄN</t>
        </is>
      </c>
      <c r="E1210" t="inlineStr">
        <is>
          <t>ENKÖPING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65107-2019</t>
        </is>
      </c>
      <c r="B1211" s="1" t="n">
        <v>43802</v>
      </c>
      <c r="C1211" s="1" t="n">
        <v>45846</v>
      </c>
      <c r="D1211" t="inlineStr">
        <is>
          <t>UPPSALA LÄN</t>
        </is>
      </c>
      <c r="E1211" t="inlineStr">
        <is>
          <t>ÖSTHAMMAR</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65527-2019</t>
        </is>
      </c>
      <c r="B1212" s="1" t="n">
        <v>43803</v>
      </c>
      <c r="C1212" s="1" t="n">
        <v>45846</v>
      </c>
      <c r="D1212" t="inlineStr">
        <is>
          <t>UPPSALA LÄN</t>
        </is>
      </c>
      <c r="E1212" t="inlineStr">
        <is>
          <t>UPPSALA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66556-2019</t>
        </is>
      </c>
      <c r="B1213" s="1" t="n">
        <v>43803</v>
      </c>
      <c r="C1213" s="1" t="n">
        <v>45846</v>
      </c>
      <c r="D1213" t="inlineStr">
        <is>
          <t>UPPSALA LÄN</t>
        </is>
      </c>
      <c r="E1213" t="inlineStr">
        <is>
          <t>ENKÖPING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65668-2019</t>
        </is>
      </c>
      <c r="B1214" s="1" t="n">
        <v>43804</v>
      </c>
      <c r="C1214" s="1" t="n">
        <v>45846</v>
      </c>
      <c r="D1214" t="inlineStr">
        <is>
          <t>UPPSALA LÄN</t>
        </is>
      </c>
      <c r="E1214" t="inlineStr">
        <is>
          <t>UPPSALA</t>
        </is>
      </c>
      <c r="G1214" t="n">
        <v>7.6</v>
      </c>
      <c r="H1214" t="n">
        <v>0</v>
      </c>
      <c r="I1214" t="n">
        <v>0</v>
      </c>
      <c r="J1214" t="n">
        <v>0</v>
      </c>
      <c r="K1214" t="n">
        <v>0</v>
      </c>
      <c r="L1214" t="n">
        <v>0</v>
      </c>
      <c r="M1214" t="n">
        <v>0</v>
      </c>
      <c r="N1214" t="n">
        <v>0</v>
      </c>
      <c r="O1214" t="n">
        <v>0</v>
      </c>
      <c r="P1214" t="n">
        <v>0</v>
      </c>
      <c r="Q1214" t="n">
        <v>0</v>
      </c>
      <c r="R1214" s="2" t="inlineStr"/>
    </row>
    <row r="1215" ht="15" customHeight="1">
      <c r="A1215" t="inlineStr">
        <is>
          <t>A 66125-2019</t>
        </is>
      </c>
      <c r="B1215" s="1" t="n">
        <v>43808</v>
      </c>
      <c r="C1215" s="1" t="n">
        <v>45846</v>
      </c>
      <c r="D1215" t="inlineStr">
        <is>
          <t>UPPSALA LÄN</t>
        </is>
      </c>
      <c r="E1215" t="inlineStr">
        <is>
          <t>HEBY</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66167-2019</t>
        </is>
      </c>
      <c r="B1216" s="1" t="n">
        <v>43808</v>
      </c>
      <c r="C1216" s="1" t="n">
        <v>45846</v>
      </c>
      <c r="D1216" t="inlineStr">
        <is>
          <t>UPPSALA LÄN</t>
        </is>
      </c>
      <c r="E1216" t="inlineStr">
        <is>
          <t>UPPSALA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66270-2019</t>
        </is>
      </c>
      <c r="B1217" s="1" t="n">
        <v>43808</v>
      </c>
      <c r="C1217" s="1" t="n">
        <v>45846</v>
      </c>
      <c r="D1217" t="inlineStr">
        <is>
          <t>UPPSALA LÄN</t>
        </is>
      </c>
      <c r="E1217" t="inlineStr">
        <is>
          <t>UPPSALA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66298-2019</t>
        </is>
      </c>
      <c r="B1218" s="1" t="n">
        <v>43808</v>
      </c>
      <c r="C1218" s="1" t="n">
        <v>45846</v>
      </c>
      <c r="D1218" t="inlineStr">
        <is>
          <t>UPPSALA LÄN</t>
        </is>
      </c>
      <c r="E1218" t="inlineStr">
        <is>
          <t>ENKÖPING</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67647-2019</t>
        </is>
      </c>
      <c r="B1219" s="1" t="n">
        <v>43808</v>
      </c>
      <c r="C1219" s="1" t="n">
        <v>45846</v>
      </c>
      <c r="D1219" t="inlineStr">
        <is>
          <t>UPPSALA LÄN</t>
        </is>
      </c>
      <c r="E1219" t="inlineStr">
        <is>
          <t>ÖSTHAMMAR</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66641-2019</t>
        </is>
      </c>
      <c r="B1220" s="1" t="n">
        <v>43809</v>
      </c>
      <c r="C1220" s="1" t="n">
        <v>45846</v>
      </c>
      <c r="D1220" t="inlineStr">
        <is>
          <t>UPPSALA LÄN</t>
        </is>
      </c>
      <c r="E1220" t="inlineStr">
        <is>
          <t>TIERP</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66640-2019</t>
        </is>
      </c>
      <c r="B1221" s="1" t="n">
        <v>43809</v>
      </c>
      <c r="C1221" s="1" t="n">
        <v>45846</v>
      </c>
      <c r="D1221" t="inlineStr">
        <is>
          <t>UPPSALA LÄN</t>
        </is>
      </c>
      <c r="E1221" t="inlineStr">
        <is>
          <t>TIERP</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66607-2019</t>
        </is>
      </c>
      <c r="B1222" s="1" t="n">
        <v>43809</v>
      </c>
      <c r="C1222" s="1" t="n">
        <v>45846</v>
      </c>
      <c r="D1222" t="inlineStr">
        <is>
          <t>UPPSALA LÄN</t>
        </is>
      </c>
      <c r="E1222" t="inlineStr">
        <is>
          <t>KNIVSTA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66802-2019</t>
        </is>
      </c>
      <c r="B1223" s="1" t="n">
        <v>43810</v>
      </c>
      <c r="C1223" s="1" t="n">
        <v>45846</v>
      </c>
      <c r="D1223" t="inlineStr">
        <is>
          <t>UPPSALA LÄN</t>
        </is>
      </c>
      <c r="E1223" t="inlineStr">
        <is>
          <t>ÖSTHAMMAR</t>
        </is>
      </c>
      <c r="F1223" t="inlineStr">
        <is>
          <t>Bergvik skog öst AB</t>
        </is>
      </c>
      <c r="G1223" t="n">
        <v>34.8</v>
      </c>
      <c r="H1223" t="n">
        <v>0</v>
      </c>
      <c r="I1223" t="n">
        <v>0</v>
      </c>
      <c r="J1223" t="n">
        <v>0</v>
      </c>
      <c r="K1223" t="n">
        <v>0</v>
      </c>
      <c r="L1223" t="n">
        <v>0</v>
      </c>
      <c r="M1223" t="n">
        <v>0</v>
      </c>
      <c r="N1223" t="n">
        <v>0</v>
      </c>
      <c r="O1223" t="n">
        <v>0</v>
      </c>
      <c r="P1223" t="n">
        <v>0</v>
      </c>
      <c r="Q1223" t="n">
        <v>0</v>
      </c>
      <c r="R1223" s="2" t="inlineStr"/>
    </row>
    <row r="1224" ht="15" customHeight="1">
      <c r="A1224" t="inlineStr">
        <is>
          <t>A 67165-2019</t>
        </is>
      </c>
      <c r="B1224" s="1" t="n">
        <v>43811</v>
      </c>
      <c r="C1224" s="1" t="n">
        <v>45846</v>
      </c>
      <c r="D1224" t="inlineStr">
        <is>
          <t>UPPSALA LÄN</t>
        </is>
      </c>
      <c r="E1224" t="inlineStr">
        <is>
          <t>KNIVSTA</t>
        </is>
      </c>
      <c r="G1224" t="n">
        <v>8.9</v>
      </c>
      <c r="H1224" t="n">
        <v>0</v>
      </c>
      <c r="I1224" t="n">
        <v>0</v>
      </c>
      <c r="J1224" t="n">
        <v>0</v>
      </c>
      <c r="K1224" t="n">
        <v>0</v>
      </c>
      <c r="L1224" t="n">
        <v>0</v>
      </c>
      <c r="M1224" t="n">
        <v>0</v>
      </c>
      <c r="N1224" t="n">
        <v>0</v>
      </c>
      <c r="O1224" t="n">
        <v>0</v>
      </c>
      <c r="P1224" t="n">
        <v>0</v>
      </c>
      <c r="Q1224" t="n">
        <v>0</v>
      </c>
      <c r="R1224" s="2" t="inlineStr"/>
    </row>
    <row r="1225" ht="15" customHeight="1">
      <c r="A1225" t="inlineStr">
        <is>
          <t>A 67166-2019</t>
        </is>
      </c>
      <c r="B1225" s="1" t="n">
        <v>43811</v>
      </c>
      <c r="C1225" s="1" t="n">
        <v>45846</v>
      </c>
      <c r="D1225" t="inlineStr">
        <is>
          <t>UPPSALA LÄN</t>
        </is>
      </c>
      <c r="E1225" t="inlineStr">
        <is>
          <t>KNIVSTA</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67190-2019</t>
        </is>
      </c>
      <c r="B1226" s="1" t="n">
        <v>43811</v>
      </c>
      <c r="C1226" s="1" t="n">
        <v>45846</v>
      </c>
      <c r="D1226" t="inlineStr">
        <is>
          <t>UPPSALA LÄN</t>
        </is>
      </c>
      <c r="E1226" t="inlineStr">
        <is>
          <t>ENKÖPING</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67196-2019</t>
        </is>
      </c>
      <c r="B1227" s="1" t="n">
        <v>43811</v>
      </c>
      <c r="C1227" s="1" t="n">
        <v>45846</v>
      </c>
      <c r="D1227" t="inlineStr">
        <is>
          <t>UPPSALA LÄN</t>
        </is>
      </c>
      <c r="E1227" t="inlineStr">
        <is>
          <t>ENKÖPING</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67108-2019</t>
        </is>
      </c>
      <c r="B1228" s="1" t="n">
        <v>43811</v>
      </c>
      <c r="C1228" s="1" t="n">
        <v>45846</v>
      </c>
      <c r="D1228" t="inlineStr">
        <is>
          <t>UPPSALA LÄN</t>
        </is>
      </c>
      <c r="E1228" t="inlineStr">
        <is>
          <t>UPPSALA</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67253-2019</t>
        </is>
      </c>
      <c r="B1229" s="1" t="n">
        <v>43812</v>
      </c>
      <c r="C1229" s="1" t="n">
        <v>45846</v>
      </c>
      <c r="D1229" t="inlineStr">
        <is>
          <t>UPPSALA LÄN</t>
        </is>
      </c>
      <c r="E1229" t="inlineStr">
        <is>
          <t>TIERP</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67281-2019</t>
        </is>
      </c>
      <c r="B1230" s="1" t="n">
        <v>43812</v>
      </c>
      <c r="C1230" s="1" t="n">
        <v>45846</v>
      </c>
      <c r="D1230" t="inlineStr">
        <is>
          <t>UPPSALA LÄN</t>
        </is>
      </c>
      <c r="E1230" t="inlineStr">
        <is>
          <t>UPPSALA</t>
        </is>
      </c>
      <c r="F1230" t="inlineStr">
        <is>
          <t>Allmännings- och besparingsskogar</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67244-2019</t>
        </is>
      </c>
      <c r="B1231" s="1" t="n">
        <v>43812</v>
      </c>
      <c r="C1231" s="1" t="n">
        <v>45846</v>
      </c>
      <c r="D1231" t="inlineStr">
        <is>
          <t>UPPSALA LÄN</t>
        </is>
      </c>
      <c r="E1231" t="inlineStr">
        <is>
          <t>ENKÖPING</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67448-2019</t>
        </is>
      </c>
      <c r="B1232" s="1" t="n">
        <v>43812</v>
      </c>
      <c r="C1232" s="1" t="n">
        <v>45846</v>
      </c>
      <c r="D1232" t="inlineStr">
        <is>
          <t>UPPSALA LÄN</t>
        </is>
      </c>
      <c r="E1232" t="inlineStr">
        <is>
          <t>ENKÖPING</t>
        </is>
      </c>
      <c r="F1232" t="inlineStr">
        <is>
          <t>Allmännings- och besparingsskogar</t>
        </is>
      </c>
      <c r="G1232" t="n">
        <v>15.1</v>
      </c>
      <c r="H1232" t="n">
        <v>0</v>
      </c>
      <c r="I1232" t="n">
        <v>0</v>
      </c>
      <c r="J1232" t="n">
        <v>0</v>
      </c>
      <c r="K1232" t="n">
        <v>0</v>
      </c>
      <c r="L1232" t="n">
        <v>0</v>
      </c>
      <c r="M1232" t="n">
        <v>0</v>
      </c>
      <c r="N1232" t="n">
        <v>0</v>
      </c>
      <c r="O1232" t="n">
        <v>0</v>
      </c>
      <c r="P1232" t="n">
        <v>0</v>
      </c>
      <c r="Q1232" t="n">
        <v>0</v>
      </c>
      <c r="R1232" s="2" t="inlineStr"/>
    </row>
    <row r="1233" ht="15" customHeight="1">
      <c r="A1233" t="inlineStr">
        <is>
          <t>A 67254-2019</t>
        </is>
      </c>
      <c r="B1233" s="1" t="n">
        <v>43812</v>
      </c>
      <c r="C1233" s="1" t="n">
        <v>45846</v>
      </c>
      <c r="D1233" t="inlineStr">
        <is>
          <t>UPPSALA LÄN</t>
        </is>
      </c>
      <c r="E1233" t="inlineStr">
        <is>
          <t>ÖSTHAMMAR</t>
        </is>
      </c>
      <c r="F1233" t="inlineStr">
        <is>
          <t>Allmännings- och besparingsskogar</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67508-2019</t>
        </is>
      </c>
      <c r="B1234" s="1" t="n">
        <v>43814</v>
      </c>
      <c r="C1234" s="1" t="n">
        <v>45846</v>
      </c>
      <c r="D1234" t="inlineStr">
        <is>
          <t>UPPSALA LÄN</t>
        </is>
      </c>
      <c r="E1234" t="inlineStr">
        <is>
          <t>UPPSALA</t>
        </is>
      </c>
      <c r="F1234" t="inlineStr">
        <is>
          <t>Allmännings- och besparingsskogar</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67504-2019</t>
        </is>
      </c>
      <c r="B1235" s="1" t="n">
        <v>43814</v>
      </c>
      <c r="C1235" s="1" t="n">
        <v>45846</v>
      </c>
      <c r="D1235" t="inlineStr">
        <is>
          <t>UPPSALA LÄN</t>
        </is>
      </c>
      <c r="E1235" t="inlineStr">
        <is>
          <t>UPPSALA</t>
        </is>
      </c>
      <c r="F1235" t="inlineStr">
        <is>
          <t>Allmännings- och besparingsskogar</t>
        </is>
      </c>
      <c r="G1235" t="n">
        <v>21.9</v>
      </c>
      <c r="H1235" t="n">
        <v>0</v>
      </c>
      <c r="I1235" t="n">
        <v>0</v>
      </c>
      <c r="J1235" t="n">
        <v>0</v>
      </c>
      <c r="K1235" t="n">
        <v>0</v>
      </c>
      <c r="L1235" t="n">
        <v>0</v>
      </c>
      <c r="M1235" t="n">
        <v>0</v>
      </c>
      <c r="N1235" t="n">
        <v>0</v>
      </c>
      <c r="O1235" t="n">
        <v>0</v>
      </c>
      <c r="P1235" t="n">
        <v>0</v>
      </c>
      <c r="Q1235" t="n">
        <v>0</v>
      </c>
      <c r="R1235" s="2" t="inlineStr"/>
    </row>
    <row r="1236" ht="15" customHeight="1">
      <c r="A1236" t="inlineStr">
        <is>
          <t>A 67720-2019</t>
        </is>
      </c>
      <c r="B1236" s="1" t="n">
        <v>43815</v>
      </c>
      <c r="C1236" s="1" t="n">
        <v>45846</v>
      </c>
      <c r="D1236" t="inlineStr">
        <is>
          <t>UPPSALA LÄN</t>
        </is>
      </c>
      <c r="E1236" t="inlineStr">
        <is>
          <t>UPPSALA</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67592-2019</t>
        </is>
      </c>
      <c r="B1237" s="1" t="n">
        <v>43815</v>
      </c>
      <c r="C1237" s="1" t="n">
        <v>45846</v>
      </c>
      <c r="D1237" t="inlineStr">
        <is>
          <t>UPPSALA LÄN</t>
        </is>
      </c>
      <c r="E1237" t="inlineStr">
        <is>
          <t>UPPSALA</t>
        </is>
      </c>
      <c r="F1237" t="inlineStr">
        <is>
          <t>Övriga statliga verk och myndigheter</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67598-2019</t>
        </is>
      </c>
      <c r="B1238" s="1" t="n">
        <v>43815</v>
      </c>
      <c r="C1238" s="1" t="n">
        <v>45846</v>
      </c>
      <c r="D1238" t="inlineStr">
        <is>
          <t>UPPSALA LÄN</t>
        </is>
      </c>
      <c r="E1238" t="inlineStr">
        <is>
          <t>KNIVSTA</t>
        </is>
      </c>
      <c r="F1238" t="inlineStr">
        <is>
          <t>Övriga Aktiebolag</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68196-2019</t>
        </is>
      </c>
      <c r="B1239" s="1" t="n">
        <v>43817</v>
      </c>
      <c r="C1239" s="1" t="n">
        <v>45846</v>
      </c>
      <c r="D1239" t="inlineStr">
        <is>
          <t>UPPSALA LÄN</t>
        </is>
      </c>
      <c r="E1239" t="inlineStr">
        <is>
          <t>HEBY</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618-2020</t>
        </is>
      </c>
      <c r="B1240" s="1" t="n">
        <v>43817</v>
      </c>
      <c r="C1240" s="1" t="n">
        <v>45846</v>
      </c>
      <c r="D1240" t="inlineStr">
        <is>
          <t>UPPSALA LÄN</t>
        </is>
      </c>
      <c r="E1240" t="inlineStr">
        <is>
          <t>ÖSTHAMMAR</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68186-2019</t>
        </is>
      </c>
      <c r="B1241" s="1" t="n">
        <v>43817</v>
      </c>
      <c r="C1241" s="1" t="n">
        <v>45846</v>
      </c>
      <c r="D1241" t="inlineStr">
        <is>
          <t>UPPSALA LÄN</t>
        </is>
      </c>
      <c r="E1241" t="inlineStr">
        <is>
          <t>ENKÖPING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68188-2019</t>
        </is>
      </c>
      <c r="B1242" s="1" t="n">
        <v>43817</v>
      </c>
      <c r="C1242" s="1" t="n">
        <v>45846</v>
      </c>
      <c r="D1242" t="inlineStr">
        <is>
          <t>UPPSALA LÄN</t>
        </is>
      </c>
      <c r="E1242" t="inlineStr">
        <is>
          <t>ENKÖPING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68264-2019</t>
        </is>
      </c>
      <c r="B1243" s="1" t="n">
        <v>43817</v>
      </c>
      <c r="C1243" s="1" t="n">
        <v>45846</v>
      </c>
      <c r="D1243" t="inlineStr">
        <is>
          <t>UPPSALA LÄN</t>
        </is>
      </c>
      <c r="E1243" t="inlineStr">
        <is>
          <t>UPPSALA</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68265-2019</t>
        </is>
      </c>
      <c r="B1244" s="1" t="n">
        <v>43817</v>
      </c>
      <c r="C1244" s="1" t="n">
        <v>45846</v>
      </c>
      <c r="D1244" t="inlineStr">
        <is>
          <t>UPPSALA LÄN</t>
        </is>
      </c>
      <c r="E1244" t="inlineStr">
        <is>
          <t>UPPSALA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68317-2019</t>
        </is>
      </c>
      <c r="B1245" s="1" t="n">
        <v>43818</v>
      </c>
      <c r="C1245" s="1" t="n">
        <v>45846</v>
      </c>
      <c r="D1245" t="inlineStr">
        <is>
          <t>UPPSALA LÄN</t>
        </is>
      </c>
      <c r="E1245" t="inlineStr">
        <is>
          <t>UPPSALA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68412-2019</t>
        </is>
      </c>
      <c r="B1246" s="1" t="n">
        <v>43818</v>
      </c>
      <c r="C1246" s="1" t="n">
        <v>45846</v>
      </c>
      <c r="D1246" t="inlineStr">
        <is>
          <t>UPPSALA LÄN</t>
        </is>
      </c>
      <c r="E1246" t="inlineStr">
        <is>
          <t>HEBY</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68316-2019</t>
        </is>
      </c>
      <c r="B1247" s="1" t="n">
        <v>43818</v>
      </c>
      <c r="C1247" s="1" t="n">
        <v>45846</v>
      </c>
      <c r="D1247" t="inlineStr">
        <is>
          <t>UPPSALA LÄN</t>
        </is>
      </c>
      <c r="E1247" t="inlineStr">
        <is>
          <t>UPPSALA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68870-2019</t>
        </is>
      </c>
      <c r="B1248" s="1" t="n">
        <v>43821</v>
      </c>
      <c r="C1248" s="1" t="n">
        <v>45846</v>
      </c>
      <c r="D1248" t="inlineStr">
        <is>
          <t>UPPSALA LÄN</t>
        </is>
      </c>
      <c r="E1248" t="inlineStr">
        <is>
          <t>ÖSTHAMMAR</t>
        </is>
      </c>
      <c r="F1248" t="inlineStr">
        <is>
          <t>Bergvik skog öst AB</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68871-2019</t>
        </is>
      </c>
      <c r="B1249" s="1" t="n">
        <v>43821</v>
      </c>
      <c r="C1249" s="1" t="n">
        <v>45846</v>
      </c>
      <c r="D1249" t="inlineStr">
        <is>
          <t>UPPSALA LÄN</t>
        </is>
      </c>
      <c r="E1249" t="inlineStr">
        <is>
          <t>ÖSTHAMMAR</t>
        </is>
      </c>
      <c r="F1249" t="inlineStr">
        <is>
          <t>Bergvik skog öst AB</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68868-2019</t>
        </is>
      </c>
      <c r="B1250" s="1" t="n">
        <v>43821</v>
      </c>
      <c r="C1250" s="1" t="n">
        <v>45846</v>
      </c>
      <c r="D1250" t="inlineStr">
        <is>
          <t>UPPSALA LÄN</t>
        </is>
      </c>
      <c r="E1250" t="inlineStr">
        <is>
          <t>ÖSTHAMMAR</t>
        </is>
      </c>
      <c r="F1250" t="inlineStr">
        <is>
          <t>Bergvik skog öst AB</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68908-2019</t>
        </is>
      </c>
      <c r="B1251" s="1" t="n">
        <v>43822</v>
      </c>
      <c r="C1251" s="1" t="n">
        <v>45846</v>
      </c>
      <c r="D1251" t="inlineStr">
        <is>
          <t>UPPSALA LÄN</t>
        </is>
      </c>
      <c r="E1251" t="inlineStr">
        <is>
          <t>UPPSALA</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69015-2019</t>
        </is>
      </c>
      <c r="B1252" s="1" t="n">
        <v>43826</v>
      </c>
      <c r="C1252" s="1" t="n">
        <v>45846</v>
      </c>
      <c r="D1252" t="inlineStr">
        <is>
          <t>UPPSALA LÄN</t>
        </is>
      </c>
      <c r="E1252" t="inlineStr">
        <is>
          <t>ENKÖPING</t>
        </is>
      </c>
      <c r="G1252" t="n">
        <v>15.7</v>
      </c>
      <c r="H1252" t="n">
        <v>0</v>
      </c>
      <c r="I1252" t="n">
        <v>0</v>
      </c>
      <c r="J1252" t="n">
        <v>0</v>
      </c>
      <c r="K1252" t="n">
        <v>0</v>
      </c>
      <c r="L1252" t="n">
        <v>0</v>
      </c>
      <c r="M1252" t="n">
        <v>0</v>
      </c>
      <c r="N1252" t="n">
        <v>0</v>
      </c>
      <c r="O1252" t="n">
        <v>0</v>
      </c>
      <c r="P1252" t="n">
        <v>0</v>
      </c>
      <c r="Q1252" t="n">
        <v>0</v>
      </c>
      <c r="R1252" s="2" t="inlineStr"/>
    </row>
    <row r="1253" ht="15" customHeight="1">
      <c r="A1253" t="inlineStr">
        <is>
          <t>A 69029-2019</t>
        </is>
      </c>
      <c r="B1253" s="1" t="n">
        <v>43826</v>
      </c>
      <c r="C1253" s="1" t="n">
        <v>45846</v>
      </c>
      <c r="D1253" t="inlineStr">
        <is>
          <t>UPPSALA LÄN</t>
        </is>
      </c>
      <c r="E1253" t="inlineStr">
        <is>
          <t>ENKÖPING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69016-2019</t>
        </is>
      </c>
      <c r="B1254" s="1" t="n">
        <v>43826</v>
      </c>
      <c r="C1254" s="1" t="n">
        <v>45846</v>
      </c>
      <c r="D1254" t="inlineStr">
        <is>
          <t>UPPSALA LÄN</t>
        </is>
      </c>
      <c r="E1254" t="inlineStr">
        <is>
          <t>ENKÖPING</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69020-2019</t>
        </is>
      </c>
      <c r="B1255" s="1" t="n">
        <v>43826</v>
      </c>
      <c r="C1255" s="1" t="n">
        <v>45846</v>
      </c>
      <c r="D1255" t="inlineStr">
        <is>
          <t>UPPSALA LÄN</t>
        </is>
      </c>
      <c r="E1255" t="inlineStr">
        <is>
          <t>ENKÖPING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69141-2019</t>
        </is>
      </c>
      <c r="B1256" s="1" t="n">
        <v>43829</v>
      </c>
      <c r="C1256" s="1" t="n">
        <v>45846</v>
      </c>
      <c r="D1256" t="inlineStr">
        <is>
          <t>UPPSALA LÄN</t>
        </is>
      </c>
      <c r="E1256" t="inlineStr">
        <is>
          <t>TIERP</t>
        </is>
      </c>
      <c r="F1256" t="inlineStr">
        <is>
          <t>Bergvik skog väst AB</t>
        </is>
      </c>
      <c r="G1256" t="n">
        <v>20.5</v>
      </c>
      <c r="H1256" t="n">
        <v>0</v>
      </c>
      <c r="I1256" t="n">
        <v>0</v>
      </c>
      <c r="J1256" t="n">
        <v>0</v>
      </c>
      <c r="K1256" t="n">
        <v>0</v>
      </c>
      <c r="L1256" t="n">
        <v>0</v>
      </c>
      <c r="M1256" t="n">
        <v>0</v>
      </c>
      <c r="N1256" t="n">
        <v>0</v>
      </c>
      <c r="O1256" t="n">
        <v>0</v>
      </c>
      <c r="P1256" t="n">
        <v>0</v>
      </c>
      <c r="Q1256" t="n">
        <v>0</v>
      </c>
      <c r="R1256" s="2" t="inlineStr"/>
    </row>
    <row r="1257" ht="15" customHeight="1">
      <c r="A1257" t="inlineStr">
        <is>
          <t>A 38-2020</t>
        </is>
      </c>
      <c r="B1257" s="1" t="n">
        <v>43832</v>
      </c>
      <c r="C1257" s="1" t="n">
        <v>45846</v>
      </c>
      <c r="D1257" t="inlineStr">
        <is>
          <t>UPPSALA LÄN</t>
        </is>
      </c>
      <c r="E1257" t="inlineStr">
        <is>
          <t>ENKÖPING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529-2020</t>
        </is>
      </c>
      <c r="B1258" s="1" t="n">
        <v>43837</v>
      </c>
      <c r="C1258" s="1" t="n">
        <v>45846</v>
      </c>
      <c r="D1258" t="inlineStr">
        <is>
          <t>UPPSALA LÄN</t>
        </is>
      </c>
      <c r="E1258" t="inlineStr">
        <is>
          <t>UPPSALA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499-2020</t>
        </is>
      </c>
      <c r="B1259" s="1" t="n">
        <v>43837</v>
      </c>
      <c r="C1259" s="1" t="n">
        <v>45846</v>
      </c>
      <c r="D1259" t="inlineStr">
        <is>
          <t>UPPSALA LÄN</t>
        </is>
      </c>
      <c r="E1259" t="inlineStr">
        <is>
          <t>ENKÖPING</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1891-2020</t>
        </is>
      </c>
      <c r="B1260" s="1" t="n">
        <v>43837</v>
      </c>
      <c r="C1260" s="1" t="n">
        <v>45846</v>
      </c>
      <c r="D1260" t="inlineStr">
        <is>
          <t>UPPSALA LÄN</t>
        </is>
      </c>
      <c r="E1260" t="inlineStr">
        <is>
          <t>UPPSALA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701-2020</t>
        </is>
      </c>
      <c r="B1261" s="1" t="n">
        <v>43838</v>
      </c>
      <c r="C1261" s="1" t="n">
        <v>45846</v>
      </c>
      <c r="D1261" t="inlineStr">
        <is>
          <t>UPPSALA LÄN</t>
        </is>
      </c>
      <c r="E1261" t="inlineStr">
        <is>
          <t>UPPSALA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685-2020</t>
        </is>
      </c>
      <c r="B1262" s="1" t="n">
        <v>43838</v>
      </c>
      <c r="C1262" s="1" t="n">
        <v>45846</v>
      </c>
      <c r="D1262" t="inlineStr">
        <is>
          <t>UPPSALA LÄN</t>
        </is>
      </c>
      <c r="E1262" t="inlineStr">
        <is>
          <t>ÖSTHAMMAR</t>
        </is>
      </c>
      <c r="F1262" t="inlineStr">
        <is>
          <t>Bergvik skog öst AB</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724-2020</t>
        </is>
      </c>
      <c r="B1263" s="1" t="n">
        <v>43838</v>
      </c>
      <c r="C1263" s="1" t="n">
        <v>45846</v>
      </c>
      <c r="D1263" t="inlineStr">
        <is>
          <t>UPPSALA LÄN</t>
        </is>
      </c>
      <c r="E1263" t="inlineStr">
        <is>
          <t>ENKÖPING</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962-2020</t>
        </is>
      </c>
      <c r="B1264" s="1" t="n">
        <v>43839</v>
      </c>
      <c r="C1264" s="1" t="n">
        <v>45846</v>
      </c>
      <c r="D1264" t="inlineStr">
        <is>
          <t>UPPSALA LÄN</t>
        </is>
      </c>
      <c r="E1264" t="inlineStr">
        <is>
          <t>TIERP</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892-2020</t>
        </is>
      </c>
      <c r="B1265" s="1" t="n">
        <v>43839</v>
      </c>
      <c r="C1265" s="1" t="n">
        <v>45846</v>
      </c>
      <c r="D1265" t="inlineStr">
        <is>
          <t>UPPSALA LÄN</t>
        </is>
      </c>
      <c r="E1265" t="inlineStr">
        <is>
          <t>ENKÖPING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1171-2020</t>
        </is>
      </c>
      <c r="B1266" s="1" t="n">
        <v>43840</v>
      </c>
      <c r="C1266" s="1" t="n">
        <v>45846</v>
      </c>
      <c r="D1266" t="inlineStr">
        <is>
          <t>UPPSALA LÄN</t>
        </is>
      </c>
      <c r="E1266" t="inlineStr">
        <is>
          <t>UPPSALA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1348-2020</t>
        </is>
      </c>
      <c r="B1267" s="1" t="n">
        <v>43843</v>
      </c>
      <c r="C1267" s="1" t="n">
        <v>45846</v>
      </c>
      <c r="D1267" t="inlineStr">
        <is>
          <t>UPPSALA LÄN</t>
        </is>
      </c>
      <c r="E1267" t="inlineStr">
        <is>
          <t>ENKÖPING</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1387-2020</t>
        </is>
      </c>
      <c r="B1268" s="1" t="n">
        <v>43843</v>
      </c>
      <c r="C1268" s="1" t="n">
        <v>45846</v>
      </c>
      <c r="D1268" t="inlineStr">
        <is>
          <t>UPPSALA LÄN</t>
        </is>
      </c>
      <c r="E1268" t="inlineStr">
        <is>
          <t>HEBY</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1432-2020</t>
        </is>
      </c>
      <c r="B1269" s="1" t="n">
        <v>43843</v>
      </c>
      <c r="C1269" s="1" t="n">
        <v>45846</v>
      </c>
      <c r="D1269" t="inlineStr">
        <is>
          <t>UPPSALA LÄN</t>
        </is>
      </c>
      <c r="E1269" t="inlineStr">
        <is>
          <t>TIERP</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1685-2020</t>
        </is>
      </c>
      <c r="B1270" s="1" t="n">
        <v>43844</v>
      </c>
      <c r="C1270" s="1" t="n">
        <v>45846</v>
      </c>
      <c r="D1270" t="inlineStr">
        <is>
          <t>UPPSALA LÄN</t>
        </is>
      </c>
      <c r="E1270" t="inlineStr">
        <is>
          <t>ÖSTHAMMAR</t>
        </is>
      </c>
      <c r="F1270" t="inlineStr">
        <is>
          <t>Övriga Aktiebolag</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1681-2020</t>
        </is>
      </c>
      <c r="B1271" s="1" t="n">
        <v>43844</v>
      </c>
      <c r="C1271" s="1" t="n">
        <v>45846</v>
      </c>
      <c r="D1271" t="inlineStr">
        <is>
          <t>UPPSALA LÄN</t>
        </is>
      </c>
      <c r="E1271" t="inlineStr">
        <is>
          <t>ÖSTHAMMAR</t>
        </is>
      </c>
      <c r="F1271" t="inlineStr">
        <is>
          <t>Övriga Aktiebolag</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1717-2020</t>
        </is>
      </c>
      <c r="B1272" s="1" t="n">
        <v>43844</v>
      </c>
      <c r="C1272" s="1" t="n">
        <v>45846</v>
      </c>
      <c r="D1272" t="inlineStr">
        <is>
          <t>UPPSALA LÄN</t>
        </is>
      </c>
      <c r="E1272" t="inlineStr">
        <is>
          <t>HEBY</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1688-2020</t>
        </is>
      </c>
      <c r="B1273" s="1" t="n">
        <v>43844</v>
      </c>
      <c r="C1273" s="1" t="n">
        <v>45846</v>
      </c>
      <c r="D1273" t="inlineStr">
        <is>
          <t>UPPSALA LÄN</t>
        </is>
      </c>
      <c r="E1273" t="inlineStr">
        <is>
          <t>UPPSALA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1929-2020</t>
        </is>
      </c>
      <c r="B1274" s="1" t="n">
        <v>43845</v>
      </c>
      <c r="C1274" s="1" t="n">
        <v>45846</v>
      </c>
      <c r="D1274" t="inlineStr">
        <is>
          <t>UPPSALA LÄN</t>
        </is>
      </c>
      <c r="E1274" t="inlineStr">
        <is>
          <t>HEBY</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2182-2020</t>
        </is>
      </c>
      <c r="B1275" s="1" t="n">
        <v>43846</v>
      </c>
      <c r="C1275" s="1" t="n">
        <v>45846</v>
      </c>
      <c r="D1275" t="inlineStr">
        <is>
          <t>UPPSALA LÄN</t>
        </is>
      </c>
      <c r="E1275" t="inlineStr">
        <is>
          <t>ENKÖPING</t>
        </is>
      </c>
      <c r="F1275" t="inlineStr">
        <is>
          <t>Övriga statliga verk och myndigheter</t>
        </is>
      </c>
      <c r="G1275" t="n">
        <v>7.7</v>
      </c>
      <c r="H1275" t="n">
        <v>0</v>
      </c>
      <c r="I1275" t="n">
        <v>0</v>
      </c>
      <c r="J1275" t="n">
        <v>0</v>
      </c>
      <c r="K1275" t="n">
        <v>0</v>
      </c>
      <c r="L1275" t="n">
        <v>0</v>
      </c>
      <c r="M1275" t="n">
        <v>0</v>
      </c>
      <c r="N1275" t="n">
        <v>0</v>
      </c>
      <c r="O1275" t="n">
        <v>0</v>
      </c>
      <c r="P1275" t="n">
        <v>0</v>
      </c>
      <c r="Q1275" t="n">
        <v>0</v>
      </c>
      <c r="R1275" s="2" t="inlineStr"/>
    </row>
    <row r="1276" ht="15" customHeight="1">
      <c r="A1276" t="inlineStr">
        <is>
          <t>A 2205-2020</t>
        </is>
      </c>
      <c r="B1276" s="1" t="n">
        <v>43846</v>
      </c>
      <c r="C1276" s="1" t="n">
        <v>45846</v>
      </c>
      <c r="D1276" t="inlineStr">
        <is>
          <t>UPPSALA LÄN</t>
        </is>
      </c>
      <c r="E1276" t="inlineStr">
        <is>
          <t>ENKÖPING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2162-2020</t>
        </is>
      </c>
      <c r="B1277" s="1" t="n">
        <v>43846</v>
      </c>
      <c r="C1277" s="1" t="n">
        <v>45846</v>
      </c>
      <c r="D1277" t="inlineStr">
        <is>
          <t>UPPSALA LÄN</t>
        </is>
      </c>
      <c r="E1277" t="inlineStr">
        <is>
          <t>UPPSALA</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2177-2020</t>
        </is>
      </c>
      <c r="B1278" s="1" t="n">
        <v>43846</v>
      </c>
      <c r="C1278" s="1" t="n">
        <v>45846</v>
      </c>
      <c r="D1278" t="inlineStr">
        <is>
          <t>UPPSALA LÄN</t>
        </is>
      </c>
      <c r="E1278" t="inlineStr">
        <is>
          <t>ENKÖPING</t>
        </is>
      </c>
      <c r="F1278" t="inlineStr">
        <is>
          <t>Övriga statliga verk och myndigheter</t>
        </is>
      </c>
      <c r="G1278" t="n">
        <v>10.2</v>
      </c>
      <c r="H1278" t="n">
        <v>0</v>
      </c>
      <c r="I1278" t="n">
        <v>0</v>
      </c>
      <c r="J1278" t="n">
        <v>0</v>
      </c>
      <c r="K1278" t="n">
        <v>0</v>
      </c>
      <c r="L1278" t="n">
        <v>0</v>
      </c>
      <c r="M1278" t="n">
        <v>0</v>
      </c>
      <c r="N1278" t="n">
        <v>0</v>
      </c>
      <c r="O1278" t="n">
        <v>0</v>
      </c>
      <c r="P1278" t="n">
        <v>0</v>
      </c>
      <c r="Q1278" t="n">
        <v>0</v>
      </c>
      <c r="R1278" s="2" t="inlineStr"/>
    </row>
    <row r="1279" ht="15" customHeight="1">
      <c r="A1279" t="inlineStr">
        <is>
          <t>A 2220-2020</t>
        </is>
      </c>
      <c r="B1279" s="1" t="n">
        <v>43846</v>
      </c>
      <c r="C1279" s="1" t="n">
        <v>45846</v>
      </c>
      <c r="D1279" t="inlineStr">
        <is>
          <t>UPPSALA LÄN</t>
        </is>
      </c>
      <c r="E1279" t="inlineStr">
        <is>
          <t>ENKÖPING</t>
        </is>
      </c>
      <c r="F1279" t="inlineStr">
        <is>
          <t>Övriga statliga verk och myndigheter</t>
        </is>
      </c>
      <c r="G1279" t="n">
        <v>11.8</v>
      </c>
      <c r="H1279" t="n">
        <v>0</v>
      </c>
      <c r="I1279" t="n">
        <v>0</v>
      </c>
      <c r="J1279" t="n">
        <v>0</v>
      </c>
      <c r="K1279" t="n">
        <v>0</v>
      </c>
      <c r="L1279" t="n">
        <v>0</v>
      </c>
      <c r="M1279" t="n">
        <v>0</v>
      </c>
      <c r="N1279" t="n">
        <v>0</v>
      </c>
      <c r="O1279" t="n">
        <v>0</v>
      </c>
      <c r="P1279" t="n">
        <v>0</v>
      </c>
      <c r="Q1279" t="n">
        <v>0</v>
      </c>
      <c r="R1279" s="2" t="inlineStr"/>
    </row>
    <row r="1280" ht="15" customHeight="1">
      <c r="A1280" t="inlineStr">
        <is>
          <t>A 2186-2020</t>
        </is>
      </c>
      <c r="B1280" s="1" t="n">
        <v>43846</v>
      </c>
      <c r="C1280" s="1" t="n">
        <v>45846</v>
      </c>
      <c r="D1280" t="inlineStr">
        <is>
          <t>UPPSALA LÄN</t>
        </is>
      </c>
      <c r="E1280" t="inlineStr">
        <is>
          <t>ENKÖPING</t>
        </is>
      </c>
      <c r="F1280" t="inlineStr">
        <is>
          <t>Övriga statliga verk och myndigheter</t>
        </is>
      </c>
      <c r="G1280" t="n">
        <v>12.3</v>
      </c>
      <c r="H1280" t="n">
        <v>0</v>
      </c>
      <c r="I1280" t="n">
        <v>0</v>
      </c>
      <c r="J1280" t="n">
        <v>0</v>
      </c>
      <c r="K1280" t="n">
        <v>0</v>
      </c>
      <c r="L1280" t="n">
        <v>0</v>
      </c>
      <c r="M1280" t="n">
        <v>0</v>
      </c>
      <c r="N1280" t="n">
        <v>0</v>
      </c>
      <c r="O1280" t="n">
        <v>0</v>
      </c>
      <c r="P1280" t="n">
        <v>0</v>
      </c>
      <c r="Q1280" t="n">
        <v>0</v>
      </c>
      <c r="R1280" s="2" t="inlineStr"/>
    </row>
    <row r="1281" ht="15" customHeight="1">
      <c r="A1281" t="inlineStr">
        <is>
          <t>A 2225-2020</t>
        </is>
      </c>
      <c r="B1281" s="1" t="n">
        <v>43846</v>
      </c>
      <c r="C1281" s="1" t="n">
        <v>45846</v>
      </c>
      <c r="D1281" t="inlineStr">
        <is>
          <t>UPPSALA LÄN</t>
        </is>
      </c>
      <c r="E1281" t="inlineStr">
        <is>
          <t>ENKÖPING</t>
        </is>
      </c>
      <c r="F1281" t="inlineStr">
        <is>
          <t>Övriga statliga verk och myndigheter</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2306-2020</t>
        </is>
      </c>
      <c r="B1282" s="1" t="n">
        <v>43846</v>
      </c>
      <c r="C1282" s="1" t="n">
        <v>45846</v>
      </c>
      <c r="D1282" t="inlineStr">
        <is>
          <t>UPPSALA LÄN</t>
        </is>
      </c>
      <c r="E1282" t="inlineStr">
        <is>
          <t>HEBY</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2315-2020</t>
        </is>
      </c>
      <c r="B1283" s="1" t="n">
        <v>43846</v>
      </c>
      <c r="C1283" s="1" t="n">
        <v>45846</v>
      </c>
      <c r="D1283" t="inlineStr">
        <is>
          <t>UPPSALA LÄN</t>
        </is>
      </c>
      <c r="E1283" t="inlineStr">
        <is>
          <t>HEBY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2217-2020</t>
        </is>
      </c>
      <c r="B1284" s="1" t="n">
        <v>43846</v>
      </c>
      <c r="C1284" s="1" t="n">
        <v>45846</v>
      </c>
      <c r="D1284" t="inlineStr">
        <is>
          <t>UPPSALA LÄN</t>
        </is>
      </c>
      <c r="E1284" t="inlineStr">
        <is>
          <t>ENKÖPING</t>
        </is>
      </c>
      <c r="F1284" t="inlineStr">
        <is>
          <t>Övriga statliga verk och myndigheter</t>
        </is>
      </c>
      <c r="G1284" t="n">
        <v>7.7</v>
      </c>
      <c r="H1284" t="n">
        <v>0</v>
      </c>
      <c r="I1284" t="n">
        <v>0</v>
      </c>
      <c r="J1284" t="n">
        <v>0</v>
      </c>
      <c r="K1284" t="n">
        <v>0</v>
      </c>
      <c r="L1284" t="n">
        <v>0</v>
      </c>
      <c r="M1284" t="n">
        <v>0</v>
      </c>
      <c r="N1284" t="n">
        <v>0</v>
      </c>
      <c r="O1284" t="n">
        <v>0</v>
      </c>
      <c r="P1284" t="n">
        <v>0</v>
      </c>
      <c r="Q1284" t="n">
        <v>0</v>
      </c>
      <c r="R1284" s="2" t="inlineStr"/>
    </row>
    <row r="1285" ht="15" customHeight="1">
      <c r="A1285" t="inlineStr">
        <is>
          <t>A 2222-2020</t>
        </is>
      </c>
      <c r="B1285" s="1" t="n">
        <v>43846</v>
      </c>
      <c r="C1285" s="1" t="n">
        <v>45846</v>
      </c>
      <c r="D1285" t="inlineStr">
        <is>
          <t>UPPSALA LÄN</t>
        </is>
      </c>
      <c r="E1285" t="inlineStr">
        <is>
          <t>ENKÖPING</t>
        </is>
      </c>
      <c r="F1285" t="inlineStr">
        <is>
          <t>Övriga statliga verk och myndigheter</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2499-2020</t>
        </is>
      </c>
      <c r="B1286" s="1" t="n">
        <v>43847</v>
      </c>
      <c r="C1286" s="1" t="n">
        <v>45846</v>
      </c>
      <c r="D1286" t="inlineStr">
        <is>
          <t>UPPSALA LÄN</t>
        </is>
      </c>
      <c r="E1286" t="inlineStr">
        <is>
          <t>HEBY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4265-2020</t>
        </is>
      </c>
      <c r="B1287" s="1" t="n">
        <v>43847</v>
      </c>
      <c r="C1287" s="1" t="n">
        <v>45846</v>
      </c>
      <c r="D1287" t="inlineStr">
        <is>
          <t>UPPSALA LÄN</t>
        </is>
      </c>
      <c r="E1287" t="inlineStr">
        <is>
          <t>HÅBO</t>
        </is>
      </c>
      <c r="F1287" t="inlineStr">
        <is>
          <t>Övriga statliga verk och myndigheter</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2663-2020</t>
        </is>
      </c>
      <c r="B1288" s="1" t="n">
        <v>43849</v>
      </c>
      <c r="C1288" s="1" t="n">
        <v>45846</v>
      </c>
      <c r="D1288" t="inlineStr">
        <is>
          <t>UPPSALA LÄN</t>
        </is>
      </c>
      <c r="E1288" t="inlineStr">
        <is>
          <t>KNIVSTA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2895-2020</t>
        </is>
      </c>
      <c r="B1289" s="1" t="n">
        <v>43850</v>
      </c>
      <c r="C1289" s="1" t="n">
        <v>45846</v>
      </c>
      <c r="D1289" t="inlineStr">
        <is>
          <t>UPPSALA LÄN</t>
        </is>
      </c>
      <c r="E1289" t="inlineStr">
        <is>
          <t>UPPSALA</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4473-2020</t>
        </is>
      </c>
      <c r="B1290" s="1" t="n">
        <v>43850</v>
      </c>
      <c r="C1290" s="1" t="n">
        <v>45846</v>
      </c>
      <c r="D1290" t="inlineStr">
        <is>
          <t>UPPSALA LÄN</t>
        </is>
      </c>
      <c r="E1290" t="inlineStr">
        <is>
          <t>ÖSTHAMMAR</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3276-2020</t>
        </is>
      </c>
      <c r="B1291" s="1" t="n">
        <v>43852</v>
      </c>
      <c r="C1291" s="1" t="n">
        <v>45846</v>
      </c>
      <c r="D1291" t="inlineStr">
        <is>
          <t>UPPSALA LÄN</t>
        </is>
      </c>
      <c r="E1291" t="inlineStr">
        <is>
          <t>HEBY</t>
        </is>
      </c>
      <c r="F1291" t="inlineStr">
        <is>
          <t>Bergvik skog väst AB</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3242-2020</t>
        </is>
      </c>
      <c r="B1292" s="1" t="n">
        <v>43852</v>
      </c>
      <c r="C1292" s="1" t="n">
        <v>45846</v>
      </c>
      <c r="D1292" t="inlineStr">
        <is>
          <t>UPPSALA LÄN</t>
        </is>
      </c>
      <c r="E1292" t="inlineStr">
        <is>
          <t>HEBY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3334-2020</t>
        </is>
      </c>
      <c r="B1293" s="1" t="n">
        <v>43852</v>
      </c>
      <c r="C1293" s="1" t="n">
        <v>45846</v>
      </c>
      <c r="D1293" t="inlineStr">
        <is>
          <t>UPPSALA LÄN</t>
        </is>
      </c>
      <c r="E1293" t="inlineStr">
        <is>
          <t>ÖSTHAMMAR</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3522-2020</t>
        </is>
      </c>
      <c r="B1294" s="1" t="n">
        <v>43853</v>
      </c>
      <c r="C1294" s="1" t="n">
        <v>45846</v>
      </c>
      <c r="D1294" t="inlineStr">
        <is>
          <t>UPPSALA LÄN</t>
        </is>
      </c>
      <c r="E1294" t="inlineStr">
        <is>
          <t>TIERP</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3693-2020</t>
        </is>
      </c>
      <c r="B1295" s="1" t="n">
        <v>43853</v>
      </c>
      <c r="C1295" s="1" t="n">
        <v>45846</v>
      </c>
      <c r="D1295" t="inlineStr">
        <is>
          <t>UPPSALA LÄN</t>
        </is>
      </c>
      <c r="E1295" t="inlineStr">
        <is>
          <t>UPPSALA</t>
        </is>
      </c>
      <c r="F1295" t="inlineStr">
        <is>
          <t>Bergvik skog öst AB</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3734-2020</t>
        </is>
      </c>
      <c r="B1296" s="1" t="n">
        <v>43853</v>
      </c>
      <c r="C1296" s="1" t="n">
        <v>45846</v>
      </c>
      <c r="D1296" t="inlineStr">
        <is>
          <t>UPPSALA LÄN</t>
        </is>
      </c>
      <c r="E1296" t="inlineStr">
        <is>
          <t>TIERP</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3516-2020</t>
        </is>
      </c>
      <c r="B1297" s="1" t="n">
        <v>43853</v>
      </c>
      <c r="C1297" s="1" t="n">
        <v>45846</v>
      </c>
      <c r="D1297" t="inlineStr">
        <is>
          <t>UPPSALA LÄN</t>
        </is>
      </c>
      <c r="E1297" t="inlineStr">
        <is>
          <t>UPPSALA</t>
        </is>
      </c>
      <c r="G1297" t="n">
        <v>9.4</v>
      </c>
      <c r="H1297" t="n">
        <v>0</v>
      </c>
      <c r="I1297" t="n">
        <v>0</v>
      </c>
      <c r="J1297" t="n">
        <v>0</v>
      </c>
      <c r="K1297" t="n">
        <v>0</v>
      </c>
      <c r="L1297" t="n">
        <v>0</v>
      </c>
      <c r="M1297" t="n">
        <v>0</v>
      </c>
      <c r="N1297" t="n">
        <v>0</v>
      </c>
      <c r="O1297" t="n">
        <v>0</v>
      </c>
      <c r="P1297" t="n">
        <v>0</v>
      </c>
      <c r="Q1297" t="n">
        <v>0</v>
      </c>
      <c r="R1297" s="2" t="inlineStr"/>
    </row>
    <row r="1298" ht="15" customHeight="1">
      <c r="A1298" t="inlineStr">
        <is>
          <t>A 3984-2020</t>
        </is>
      </c>
      <c r="B1298" s="1" t="n">
        <v>43855</v>
      </c>
      <c r="C1298" s="1" t="n">
        <v>45846</v>
      </c>
      <c r="D1298" t="inlineStr">
        <is>
          <t>UPPSALA LÄN</t>
        </is>
      </c>
      <c r="E1298" t="inlineStr">
        <is>
          <t>ÖSTHAMMAR</t>
        </is>
      </c>
      <c r="F1298" t="inlineStr">
        <is>
          <t>Bergvik skog öst AB</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4073-2020</t>
        </is>
      </c>
      <c r="B1299" s="1" t="n">
        <v>43857</v>
      </c>
      <c r="C1299" s="1" t="n">
        <v>45846</v>
      </c>
      <c r="D1299" t="inlineStr">
        <is>
          <t>UPPSALA LÄN</t>
        </is>
      </c>
      <c r="E1299" t="inlineStr">
        <is>
          <t>ENKÖPING</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4549-2020</t>
        </is>
      </c>
      <c r="B1300" s="1" t="n">
        <v>43858</v>
      </c>
      <c r="C1300" s="1" t="n">
        <v>45846</v>
      </c>
      <c r="D1300" t="inlineStr">
        <is>
          <t>UPPSALA LÄN</t>
        </is>
      </c>
      <c r="E1300" t="inlineStr">
        <is>
          <t>HEBY</t>
        </is>
      </c>
      <c r="F1300" t="inlineStr">
        <is>
          <t>Kyrkan</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4567-2020</t>
        </is>
      </c>
      <c r="B1301" s="1" t="n">
        <v>43858</v>
      </c>
      <c r="C1301" s="1" t="n">
        <v>45846</v>
      </c>
      <c r="D1301" t="inlineStr">
        <is>
          <t>UPPSALA LÄN</t>
        </is>
      </c>
      <c r="E1301" t="inlineStr">
        <is>
          <t>KNIVSTA</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4899-2020</t>
        </is>
      </c>
      <c r="B1302" s="1" t="n">
        <v>43859</v>
      </c>
      <c r="C1302" s="1" t="n">
        <v>45846</v>
      </c>
      <c r="D1302" t="inlineStr">
        <is>
          <t>UPPSALA LÄN</t>
        </is>
      </c>
      <c r="E1302" t="inlineStr">
        <is>
          <t>TIERP</t>
        </is>
      </c>
      <c r="F1302" t="inlineStr">
        <is>
          <t>Bergvik skog väst AB</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5032-2020</t>
        </is>
      </c>
      <c r="B1303" s="1" t="n">
        <v>43859</v>
      </c>
      <c r="C1303" s="1" t="n">
        <v>45846</v>
      </c>
      <c r="D1303" t="inlineStr">
        <is>
          <t>UPPSALA LÄN</t>
        </is>
      </c>
      <c r="E1303" t="inlineStr">
        <is>
          <t>ENKÖPING</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5048-2020</t>
        </is>
      </c>
      <c r="B1304" s="1" t="n">
        <v>43859</v>
      </c>
      <c r="C1304" s="1" t="n">
        <v>45846</v>
      </c>
      <c r="D1304" t="inlineStr">
        <is>
          <t>UPPSALA LÄN</t>
        </is>
      </c>
      <c r="E1304" t="inlineStr">
        <is>
          <t>TIERP</t>
        </is>
      </c>
      <c r="F1304" t="inlineStr">
        <is>
          <t>Bergvik skog öst AB</t>
        </is>
      </c>
      <c r="G1304" t="n">
        <v>6.3</v>
      </c>
      <c r="H1304" t="n">
        <v>0</v>
      </c>
      <c r="I1304" t="n">
        <v>0</v>
      </c>
      <c r="J1304" t="n">
        <v>0</v>
      </c>
      <c r="K1304" t="n">
        <v>0</v>
      </c>
      <c r="L1304" t="n">
        <v>0</v>
      </c>
      <c r="M1304" t="n">
        <v>0</v>
      </c>
      <c r="N1304" t="n">
        <v>0</v>
      </c>
      <c r="O1304" t="n">
        <v>0</v>
      </c>
      <c r="P1304" t="n">
        <v>0</v>
      </c>
      <c r="Q1304" t="n">
        <v>0</v>
      </c>
      <c r="R1304" s="2" t="inlineStr"/>
    </row>
    <row r="1305" ht="15" customHeight="1">
      <c r="A1305" t="inlineStr">
        <is>
          <t>A 5395-2020</t>
        </is>
      </c>
      <c r="B1305" s="1" t="n">
        <v>43860</v>
      </c>
      <c r="C1305" s="1" t="n">
        <v>45846</v>
      </c>
      <c r="D1305" t="inlineStr">
        <is>
          <t>UPPSALA LÄN</t>
        </is>
      </c>
      <c r="E1305" t="inlineStr">
        <is>
          <t>HEBY</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5345-2020</t>
        </is>
      </c>
      <c r="B1306" s="1" t="n">
        <v>43860</v>
      </c>
      <c r="C1306" s="1" t="n">
        <v>45846</v>
      </c>
      <c r="D1306" t="inlineStr">
        <is>
          <t>UPPSALA LÄN</t>
        </is>
      </c>
      <c r="E1306" t="inlineStr">
        <is>
          <t>ENKÖPING</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5178-2020</t>
        </is>
      </c>
      <c r="B1307" s="1" t="n">
        <v>43860</v>
      </c>
      <c r="C1307" s="1" t="n">
        <v>45846</v>
      </c>
      <c r="D1307" t="inlineStr">
        <is>
          <t>UPPSALA LÄN</t>
        </is>
      </c>
      <c r="E1307" t="inlineStr">
        <is>
          <t>ENKÖPING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5511-2020</t>
        </is>
      </c>
      <c r="B1308" s="1" t="n">
        <v>43861</v>
      </c>
      <c r="C1308" s="1" t="n">
        <v>45846</v>
      </c>
      <c r="D1308" t="inlineStr">
        <is>
          <t>UPPSALA LÄN</t>
        </is>
      </c>
      <c r="E1308" t="inlineStr">
        <is>
          <t>ÄLVKARLEBY</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5539-2020</t>
        </is>
      </c>
      <c r="B1309" s="1" t="n">
        <v>43861</v>
      </c>
      <c r="C1309" s="1" t="n">
        <v>45846</v>
      </c>
      <c r="D1309" t="inlineStr">
        <is>
          <t>UPPSALA LÄN</t>
        </is>
      </c>
      <c r="E1309" t="inlineStr">
        <is>
          <t>HEBY</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5740-2020</t>
        </is>
      </c>
      <c r="B1310" s="1" t="n">
        <v>43863</v>
      </c>
      <c r="C1310" s="1" t="n">
        <v>45846</v>
      </c>
      <c r="D1310" t="inlineStr">
        <is>
          <t>UPPSALA LÄN</t>
        </is>
      </c>
      <c r="E1310" t="inlineStr">
        <is>
          <t>HEBY</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5774-2020</t>
        </is>
      </c>
      <c r="B1311" s="1" t="n">
        <v>43864</v>
      </c>
      <c r="C1311" s="1" t="n">
        <v>45846</v>
      </c>
      <c r="D1311" t="inlineStr">
        <is>
          <t>UPPSALA LÄN</t>
        </is>
      </c>
      <c r="E1311" t="inlineStr">
        <is>
          <t>HEBY</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6052-2020</t>
        </is>
      </c>
      <c r="B1312" s="1" t="n">
        <v>43864</v>
      </c>
      <c r="C1312" s="1" t="n">
        <v>45846</v>
      </c>
      <c r="D1312" t="inlineStr">
        <is>
          <t>UPPSALA LÄN</t>
        </is>
      </c>
      <c r="E1312" t="inlineStr">
        <is>
          <t>ÖSTHAMMAR</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5759-2020</t>
        </is>
      </c>
      <c r="B1313" s="1" t="n">
        <v>43864</v>
      </c>
      <c r="C1313" s="1" t="n">
        <v>45846</v>
      </c>
      <c r="D1313" t="inlineStr">
        <is>
          <t>UPPSALA LÄN</t>
        </is>
      </c>
      <c r="E1313" t="inlineStr">
        <is>
          <t>HEBY</t>
        </is>
      </c>
      <c r="F1313" t="inlineStr">
        <is>
          <t>Övriga Aktiebolag</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6026-2020</t>
        </is>
      </c>
      <c r="B1314" s="1" t="n">
        <v>43865</v>
      </c>
      <c r="C1314" s="1" t="n">
        <v>45846</v>
      </c>
      <c r="D1314" t="inlineStr">
        <is>
          <t>UPPSALA LÄN</t>
        </is>
      </c>
      <c r="E1314" t="inlineStr">
        <is>
          <t>ÖSTHAMMAR</t>
        </is>
      </c>
      <c r="F1314" t="inlineStr">
        <is>
          <t>Övriga Aktiebolag</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6045-2020</t>
        </is>
      </c>
      <c r="B1315" s="1" t="n">
        <v>43865</v>
      </c>
      <c r="C1315" s="1" t="n">
        <v>45846</v>
      </c>
      <c r="D1315" t="inlineStr">
        <is>
          <t>UPPSALA LÄN</t>
        </is>
      </c>
      <c r="E1315" t="inlineStr">
        <is>
          <t>ENKÖPING</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6313-2020</t>
        </is>
      </c>
      <c r="B1316" s="1" t="n">
        <v>43866</v>
      </c>
      <c r="C1316" s="1" t="n">
        <v>45846</v>
      </c>
      <c r="D1316" t="inlineStr">
        <is>
          <t>UPPSALA LÄN</t>
        </is>
      </c>
      <c r="E1316" t="inlineStr">
        <is>
          <t>UPPSALA</t>
        </is>
      </c>
      <c r="F1316" t="inlineStr">
        <is>
          <t>Övriga statliga verk och myndigheter</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6315-2020</t>
        </is>
      </c>
      <c r="B1317" s="1" t="n">
        <v>43866</v>
      </c>
      <c r="C1317" s="1" t="n">
        <v>45846</v>
      </c>
      <c r="D1317" t="inlineStr">
        <is>
          <t>UPPSALA LÄN</t>
        </is>
      </c>
      <c r="E1317" t="inlineStr">
        <is>
          <t>UPPSALA</t>
        </is>
      </c>
      <c r="F1317" t="inlineStr">
        <is>
          <t>Övriga statliga verk och myndigheter</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6320-2020</t>
        </is>
      </c>
      <c r="B1318" s="1" t="n">
        <v>43866</v>
      </c>
      <c r="C1318" s="1" t="n">
        <v>45846</v>
      </c>
      <c r="D1318" t="inlineStr">
        <is>
          <t>UPPSALA LÄN</t>
        </is>
      </c>
      <c r="E1318" t="inlineStr">
        <is>
          <t>ENKÖPING</t>
        </is>
      </c>
      <c r="F1318" t="inlineStr">
        <is>
          <t>Övriga statliga verk och myndigheter</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6345-2020</t>
        </is>
      </c>
      <c r="B1319" s="1" t="n">
        <v>43866</v>
      </c>
      <c r="C1319" s="1" t="n">
        <v>45846</v>
      </c>
      <c r="D1319" t="inlineStr">
        <is>
          <t>UPPSALA LÄN</t>
        </is>
      </c>
      <c r="E1319" t="inlineStr">
        <is>
          <t>ENKÖPING</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6754-2020</t>
        </is>
      </c>
      <c r="B1320" s="1" t="n">
        <v>43866</v>
      </c>
      <c r="C1320" s="1" t="n">
        <v>45846</v>
      </c>
      <c r="D1320" t="inlineStr">
        <is>
          <t>UPPSALA LÄN</t>
        </is>
      </c>
      <c r="E1320" t="inlineStr">
        <is>
          <t>HEBY</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6700-2020</t>
        </is>
      </c>
      <c r="B1321" s="1" t="n">
        <v>43866</v>
      </c>
      <c r="C1321" s="1" t="n">
        <v>45846</v>
      </c>
      <c r="D1321" t="inlineStr">
        <is>
          <t>UPPSALA LÄN</t>
        </is>
      </c>
      <c r="E1321" t="inlineStr">
        <is>
          <t>ENKÖPING</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6434-2020</t>
        </is>
      </c>
      <c r="B1322" s="1" t="n">
        <v>43866</v>
      </c>
      <c r="C1322" s="1" t="n">
        <v>45846</v>
      </c>
      <c r="D1322" t="inlineStr">
        <is>
          <t>UPPSALA LÄN</t>
        </is>
      </c>
      <c r="E1322" t="inlineStr">
        <is>
          <t>ENKÖPING</t>
        </is>
      </c>
      <c r="G1322" t="n">
        <v>8.4</v>
      </c>
      <c r="H1322" t="n">
        <v>0</v>
      </c>
      <c r="I1322" t="n">
        <v>0</v>
      </c>
      <c r="J1322" t="n">
        <v>0</v>
      </c>
      <c r="K1322" t="n">
        <v>0</v>
      </c>
      <c r="L1322" t="n">
        <v>0</v>
      </c>
      <c r="M1322" t="n">
        <v>0</v>
      </c>
      <c r="N1322" t="n">
        <v>0</v>
      </c>
      <c r="O1322" t="n">
        <v>0</v>
      </c>
      <c r="P1322" t="n">
        <v>0</v>
      </c>
      <c r="Q1322" t="n">
        <v>0</v>
      </c>
      <c r="R1322" s="2" t="inlineStr"/>
    </row>
    <row r="1323" ht="15" customHeight="1">
      <c r="A1323" t="inlineStr">
        <is>
          <t>A 6536-2020</t>
        </is>
      </c>
      <c r="B1323" s="1" t="n">
        <v>43867</v>
      </c>
      <c r="C1323" s="1" t="n">
        <v>45846</v>
      </c>
      <c r="D1323" t="inlineStr">
        <is>
          <t>UPPSALA LÄN</t>
        </is>
      </c>
      <c r="E1323" t="inlineStr">
        <is>
          <t>HEBY</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6676-2020</t>
        </is>
      </c>
      <c r="B1324" s="1" t="n">
        <v>43867</v>
      </c>
      <c r="C1324" s="1" t="n">
        <v>45846</v>
      </c>
      <c r="D1324" t="inlineStr">
        <is>
          <t>UPPSALA LÄN</t>
        </is>
      </c>
      <c r="E1324" t="inlineStr">
        <is>
          <t>HEBY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6791-2020</t>
        </is>
      </c>
      <c r="B1325" s="1" t="n">
        <v>43867</v>
      </c>
      <c r="C1325" s="1" t="n">
        <v>45846</v>
      </c>
      <c r="D1325" t="inlineStr">
        <is>
          <t>UPPSALA LÄN</t>
        </is>
      </c>
      <c r="E1325" t="inlineStr">
        <is>
          <t>ÖSTHAMMAR</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6655-2020</t>
        </is>
      </c>
      <c r="B1326" s="1" t="n">
        <v>43867</v>
      </c>
      <c r="C1326" s="1" t="n">
        <v>45846</v>
      </c>
      <c r="D1326" t="inlineStr">
        <is>
          <t>UPPSALA LÄN</t>
        </is>
      </c>
      <c r="E1326" t="inlineStr">
        <is>
          <t>UPPSALA</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6990-2020</t>
        </is>
      </c>
      <c r="B1327" s="1" t="n">
        <v>43868</v>
      </c>
      <c r="C1327" s="1" t="n">
        <v>45846</v>
      </c>
      <c r="D1327" t="inlineStr">
        <is>
          <t>UPPSALA LÄN</t>
        </is>
      </c>
      <c r="E1327" t="inlineStr">
        <is>
          <t>ENKÖPING</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7329-2020</t>
        </is>
      </c>
      <c r="B1328" s="1" t="n">
        <v>43871</v>
      </c>
      <c r="C1328" s="1" t="n">
        <v>45846</v>
      </c>
      <c r="D1328" t="inlineStr">
        <is>
          <t>UPPSALA LÄN</t>
        </is>
      </c>
      <c r="E1328" t="inlineStr">
        <is>
          <t>HEBY</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7397-2020</t>
        </is>
      </c>
      <c r="B1329" s="1" t="n">
        <v>43871</v>
      </c>
      <c r="C1329" s="1" t="n">
        <v>45846</v>
      </c>
      <c r="D1329" t="inlineStr">
        <is>
          <t>UPPSALA LÄN</t>
        </is>
      </c>
      <c r="E1329" t="inlineStr">
        <is>
          <t>HEBY</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7847-2020</t>
        </is>
      </c>
      <c r="B1330" s="1" t="n">
        <v>43873</v>
      </c>
      <c r="C1330" s="1" t="n">
        <v>45846</v>
      </c>
      <c r="D1330" t="inlineStr">
        <is>
          <t>UPPSALA LÄN</t>
        </is>
      </c>
      <c r="E1330" t="inlineStr">
        <is>
          <t>ÖSTHAMMAR</t>
        </is>
      </c>
      <c r="F1330" t="inlineStr">
        <is>
          <t>Övriga Aktiebolag</t>
        </is>
      </c>
      <c r="G1330" t="n">
        <v>15.3</v>
      </c>
      <c r="H1330" t="n">
        <v>0</v>
      </c>
      <c r="I1330" t="n">
        <v>0</v>
      </c>
      <c r="J1330" t="n">
        <v>0</v>
      </c>
      <c r="K1330" t="n">
        <v>0</v>
      </c>
      <c r="L1330" t="n">
        <v>0</v>
      </c>
      <c r="M1330" t="n">
        <v>0</v>
      </c>
      <c r="N1330" t="n">
        <v>0</v>
      </c>
      <c r="O1330" t="n">
        <v>0</v>
      </c>
      <c r="P1330" t="n">
        <v>0</v>
      </c>
      <c r="Q1330" t="n">
        <v>0</v>
      </c>
      <c r="R1330" s="2" t="inlineStr"/>
    </row>
    <row r="1331" ht="15" customHeight="1">
      <c r="A1331" t="inlineStr">
        <is>
          <t>A 8185-2020</t>
        </is>
      </c>
      <c r="B1331" s="1" t="n">
        <v>43874</v>
      </c>
      <c r="C1331" s="1" t="n">
        <v>45846</v>
      </c>
      <c r="D1331" t="inlineStr">
        <is>
          <t>UPPSALA LÄN</t>
        </is>
      </c>
      <c r="E1331" t="inlineStr">
        <is>
          <t>ENKÖPING</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8214-2020</t>
        </is>
      </c>
      <c r="B1332" s="1" t="n">
        <v>43874</v>
      </c>
      <c r="C1332" s="1" t="n">
        <v>45846</v>
      </c>
      <c r="D1332" t="inlineStr">
        <is>
          <t>UPPSALA LÄN</t>
        </is>
      </c>
      <c r="E1332" t="inlineStr">
        <is>
          <t>TIERP</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8261-2020</t>
        </is>
      </c>
      <c r="B1333" s="1" t="n">
        <v>43874</v>
      </c>
      <c r="C1333" s="1" t="n">
        <v>45846</v>
      </c>
      <c r="D1333" t="inlineStr">
        <is>
          <t>UPPSALA LÄN</t>
        </is>
      </c>
      <c r="E1333" t="inlineStr">
        <is>
          <t>UPPSALA</t>
        </is>
      </c>
      <c r="G1333" t="n">
        <v>5.1</v>
      </c>
      <c r="H1333" t="n">
        <v>0</v>
      </c>
      <c r="I1333" t="n">
        <v>0</v>
      </c>
      <c r="J1333" t="n">
        <v>0</v>
      </c>
      <c r="K1333" t="n">
        <v>0</v>
      </c>
      <c r="L1333" t="n">
        <v>0</v>
      </c>
      <c r="M1333" t="n">
        <v>0</v>
      </c>
      <c r="N1333" t="n">
        <v>0</v>
      </c>
      <c r="O1333" t="n">
        <v>0</v>
      </c>
      <c r="P1333" t="n">
        <v>0</v>
      </c>
      <c r="Q1333" t="n">
        <v>0</v>
      </c>
      <c r="R1333" s="2" t="inlineStr"/>
    </row>
    <row r="1334" ht="15" customHeight="1">
      <c r="A1334" t="inlineStr">
        <is>
          <t>A 8320-2020</t>
        </is>
      </c>
      <c r="B1334" s="1" t="n">
        <v>43875</v>
      </c>
      <c r="C1334" s="1" t="n">
        <v>45846</v>
      </c>
      <c r="D1334" t="inlineStr">
        <is>
          <t>UPPSALA LÄN</t>
        </is>
      </c>
      <c r="E1334" t="inlineStr">
        <is>
          <t>ENKÖPING</t>
        </is>
      </c>
      <c r="G1334" t="n">
        <v>6.1</v>
      </c>
      <c r="H1334" t="n">
        <v>0</v>
      </c>
      <c r="I1334" t="n">
        <v>0</v>
      </c>
      <c r="J1334" t="n">
        <v>0</v>
      </c>
      <c r="K1334" t="n">
        <v>0</v>
      </c>
      <c r="L1334" t="n">
        <v>0</v>
      </c>
      <c r="M1334" t="n">
        <v>0</v>
      </c>
      <c r="N1334" t="n">
        <v>0</v>
      </c>
      <c r="O1334" t="n">
        <v>0</v>
      </c>
      <c r="P1334" t="n">
        <v>0</v>
      </c>
      <c r="Q1334" t="n">
        <v>0</v>
      </c>
      <c r="R1334" s="2" t="inlineStr"/>
    </row>
    <row r="1335" ht="15" customHeight="1">
      <c r="A1335" t="inlineStr">
        <is>
          <t>A 8344-2020</t>
        </is>
      </c>
      <c r="B1335" s="1" t="n">
        <v>43875</v>
      </c>
      <c r="C1335" s="1" t="n">
        <v>45846</v>
      </c>
      <c r="D1335" t="inlineStr">
        <is>
          <t>UPPSALA LÄN</t>
        </is>
      </c>
      <c r="E1335" t="inlineStr">
        <is>
          <t>ENKÖPING</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8703-2020</t>
        </is>
      </c>
      <c r="B1336" s="1" t="n">
        <v>43875</v>
      </c>
      <c r="C1336" s="1" t="n">
        <v>45846</v>
      </c>
      <c r="D1336" t="inlineStr">
        <is>
          <t>UPPSALA LÄN</t>
        </is>
      </c>
      <c r="E1336" t="inlineStr">
        <is>
          <t>TIERP</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8692-2020</t>
        </is>
      </c>
      <c r="B1337" s="1" t="n">
        <v>43878</v>
      </c>
      <c r="C1337" s="1" t="n">
        <v>45846</v>
      </c>
      <c r="D1337" t="inlineStr">
        <is>
          <t>UPPSALA LÄN</t>
        </is>
      </c>
      <c r="E1337" t="inlineStr">
        <is>
          <t>ENKÖPING</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8646-2020</t>
        </is>
      </c>
      <c r="B1338" s="1" t="n">
        <v>43878</v>
      </c>
      <c r="C1338" s="1" t="n">
        <v>45846</v>
      </c>
      <c r="D1338" t="inlineStr">
        <is>
          <t>UPPSALA LÄN</t>
        </is>
      </c>
      <c r="E1338" t="inlineStr">
        <is>
          <t>UPPSALA</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8700-2020</t>
        </is>
      </c>
      <c r="B1339" s="1" t="n">
        <v>43878</v>
      </c>
      <c r="C1339" s="1" t="n">
        <v>45846</v>
      </c>
      <c r="D1339" t="inlineStr">
        <is>
          <t>UPPSALA LÄN</t>
        </is>
      </c>
      <c r="E1339" t="inlineStr">
        <is>
          <t>ENKÖPING</t>
        </is>
      </c>
      <c r="F1339" t="inlineStr">
        <is>
          <t>Kyrkan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8757-2020</t>
        </is>
      </c>
      <c r="B1340" s="1" t="n">
        <v>43878</v>
      </c>
      <c r="C1340" s="1" t="n">
        <v>45846</v>
      </c>
      <c r="D1340" t="inlineStr">
        <is>
          <t>UPPSALA LÄN</t>
        </is>
      </c>
      <c r="E1340" t="inlineStr">
        <is>
          <t>TIERP</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8902-2020</t>
        </is>
      </c>
      <c r="B1341" s="1" t="n">
        <v>43878</v>
      </c>
      <c r="C1341" s="1" t="n">
        <v>45846</v>
      </c>
      <c r="D1341" t="inlineStr">
        <is>
          <t>UPPSALA LÄN</t>
        </is>
      </c>
      <c r="E1341" t="inlineStr">
        <is>
          <t>UPPSALA</t>
        </is>
      </c>
      <c r="F1341" t="inlineStr">
        <is>
          <t>Kyrkan</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9011-2020</t>
        </is>
      </c>
      <c r="B1342" s="1" t="n">
        <v>43879</v>
      </c>
      <c r="C1342" s="1" t="n">
        <v>45846</v>
      </c>
      <c r="D1342" t="inlineStr">
        <is>
          <t>UPPSALA LÄN</t>
        </is>
      </c>
      <c r="E1342" t="inlineStr">
        <is>
          <t>UPPSALA</t>
        </is>
      </c>
      <c r="F1342" t="inlineStr">
        <is>
          <t>Övriga statliga verk och myndigheter</t>
        </is>
      </c>
      <c r="G1342" t="n">
        <v>9.699999999999999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9084-2020</t>
        </is>
      </c>
      <c r="B1343" s="1" t="n">
        <v>43879</v>
      </c>
      <c r="C1343" s="1" t="n">
        <v>45846</v>
      </c>
      <c r="D1343" t="inlineStr">
        <is>
          <t>UPPSALA LÄN</t>
        </is>
      </c>
      <c r="E1343" t="inlineStr">
        <is>
          <t>UPPSALA</t>
        </is>
      </c>
      <c r="F1343" t="inlineStr">
        <is>
          <t>Bergvik skog öst AB</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9122-2020</t>
        </is>
      </c>
      <c r="B1344" s="1" t="n">
        <v>43879</v>
      </c>
      <c r="C1344" s="1" t="n">
        <v>45846</v>
      </c>
      <c r="D1344" t="inlineStr">
        <is>
          <t>UPPSALA LÄN</t>
        </is>
      </c>
      <c r="E1344" t="inlineStr">
        <is>
          <t>ENKÖPING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9257-2020</t>
        </is>
      </c>
      <c r="B1345" s="1" t="n">
        <v>43879</v>
      </c>
      <c r="C1345" s="1" t="n">
        <v>45846</v>
      </c>
      <c r="D1345" t="inlineStr">
        <is>
          <t>UPPSALA LÄN</t>
        </is>
      </c>
      <c r="E1345" t="inlineStr">
        <is>
          <t>UPPSALA</t>
        </is>
      </c>
      <c r="F1345" t="inlineStr">
        <is>
          <t>Bergvik skog öst AB</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9351-2020</t>
        </is>
      </c>
      <c r="B1346" s="1" t="n">
        <v>43880</v>
      </c>
      <c r="C1346" s="1" t="n">
        <v>45846</v>
      </c>
      <c r="D1346" t="inlineStr">
        <is>
          <t>UPPSALA LÄN</t>
        </is>
      </c>
      <c r="E1346" t="inlineStr">
        <is>
          <t>ENKÖPING</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9380-2020</t>
        </is>
      </c>
      <c r="B1347" s="1" t="n">
        <v>43880</v>
      </c>
      <c r="C1347" s="1" t="n">
        <v>45846</v>
      </c>
      <c r="D1347" t="inlineStr">
        <is>
          <t>UPPSALA LÄN</t>
        </is>
      </c>
      <c r="E1347" t="inlineStr">
        <is>
          <t>ENKÖPING</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9334-2020</t>
        </is>
      </c>
      <c r="B1348" s="1" t="n">
        <v>43880</v>
      </c>
      <c r="C1348" s="1" t="n">
        <v>45846</v>
      </c>
      <c r="D1348" t="inlineStr">
        <is>
          <t>UPPSALA LÄN</t>
        </is>
      </c>
      <c r="E1348" t="inlineStr">
        <is>
          <t>TIERP</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9658-2020</t>
        </is>
      </c>
      <c r="B1349" s="1" t="n">
        <v>43881</v>
      </c>
      <c r="C1349" s="1" t="n">
        <v>45846</v>
      </c>
      <c r="D1349" t="inlineStr">
        <is>
          <t>UPPSALA LÄN</t>
        </is>
      </c>
      <c r="E1349" t="inlineStr">
        <is>
          <t>UPPSALA</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9927-2020</t>
        </is>
      </c>
      <c r="B1350" s="1" t="n">
        <v>43882</v>
      </c>
      <c r="C1350" s="1" t="n">
        <v>45846</v>
      </c>
      <c r="D1350" t="inlineStr">
        <is>
          <t>UPPSALA LÄN</t>
        </is>
      </c>
      <c r="E1350" t="inlineStr">
        <is>
          <t>HEBY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10003-2020</t>
        </is>
      </c>
      <c r="B1351" s="1" t="n">
        <v>43882</v>
      </c>
      <c r="C1351" s="1" t="n">
        <v>45846</v>
      </c>
      <c r="D1351" t="inlineStr">
        <is>
          <t>UPPSALA LÄN</t>
        </is>
      </c>
      <c r="E1351" t="inlineStr">
        <is>
          <t>UPPSALA</t>
        </is>
      </c>
      <c r="F1351" t="inlineStr">
        <is>
          <t>Kyrkan</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10039-2020</t>
        </is>
      </c>
      <c r="B1352" s="1" t="n">
        <v>43882</v>
      </c>
      <c r="C1352" s="1" t="n">
        <v>45846</v>
      </c>
      <c r="D1352" t="inlineStr">
        <is>
          <t>UPPSALA LÄN</t>
        </is>
      </c>
      <c r="E1352" t="inlineStr">
        <is>
          <t>TIERP</t>
        </is>
      </c>
      <c r="F1352" t="inlineStr">
        <is>
          <t>Bergvik skog väst AB</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9914-2020</t>
        </is>
      </c>
      <c r="B1353" s="1" t="n">
        <v>43882</v>
      </c>
      <c r="C1353" s="1" t="n">
        <v>45846</v>
      </c>
      <c r="D1353" t="inlineStr">
        <is>
          <t>UPPSALA LÄN</t>
        </is>
      </c>
      <c r="E1353" t="inlineStr">
        <is>
          <t>HEBY</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9949-2020</t>
        </is>
      </c>
      <c r="B1354" s="1" t="n">
        <v>43882</v>
      </c>
      <c r="C1354" s="1" t="n">
        <v>45846</v>
      </c>
      <c r="D1354" t="inlineStr">
        <is>
          <t>UPPSALA LÄN</t>
        </is>
      </c>
      <c r="E1354" t="inlineStr">
        <is>
          <t>UPPSALA</t>
        </is>
      </c>
      <c r="F1354" t="inlineStr">
        <is>
          <t>Kyrkan</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10033-2020</t>
        </is>
      </c>
      <c r="B1355" s="1" t="n">
        <v>43882</v>
      </c>
      <c r="C1355" s="1" t="n">
        <v>45846</v>
      </c>
      <c r="D1355" t="inlineStr">
        <is>
          <t>UPPSALA LÄN</t>
        </is>
      </c>
      <c r="E1355" t="inlineStr">
        <is>
          <t>UPPSALA</t>
        </is>
      </c>
      <c r="G1355" t="n">
        <v>4.6</v>
      </c>
      <c r="H1355" t="n">
        <v>0</v>
      </c>
      <c r="I1355" t="n">
        <v>0</v>
      </c>
      <c r="J1355" t="n">
        <v>0</v>
      </c>
      <c r="K1355" t="n">
        <v>0</v>
      </c>
      <c r="L1355" t="n">
        <v>0</v>
      </c>
      <c r="M1355" t="n">
        <v>0</v>
      </c>
      <c r="N1355" t="n">
        <v>0</v>
      </c>
      <c r="O1355" t="n">
        <v>0</v>
      </c>
      <c r="P1355" t="n">
        <v>0</v>
      </c>
      <c r="Q1355" t="n">
        <v>0</v>
      </c>
      <c r="R1355" s="2" t="inlineStr"/>
    </row>
    <row r="1356" ht="15" customHeight="1">
      <c r="A1356" t="inlineStr">
        <is>
          <t>A 10008-2020</t>
        </is>
      </c>
      <c r="B1356" s="1" t="n">
        <v>43882</v>
      </c>
      <c r="C1356" s="1" t="n">
        <v>45846</v>
      </c>
      <c r="D1356" t="inlineStr">
        <is>
          <t>UPPSALA LÄN</t>
        </is>
      </c>
      <c r="E1356" t="inlineStr">
        <is>
          <t>ÖSTHAMMAR</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10345-2020</t>
        </is>
      </c>
      <c r="B1357" s="1" t="n">
        <v>43885</v>
      </c>
      <c r="C1357" s="1" t="n">
        <v>45846</v>
      </c>
      <c r="D1357" t="inlineStr">
        <is>
          <t>UPPSALA LÄN</t>
        </is>
      </c>
      <c r="E1357" t="inlineStr">
        <is>
          <t>ÖSTHAMMAR</t>
        </is>
      </c>
      <c r="F1357" t="inlineStr">
        <is>
          <t>Allmännings- och besparingsskogar</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10347-2020</t>
        </is>
      </c>
      <c r="B1358" s="1" t="n">
        <v>43885</v>
      </c>
      <c r="C1358" s="1" t="n">
        <v>45846</v>
      </c>
      <c r="D1358" t="inlineStr">
        <is>
          <t>UPPSALA LÄN</t>
        </is>
      </c>
      <c r="E1358" t="inlineStr">
        <is>
          <t>ÖSTHAMMAR</t>
        </is>
      </c>
      <c r="F1358" t="inlineStr">
        <is>
          <t>Allmännings- och besparingsskogar</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10478-2020</t>
        </is>
      </c>
      <c r="B1359" s="1" t="n">
        <v>43886</v>
      </c>
      <c r="C1359" s="1" t="n">
        <v>45846</v>
      </c>
      <c r="D1359" t="inlineStr">
        <is>
          <t>UPPSALA LÄN</t>
        </is>
      </c>
      <c r="E1359" t="inlineStr">
        <is>
          <t>UPPSALA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11540-2020</t>
        </is>
      </c>
      <c r="B1360" s="1" t="n">
        <v>43887</v>
      </c>
      <c r="C1360" s="1" t="n">
        <v>45846</v>
      </c>
      <c r="D1360" t="inlineStr">
        <is>
          <t>UPPSALA LÄN</t>
        </is>
      </c>
      <c r="E1360" t="inlineStr">
        <is>
          <t>UPPSALA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10795-2020</t>
        </is>
      </c>
      <c r="B1361" s="1" t="n">
        <v>43888</v>
      </c>
      <c r="C1361" s="1" t="n">
        <v>45846</v>
      </c>
      <c r="D1361" t="inlineStr">
        <is>
          <t>UPPSALA LÄN</t>
        </is>
      </c>
      <c r="E1361" t="inlineStr">
        <is>
          <t>ENKÖPING</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11060-2020</t>
        </is>
      </c>
      <c r="B1362" s="1" t="n">
        <v>43889</v>
      </c>
      <c r="C1362" s="1" t="n">
        <v>45846</v>
      </c>
      <c r="D1362" t="inlineStr">
        <is>
          <t>UPPSALA LÄN</t>
        </is>
      </c>
      <c r="E1362" t="inlineStr">
        <is>
          <t>ENKÖPING</t>
        </is>
      </c>
      <c r="G1362" t="n">
        <v>22.7</v>
      </c>
      <c r="H1362" t="n">
        <v>0</v>
      </c>
      <c r="I1362" t="n">
        <v>0</v>
      </c>
      <c r="J1362" t="n">
        <v>0</v>
      </c>
      <c r="K1362" t="n">
        <v>0</v>
      </c>
      <c r="L1362" t="n">
        <v>0</v>
      </c>
      <c r="M1362" t="n">
        <v>0</v>
      </c>
      <c r="N1362" t="n">
        <v>0</v>
      </c>
      <c r="O1362" t="n">
        <v>0</v>
      </c>
      <c r="P1362" t="n">
        <v>0</v>
      </c>
      <c r="Q1362" t="n">
        <v>0</v>
      </c>
      <c r="R1362" s="2" t="inlineStr"/>
    </row>
    <row r="1363" ht="15" customHeight="1">
      <c r="A1363" t="inlineStr">
        <is>
          <t>A 11152-2020</t>
        </is>
      </c>
      <c r="B1363" s="1" t="n">
        <v>43891</v>
      </c>
      <c r="C1363" s="1" t="n">
        <v>45846</v>
      </c>
      <c r="D1363" t="inlineStr">
        <is>
          <t>UPPSALA LÄN</t>
        </is>
      </c>
      <c r="E1363" t="inlineStr">
        <is>
          <t>HEBY</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11151-2020</t>
        </is>
      </c>
      <c r="B1364" s="1" t="n">
        <v>43891</v>
      </c>
      <c r="C1364" s="1" t="n">
        <v>45846</v>
      </c>
      <c r="D1364" t="inlineStr">
        <is>
          <t>UPPSALA LÄN</t>
        </is>
      </c>
      <c r="E1364" t="inlineStr">
        <is>
          <t>HEBY</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11174-2020</t>
        </is>
      </c>
      <c r="B1365" s="1" t="n">
        <v>43891</v>
      </c>
      <c r="C1365" s="1" t="n">
        <v>45846</v>
      </c>
      <c r="D1365" t="inlineStr">
        <is>
          <t>UPPSALA LÄN</t>
        </is>
      </c>
      <c r="E1365" t="inlineStr">
        <is>
          <t>UPPSALA</t>
        </is>
      </c>
      <c r="F1365" t="inlineStr">
        <is>
          <t>Övriga statliga verk och myndigheter</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11166-2020</t>
        </is>
      </c>
      <c r="B1366" s="1" t="n">
        <v>43891</v>
      </c>
      <c r="C1366" s="1" t="n">
        <v>45846</v>
      </c>
      <c r="D1366" t="inlineStr">
        <is>
          <t>UPPSALA LÄN</t>
        </is>
      </c>
      <c r="E1366" t="inlineStr">
        <is>
          <t>HEBY</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11165-2020</t>
        </is>
      </c>
      <c r="B1367" s="1" t="n">
        <v>43891</v>
      </c>
      <c r="C1367" s="1" t="n">
        <v>45846</v>
      </c>
      <c r="D1367" t="inlineStr">
        <is>
          <t>UPPSALA LÄN</t>
        </is>
      </c>
      <c r="E1367" t="inlineStr">
        <is>
          <t>HEBY</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11281-2020</t>
        </is>
      </c>
      <c r="B1368" s="1" t="n">
        <v>43892</v>
      </c>
      <c r="C1368" s="1" t="n">
        <v>45846</v>
      </c>
      <c r="D1368" t="inlineStr">
        <is>
          <t>UPPSALA LÄN</t>
        </is>
      </c>
      <c r="E1368" t="inlineStr">
        <is>
          <t>HÅBO</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12626-2020</t>
        </is>
      </c>
      <c r="B1369" s="1" t="n">
        <v>43892</v>
      </c>
      <c r="C1369" s="1" t="n">
        <v>45846</v>
      </c>
      <c r="D1369" t="inlineStr">
        <is>
          <t>UPPSALA LÄN</t>
        </is>
      </c>
      <c r="E1369" t="inlineStr">
        <is>
          <t>UPPSALA</t>
        </is>
      </c>
      <c r="G1369" t="n">
        <v>11.4</v>
      </c>
      <c r="H1369" t="n">
        <v>0</v>
      </c>
      <c r="I1369" t="n">
        <v>0</v>
      </c>
      <c r="J1369" t="n">
        <v>0</v>
      </c>
      <c r="K1369" t="n">
        <v>0</v>
      </c>
      <c r="L1369" t="n">
        <v>0</v>
      </c>
      <c r="M1369" t="n">
        <v>0</v>
      </c>
      <c r="N1369" t="n">
        <v>0</v>
      </c>
      <c r="O1369" t="n">
        <v>0</v>
      </c>
      <c r="P1369" t="n">
        <v>0</v>
      </c>
      <c r="Q1369" t="n">
        <v>0</v>
      </c>
      <c r="R1369" s="2" t="inlineStr"/>
    </row>
    <row r="1370" ht="15" customHeight="1">
      <c r="A1370" t="inlineStr">
        <is>
          <t>A 11336-2020</t>
        </is>
      </c>
      <c r="B1370" s="1" t="n">
        <v>43892</v>
      </c>
      <c r="C1370" s="1" t="n">
        <v>45846</v>
      </c>
      <c r="D1370" t="inlineStr">
        <is>
          <t>UPPSALA LÄN</t>
        </is>
      </c>
      <c r="E1370" t="inlineStr">
        <is>
          <t>UPPSALA</t>
        </is>
      </c>
      <c r="F1370" t="inlineStr">
        <is>
          <t>Kyrkan</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11320-2020</t>
        </is>
      </c>
      <c r="B1371" s="1" t="n">
        <v>43892</v>
      </c>
      <c r="C1371" s="1" t="n">
        <v>45846</v>
      </c>
      <c r="D1371" t="inlineStr">
        <is>
          <t>UPPSALA LÄN</t>
        </is>
      </c>
      <c r="E1371" t="inlineStr">
        <is>
          <t>UPPSALA</t>
        </is>
      </c>
      <c r="F1371" t="inlineStr">
        <is>
          <t>Kyrkan</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11228-2020</t>
        </is>
      </c>
      <c r="B1372" s="1" t="n">
        <v>43892</v>
      </c>
      <c r="C1372" s="1" t="n">
        <v>45846</v>
      </c>
      <c r="D1372" t="inlineStr">
        <is>
          <t>UPPSALA LÄN</t>
        </is>
      </c>
      <c r="E1372" t="inlineStr">
        <is>
          <t>ENKÖPING</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11433-2020</t>
        </is>
      </c>
      <c r="B1373" s="1" t="n">
        <v>43893</v>
      </c>
      <c r="C1373" s="1" t="n">
        <v>45846</v>
      </c>
      <c r="D1373" t="inlineStr">
        <is>
          <t>UPPSALA LÄN</t>
        </is>
      </c>
      <c r="E1373" t="inlineStr">
        <is>
          <t>TIERP</t>
        </is>
      </c>
      <c r="F1373" t="inlineStr">
        <is>
          <t>Bergvik skog väst AB</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12028-2020</t>
        </is>
      </c>
      <c r="B1374" s="1" t="n">
        <v>43894</v>
      </c>
      <c r="C1374" s="1" t="n">
        <v>45846</v>
      </c>
      <c r="D1374" t="inlineStr">
        <is>
          <t>UPPSALA LÄN</t>
        </is>
      </c>
      <c r="E1374" t="inlineStr">
        <is>
          <t>UPPSALA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12055-2020</t>
        </is>
      </c>
      <c r="B1375" s="1" t="n">
        <v>43894</v>
      </c>
      <c r="C1375" s="1" t="n">
        <v>45846</v>
      </c>
      <c r="D1375" t="inlineStr">
        <is>
          <t>UPPSALA LÄN</t>
        </is>
      </c>
      <c r="E1375" t="inlineStr">
        <is>
          <t>UPPSALA</t>
        </is>
      </c>
      <c r="G1375" t="n">
        <v>6.2</v>
      </c>
      <c r="H1375" t="n">
        <v>0</v>
      </c>
      <c r="I1375" t="n">
        <v>0</v>
      </c>
      <c r="J1375" t="n">
        <v>0</v>
      </c>
      <c r="K1375" t="n">
        <v>0</v>
      </c>
      <c r="L1375" t="n">
        <v>0</v>
      </c>
      <c r="M1375" t="n">
        <v>0</v>
      </c>
      <c r="N1375" t="n">
        <v>0</v>
      </c>
      <c r="O1375" t="n">
        <v>0</v>
      </c>
      <c r="P1375" t="n">
        <v>0</v>
      </c>
      <c r="Q1375" t="n">
        <v>0</v>
      </c>
      <c r="R1375" s="2" t="inlineStr"/>
    </row>
    <row r="1376" ht="15" customHeight="1">
      <c r="A1376" t="inlineStr">
        <is>
          <t>A 12080-2020</t>
        </is>
      </c>
      <c r="B1376" s="1" t="n">
        <v>43895</v>
      </c>
      <c r="C1376" s="1" t="n">
        <v>45846</v>
      </c>
      <c r="D1376" t="inlineStr">
        <is>
          <t>UPPSALA LÄN</t>
        </is>
      </c>
      <c r="E1376" t="inlineStr">
        <is>
          <t>ÖSTHAMMAR</t>
        </is>
      </c>
      <c r="F1376" t="inlineStr">
        <is>
          <t>Övriga Aktiebolag</t>
        </is>
      </c>
      <c r="G1376" t="n">
        <v>13.9</v>
      </c>
      <c r="H1376" t="n">
        <v>0</v>
      </c>
      <c r="I1376" t="n">
        <v>0</v>
      </c>
      <c r="J1376" t="n">
        <v>0</v>
      </c>
      <c r="K1376" t="n">
        <v>0</v>
      </c>
      <c r="L1376" t="n">
        <v>0</v>
      </c>
      <c r="M1376" t="n">
        <v>0</v>
      </c>
      <c r="N1376" t="n">
        <v>0</v>
      </c>
      <c r="O1376" t="n">
        <v>0</v>
      </c>
      <c r="P1376" t="n">
        <v>0</v>
      </c>
      <c r="Q1376" t="n">
        <v>0</v>
      </c>
      <c r="R1376" s="2" t="inlineStr"/>
    </row>
    <row r="1377" ht="15" customHeight="1">
      <c r="A1377" t="inlineStr">
        <is>
          <t>A 12272-2020</t>
        </is>
      </c>
      <c r="B1377" s="1" t="n">
        <v>43895</v>
      </c>
      <c r="C1377" s="1" t="n">
        <v>45846</v>
      </c>
      <c r="D1377" t="inlineStr">
        <is>
          <t>UPPSALA LÄN</t>
        </is>
      </c>
      <c r="E1377" t="inlineStr">
        <is>
          <t>ENKÖPING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12427-2020</t>
        </is>
      </c>
      <c r="B1378" s="1" t="n">
        <v>43896</v>
      </c>
      <c r="C1378" s="1" t="n">
        <v>45846</v>
      </c>
      <c r="D1378" t="inlineStr">
        <is>
          <t>UPPSALA LÄN</t>
        </is>
      </c>
      <c r="E1378" t="inlineStr">
        <is>
          <t>TIERP</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12848-2020</t>
        </is>
      </c>
      <c r="B1379" s="1" t="n">
        <v>43899</v>
      </c>
      <c r="C1379" s="1" t="n">
        <v>45846</v>
      </c>
      <c r="D1379" t="inlineStr">
        <is>
          <t>UPPSALA LÄN</t>
        </is>
      </c>
      <c r="E1379" t="inlineStr">
        <is>
          <t>UPPSALA</t>
        </is>
      </c>
      <c r="G1379" t="n">
        <v>10.3</v>
      </c>
      <c r="H1379" t="n">
        <v>0</v>
      </c>
      <c r="I1379" t="n">
        <v>0</v>
      </c>
      <c r="J1379" t="n">
        <v>0</v>
      </c>
      <c r="K1379" t="n">
        <v>0</v>
      </c>
      <c r="L1379" t="n">
        <v>0</v>
      </c>
      <c r="M1379" t="n">
        <v>0</v>
      </c>
      <c r="N1379" t="n">
        <v>0</v>
      </c>
      <c r="O1379" t="n">
        <v>0</v>
      </c>
      <c r="P1379" t="n">
        <v>0</v>
      </c>
      <c r="Q1379" t="n">
        <v>0</v>
      </c>
      <c r="R1379" s="2" t="inlineStr"/>
    </row>
    <row r="1380" ht="15" customHeight="1">
      <c r="A1380" t="inlineStr">
        <is>
          <t>A 12781-2020</t>
        </is>
      </c>
      <c r="B1380" s="1" t="n">
        <v>43899</v>
      </c>
      <c r="C1380" s="1" t="n">
        <v>45846</v>
      </c>
      <c r="D1380" t="inlineStr">
        <is>
          <t>UPPSALA LÄN</t>
        </is>
      </c>
      <c r="E1380" t="inlineStr">
        <is>
          <t>UPPSALA</t>
        </is>
      </c>
      <c r="F1380" t="inlineStr">
        <is>
          <t>Kyrkan</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13447-2020</t>
        </is>
      </c>
      <c r="B1381" s="1" t="n">
        <v>43900</v>
      </c>
      <c r="C1381" s="1" t="n">
        <v>45846</v>
      </c>
      <c r="D1381" t="inlineStr">
        <is>
          <t>UPPSALA LÄN</t>
        </is>
      </c>
      <c r="E1381" t="inlineStr">
        <is>
          <t>HÅBO</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12912-2020</t>
        </is>
      </c>
      <c r="B1382" s="1" t="n">
        <v>43900</v>
      </c>
      <c r="C1382" s="1" t="n">
        <v>45846</v>
      </c>
      <c r="D1382" t="inlineStr">
        <is>
          <t>UPPSALA LÄN</t>
        </is>
      </c>
      <c r="E1382" t="inlineStr">
        <is>
          <t>TIERP</t>
        </is>
      </c>
      <c r="F1382" t="inlineStr">
        <is>
          <t>Bergvik skog väst AB</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13140-2020</t>
        </is>
      </c>
      <c r="B1383" s="1" t="n">
        <v>43901</v>
      </c>
      <c r="C1383" s="1" t="n">
        <v>45846</v>
      </c>
      <c r="D1383" t="inlineStr">
        <is>
          <t>UPPSALA LÄN</t>
        </is>
      </c>
      <c r="E1383" t="inlineStr">
        <is>
          <t>HEBY</t>
        </is>
      </c>
      <c r="F1383" t="inlineStr">
        <is>
          <t>Kyrkan</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13175-2020</t>
        </is>
      </c>
      <c r="B1384" s="1" t="n">
        <v>43901</v>
      </c>
      <c r="C1384" s="1" t="n">
        <v>45846</v>
      </c>
      <c r="D1384" t="inlineStr">
        <is>
          <t>UPPSALA LÄN</t>
        </is>
      </c>
      <c r="E1384" t="inlineStr">
        <is>
          <t>HEBY</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13141-2020</t>
        </is>
      </c>
      <c r="B1385" s="1" t="n">
        <v>43901</v>
      </c>
      <c r="C1385" s="1" t="n">
        <v>45846</v>
      </c>
      <c r="D1385" t="inlineStr">
        <is>
          <t>UPPSALA LÄN</t>
        </is>
      </c>
      <c r="E1385" t="inlineStr">
        <is>
          <t>HEBY</t>
        </is>
      </c>
      <c r="F1385" t="inlineStr">
        <is>
          <t>Kyrkan</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13180-2020</t>
        </is>
      </c>
      <c r="B1386" s="1" t="n">
        <v>43901</v>
      </c>
      <c r="C1386" s="1" t="n">
        <v>45846</v>
      </c>
      <c r="D1386" t="inlineStr">
        <is>
          <t>UPPSALA LÄN</t>
        </is>
      </c>
      <c r="E1386" t="inlineStr">
        <is>
          <t>HEBY</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13112-2020</t>
        </is>
      </c>
      <c r="B1387" s="1" t="n">
        <v>43901</v>
      </c>
      <c r="C1387" s="1" t="n">
        <v>45846</v>
      </c>
      <c r="D1387" t="inlineStr">
        <is>
          <t>UPPSALA LÄN</t>
        </is>
      </c>
      <c r="E1387" t="inlineStr">
        <is>
          <t>ÖSTHAMMAR</t>
        </is>
      </c>
      <c r="F1387" t="inlineStr">
        <is>
          <t>Övriga Aktiebolag</t>
        </is>
      </c>
      <c r="G1387" t="n">
        <v>6.5</v>
      </c>
      <c r="H1387" t="n">
        <v>0</v>
      </c>
      <c r="I1387" t="n">
        <v>0</v>
      </c>
      <c r="J1387" t="n">
        <v>0</v>
      </c>
      <c r="K1387" t="n">
        <v>0</v>
      </c>
      <c r="L1387" t="n">
        <v>0</v>
      </c>
      <c r="M1387" t="n">
        <v>0</v>
      </c>
      <c r="N1387" t="n">
        <v>0</v>
      </c>
      <c r="O1387" t="n">
        <v>0</v>
      </c>
      <c r="P1387" t="n">
        <v>0</v>
      </c>
      <c r="Q1387" t="n">
        <v>0</v>
      </c>
      <c r="R1387" s="2" t="inlineStr"/>
    </row>
    <row r="1388" ht="15" customHeight="1">
      <c r="A1388" t="inlineStr">
        <is>
          <t>A 13582-2020</t>
        </is>
      </c>
      <c r="B1388" s="1" t="n">
        <v>43901</v>
      </c>
      <c r="C1388" s="1" t="n">
        <v>45846</v>
      </c>
      <c r="D1388" t="inlineStr">
        <is>
          <t>UPPSALA LÄN</t>
        </is>
      </c>
      <c r="E1388" t="inlineStr">
        <is>
          <t>HÅBO</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14627-2020</t>
        </is>
      </c>
      <c r="B1389" s="1" t="n">
        <v>43901</v>
      </c>
      <c r="C1389" s="1" t="n">
        <v>45846</v>
      </c>
      <c r="D1389" t="inlineStr">
        <is>
          <t>UPPSALA LÄN</t>
        </is>
      </c>
      <c r="E1389" t="inlineStr">
        <is>
          <t>TIERP</t>
        </is>
      </c>
      <c r="F1389" t="inlineStr">
        <is>
          <t>Bergvik skog väst AB</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13310-2020</t>
        </is>
      </c>
      <c r="B1390" s="1" t="n">
        <v>43902</v>
      </c>
      <c r="C1390" s="1" t="n">
        <v>45846</v>
      </c>
      <c r="D1390" t="inlineStr">
        <is>
          <t>UPPSALA LÄN</t>
        </is>
      </c>
      <c r="E1390" t="inlineStr">
        <is>
          <t>ÖSTHAMMAR</t>
        </is>
      </c>
      <c r="F1390" t="inlineStr">
        <is>
          <t>Bergvik skog öst AB</t>
        </is>
      </c>
      <c r="G1390" t="n">
        <v>14.4</v>
      </c>
      <c r="H1390" t="n">
        <v>0</v>
      </c>
      <c r="I1390" t="n">
        <v>0</v>
      </c>
      <c r="J1390" t="n">
        <v>0</v>
      </c>
      <c r="K1390" t="n">
        <v>0</v>
      </c>
      <c r="L1390" t="n">
        <v>0</v>
      </c>
      <c r="M1390" t="n">
        <v>0</v>
      </c>
      <c r="N1390" t="n">
        <v>0</v>
      </c>
      <c r="O1390" t="n">
        <v>0</v>
      </c>
      <c r="P1390" t="n">
        <v>0</v>
      </c>
      <c r="Q1390" t="n">
        <v>0</v>
      </c>
      <c r="R1390" s="2" t="inlineStr"/>
    </row>
    <row r="1391" ht="15" customHeight="1">
      <c r="A1391" t="inlineStr">
        <is>
          <t>A 13547-2020</t>
        </is>
      </c>
      <c r="B1391" s="1" t="n">
        <v>43902</v>
      </c>
      <c r="C1391" s="1" t="n">
        <v>45846</v>
      </c>
      <c r="D1391" t="inlineStr">
        <is>
          <t>UPPSALA LÄN</t>
        </is>
      </c>
      <c r="E1391" t="inlineStr">
        <is>
          <t>KNIVSTA</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13636-2020</t>
        </is>
      </c>
      <c r="B1392" s="1" t="n">
        <v>43903</v>
      </c>
      <c r="C1392" s="1" t="n">
        <v>45846</v>
      </c>
      <c r="D1392" t="inlineStr">
        <is>
          <t>UPPSALA LÄN</t>
        </is>
      </c>
      <c r="E1392" t="inlineStr">
        <is>
          <t>UPPSALA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13595-2020</t>
        </is>
      </c>
      <c r="B1393" s="1" t="n">
        <v>43903</v>
      </c>
      <c r="C1393" s="1" t="n">
        <v>45846</v>
      </c>
      <c r="D1393" t="inlineStr">
        <is>
          <t>UPPSALA LÄN</t>
        </is>
      </c>
      <c r="E1393" t="inlineStr">
        <is>
          <t>ÖSTHAMMAR</t>
        </is>
      </c>
      <c r="F1393" t="inlineStr">
        <is>
          <t>Bergvik skog öst AB</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13996-2020</t>
        </is>
      </c>
      <c r="B1394" s="1" t="n">
        <v>43906</v>
      </c>
      <c r="C1394" s="1" t="n">
        <v>45846</v>
      </c>
      <c r="D1394" t="inlineStr">
        <is>
          <t>UPPSALA LÄN</t>
        </is>
      </c>
      <c r="E1394" t="inlineStr">
        <is>
          <t>KNIVSTA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13865-2020</t>
        </is>
      </c>
      <c r="B1395" s="1" t="n">
        <v>43906</v>
      </c>
      <c r="C1395" s="1" t="n">
        <v>45846</v>
      </c>
      <c r="D1395" t="inlineStr">
        <is>
          <t>UPPSALA LÄN</t>
        </is>
      </c>
      <c r="E1395" t="inlineStr">
        <is>
          <t>HEBY</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14005-2020</t>
        </is>
      </c>
      <c r="B1396" s="1" t="n">
        <v>43906</v>
      </c>
      <c r="C1396" s="1" t="n">
        <v>45846</v>
      </c>
      <c r="D1396" t="inlineStr">
        <is>
          <t>UPPSALA LÄN</t>
        </is>
      </c>
      <c r="E1396" t="inlineStr">
        <is>
          <t>KNIVSTA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13945-2020</t>
        </is>
      </c>
      <c r="B1397" s="1" t="n">
        <v>43906</v>
      </c>
      <c r="C1397" s="1" t="n">
        <v>45846</v>
      </c>
      <c r="D1397" t="inlineStr">
        <is>
          <t>UPPSALA LÄN</t>
        </is>
      </c>
      <c r="E1397" t="inlineStr">
        <is>
          <t>ÖSTHAMMAR</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14017-2020</t>
        </is>
      </c>
      <c r="B1398" s="1" t="n">
        <v>43906</v>
      </c>
      <c r="C1398" s="1" t="n">
        <v>45846</v>
      </c>
      <c r="D1398" t="inlineStr">
        <is>
          <t>UPPSALA LÄN</t>
        </is>
      </c>
      <c r="E1398" t="inlineStr">
        <is>
          <t>TIERP</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14469-2020</t>
        </is>
      </c>
      <c r="B1399" s="1" t="n">
        <v>43908</v>
      </c>
      <c r="C1399" s="1" t="n">
        <v>45846</v>
      </c>
      <c r="D1399" t="inlineStr">
        <is>
          <t>UPPSALA LÄN</t>
        </is>
      </c>
      <c r="E1399" t="inlineStr">
        <is>
          <t>UPPSALA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14423-2020</t>
        </is>
      </c>
      <c r="B1400" s="1" t="n">
        <v>43908</v>
      </c>
      <c r="C1400" s="1" t="n">
        <v>45846</v>
      </c>
      <c r="D1400" t="inlineStr">
        <is>
          <t>UPPSALA LÄN</t>
        </is>
      </c>
      <c r="E1400" t="inlineStr">
        <is>
          <t>UPPSALA</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14472-2020</t>
        </is>
      </c>
      <c r="B1401" s="1" t="n">
        <v>43908</v>
      </c>
      <c r="C1401" s="1" t="n">
        <v>45846</v>
      </c>
      <c r="D1401" t="inlineStr">
        <is>
          <t>UPPSALA LÄN</t>
        </is>
      </c>
      <c r="E1401" t="inlineStr">
        <is>
          <t>UPPSALA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14427-2020</t>
        </is>
      </c>
      <c r="B1402" s="1" t="n">
        <v>43908</v>
      </c>
      <c r="C1402" s="1" t="n">
        <v>45846</v>
      </c>
      <c r="D1402" t="inlineStr">
        <is>
          <t>UPPSALA LÄN</t>
        </is>
      </c>
      <c r="E1402" t="inlineStr">
        <is>
          <t>UPPSALA</t>
        </is>
      </c>
      <c r="F1402" t="inlineStr">
        <is>
          <t>Bergvik skog öst AB</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14783-2020</t>
        </is>
      </c>
      <c r="B1403" s="1" t="n">
        <v>43909</v>
      </c>
      <c r="C1403" s="1" t="n">
        <v>45846</v>
      </c>
      <c r="D1403" t="inlineStr">
        <is>
          <t>UPPSALA LÄN</t>
        </is>
      </c>
      <c r="E1403" t="inlineStr">
        <is>
          <t>HEBY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14802-2020</t>
        </is>
      </c>
      <c r="B1404" s="1" t="n">
        <v>43909</v>
      </c>
      <c r="C1404" s="1" t="n">
        <v>45846</v>
      </c>
      <c r="D1404" t="inlineStr">
        <is>
          <t>UPPSALA LÄN</t>
        </is>
      </c>
      <c r="E1404" t="inlineStr">
        <is>
          <t>ÖSTHAMMAR</t>
        </is>
      </c>
      <c r="F1404" t="inlineStr">
        <is>
          <t>Allmännings- och besparingsskogar</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14817-2020</t>
        </is>
      </c>
      <c r="B1405" s="1" t="n">
        <v>43909</v>
      </c>
      <c r="C1405" s="1" t="n">
        <v>45846</v>
      </c>
      <c r="D1405" t="inlineStr">
        <is>
          <t>UPPSALA LÄN</t>
        </is>
      </c>
      <c r="E1405" t="inlineStr">
        <is>
          <t>ÖSTHAMMAR</t>
        </is>
      </c>
      <c r="F1405" t="inlineStr">
        <is>
          <t>Bergvik skog öst AB</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14823-2020</t>
        </is>
      </c>
      <c r="B1406" s="1" t="n">
        <v>43909</v>
      </c>
      <c r="C1406" s="1" t="n">
        <v>45846</v>
      </c>
      <c r="D1406" t="inlineStr">
        <is>
          <t>UPPSALA LÄN</t>
        </is>
      </c>
      <c r="E1406" t="inlineStr">
        <is>
          <t>HEBY</t>
        </is>
      </c>
      <c r="G1406" t="n">
        <v>6.3</v>
      </c>
      <c r="H1406" t="n">
        <v>0</v>
      </c>
      <c r="I1406" t="n">
        <v>0</v>
      </c>
      <c r="J1406" t="n">
        <v>0</v>
      </c>
      <c r="K1406" t="n">
        <v>0</v>
      </c>
      <c r="L1406" t="n">
        <v>0</v>
      </c>
      <c r="M1406" t="n">
        <v>0</v>
      </c>
      <c r="N1406" t="n">
        <v>0</v>
      </c>
      <c r="O1406" t="n">
        <v>0</v>
      </c>
      <c r="P1406" t="n">
        <v>0</v>
      </c>
      <c r="Q1406" t="n">
        <v>0</v>
      </c>
      <c r="R1406" s="2" t="inlineStr"/>
    </row>
    <row r="1407" ht="15" customHeight="1">
      <c r="A1407" t="inlineStr">
        <is>
          <t>A 14777-2020</t>
        </is>
      </c>
      <c r="B1407" s="1" t="n">
        <v>43909</v>
      </c>
      <c r="C1407" s="1" t="n">
        <v>45846</v>
      </c>
      <c r="D1407" t="inlineStr">
        <is>
          <t>UPPSALA LÄN</t>
        </is>
      </c>
      <c r="E1407" t="inlineStr">
        <is>
          <t>HEBY</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14814-2020</t>
        </is>
      </c>
      <c r="B1408" s="1" t="n">
        <v>43909</v>
      </c>
      <c r="C1408" s="1" t="n">
        <v>45846</v>
      </c>
      <c r="D1408" t="inlineStr">
        <is>
          <t>UPPSALA LÄN</t>
        </is>
      </c>
      <c r="E1408" t="inlineStr">
        <is>
          <t>HEBY</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15067-2020</t>
        </is>
      </c>
      <c r="B1409" s="1" t="n">
        <v>43910</v>
      </c>
      <c r="C1409" s="1" t="n">
        <v>45846</v>
      </c>
      <c r="D1409" t="inlineStr">
        <is>
          <t>UPPSALA LÄN</t>
        </is>
      </c>
      <c r="E1409" t="inlineStr">
        <is>
          <t>ÖSTHAMMAR</t>
        </is>
      </c>
      <c r="F1409" t="inlineStr">
        <is>
          <t>Bergvik skog öst AB</t>
        </is>
      </c>
      <c r="G1409" t="n">
        <v>20.5</v>
      </c>
      <c r="H1409" t="n">
        <v>0</v>
      </c>
      <c r="I1409" t="n">
        <v>0</v>
      </c>
      <c r="J1409" t="n">
        <v>0</v>
      </c>
      <c r="K1409" t="n">
        <v>0</v>
      </c>
      <c r="L1409" t="n">
        <v>0</v>
      </c>
      <c r="M1409" t="n">
        <v>0</v>
      </c>
      <c r="N1409" t="n">
        <v>0</v>
      </c>
      <c r="O1409" t="n">
        <v>0</v>
      </c>
      <c r="P1409" t="n">
        <v>0</v>
      </c>
      <c r="Q1409" t="n">
        <v>0</v>
      </c>
      <c r="R1409" s="2" t="inlineStr"/>
    </row>
    <row r="1410" ht="15" customHeight="1">
      <c r="A1410" t="inlineStr">
        <is>
          <t>A 15213-2020</t>
        </is>
      </c>
      <c r="B1410" s="1" t="n">
        <v>43913</v>
      </c>
      <c r="C1410" s="1" t="n">
        <v>45846</v>
      </c>
      <c r="D1410" t="inlineStr">
        <is>
          <t>UPPSALA LÄN</t>
        </is>
      </c>
      <c r="E1410" t="inlineStr">
        <is>
          <t>ÄLVKARLEBY</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15326-2020</t>
        </is>
      </c>
      <c r="B1411" s="1" t="n">
        <v>43913</v>
      </c>
      <c r="C1411" s="1" t="n">
        <v>45846</v>
      </c>
      <c r="D1411" t="inlineStr">
        <is>
          <t>UPPSALA LÄN</t>
        </is>
      </c>
      <c r="E1411" t="inlineStr">
        <is>
          <t>TIERP</t>
        </is>
      </c>
      <c r="F1411" t="inlineStr">
        <is>
          <t>Bergvik skog väst AB</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15344-2020</t>
        </is>
      </c>
      <c r="B1412" s="1" t="n">
        <v>43913</v>
      </c>
      <c r="C1412" s="1" t="n">
        <v>45846</v>
      </c>
      <c r="D1412" t="inlineStr">
        <is>
          <t>UPPSALA LÄN</t>
        </is>
      </c>
      <c r="E1412" t="inlineStr">
        <is>
          <t>UPPSALA</t>
        </is>
      </c>
      <c r="F1412" t="inlineStr">
        <is>
          <t>Holmen skog AB</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15233-2020</t>
        </is>
      </c>
      <c r="B1413" s="1" t="n">
        <v>43913</v>
      </c>
      <c r="C1413" s="1" t="n">
        <v>45846</v>
      </c>
      <c r="D1413" t="inlineStr">
        <is>
          <t>UPPSALA LÄN</t>
        </is>
      </c>
      <c r="E1413" t="inlineStr">
        <is>
          <t>TIERP</t>
        </is>
      </c>
      <c r="F1413" t="inlineStr">
        <is>
          <t>Bergvik skog väst AB</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15389-2020</t>
        </is>
      </c>
      <c r="B1414" s="1" t="n">
        <v>43913</v>
      </c>
      <c r="C1414" s="1" t="n">
        <v>45846</v>
      </c>
      <c r="D1414" t="inlineStr">
        <is>
          <t>UPPSALA LÄN</t>
        </is>
      </c>
      <c r="E1414" t="inlineStr">
        <is>
          <t>HEBY</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15805-2020</t>
        </is>
      </c>
      <c r="B1415" s="1" t="n">
        <v>43915</v>
      </c>
      <c r="C1415" s="1" t="n">
        <v>45846</v>
      </c>
      <c r="D1415" t="inlineStr">
        <is>
          <t>UPPSALA LÄN</t>
        </is>
      </c>
      <c r="E1415" t="inlineStr">
        <is>
          <t>HEBY</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16071-2020</t>
        </is>
      </c>
      <c r="B1416" s="1" t="n">
        <v>43916</v>
      </c>
      <c r="C1416" s="1" t="n">
        <v>45846</v>
      </c>
      <c r="D1416" t="inlineStr">
        <is>
          <t>UPPSALA LÄN</t>
        </is>
      </c>
      <c r="E1416" t="inlineStr">
        <is>
          <t>HEBY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16320-2020</t>
        </is>
      </c>
      <c r="B1417" s="1" t="n">
        <v>43917</v>
      </c>
      <c r="C1417" s="1" t="n">
        <v>45846</v>
      </c>
      <c r="D1417" t="inlineStr">
        <is>
          <t>UPPSALA LÄN</t>
        </is>
      </c>
      <c r="E1417" t="inlineStr">
        <is>
          <t>ENKÖPING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16758-2020</t>
        </is>
      </c>
      <c r="B1418" s="1" t="n">
        <v>43920</v>
      </c>
      <c r="C1418" s="1" t="n">
        <v>45846</v>
      </c>
      <c r="D1418" t="inlineStr">
        <is>
          <t>UPPSALA LÄN</t>
        </is>
      </c>
      <c r="E1418" t="inlineStr">
        <is>
          <t>HEBY</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17549-2020</t>
        </is>
      </c>
      <c r="B1419" s="1" t="n">
        <v>43920</v>
      </c>
      <c r="C1419" s="1" t="n">
        <v>45846</v>
      </c>
      <c r="D1419" t="inlineStr">
        <is>
          <t>UPPSALA LÄN</t>
        </is>
      </c>
      <c r="E1419" t="inlineStr">
        <is>
          <t>ÖSTHAMMAR</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17468-2020</t>
        </is>
      </c>
      <c r="B1420" s="1" t="n">
        <v>43920</v>
      </c>
      <c r="C1420" s="1" t="n">
        <v>45846</v>
      </c>
      <c r="D1420" t="inlineStr">
        <is>
          <t>UPPSALA LÄN</t>
        </is>
      </c>
      <c r="E1420" t="inlineStr">
        <is>
          <t>HEBY</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17888-2020</t>
        </is>
      </c>
      <c r="B1421" s="1" t="n">
        <v>43924</v>
      </c>
      <c r="C1421" s="1" t="n">
        <v>45846</v>
      </c>
      <c r="D1421" t="inlineStr">
        <is>
          <t>UPPSALA LÄN</t>
        </is>
      </c>
      <c r="E1421" t="inlineStr">
        <is>
          <t>ENKÖPING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18106-2020</t>
        </is>
      </c>
      <c r="B1422" s="1" t="n">
        <v>43927</v>
      </c>
      <c r="C1422" s="1" t="n">
        <v>45846</v>
      </c>
      <c r="D1422" t="inlineStr">
        <is>
          <t>UPPSALA LÄN</t>
        </is>
      </c>
      <c r="E1422" t="inlineStr">
        <is>
          <t>UPPSALA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18101-2020</t>
        </is>
      </c>
      <c r="B1423" s="1" t="n">
        <v>43927</v>
      </c>
      <c r="C1423" s="1" t="n">
        <v>45846</v>
      </c>
      <c r="D1423" t="inlineStr">
        <is>
          <t>UPPSALA LÄN</t>
        </is>
      </c>
      <c r="E1423" t="inlineStr">
        <is>
          <t>ENKÖPING</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18114-2020</t>
        </is>
      </c>
      <c r="B1424" s="1" t="n">
        <v>43927</v>
      </c>
      <c r="C1424" s="1" t="n">
        <v>45846</v>
      </c>
      <c r="D1424" t="inlineStr">
        <is>
          <t>UPPSALA LÄN</t>
        </is>
      </c>
      <c r="E1424" t="inlineStr">
        <is>
          <t>UPPSALA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18097-2020</t>
        </is>
      </c>
      <c r="B1425" s="1" t="n">
        <v>43927</v>
      </c>
      <c r="C1425" s="1" t="n">
        <v>45846</v>
      </c>
      <c r="D1425" t="inlineStr">
        <is>
          <t>UPPSALA LÄN</t>
        </is>
      </c>
      <c r="E1425" t="inlineStr">
        <is>
          <t>ENKÖPING</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18489-2020</t>
        </is>
      </c>
      <c r="B1426" s="1" t="n">
        <v>43929</v>
      </c>
      <c r="C1426" s="1" t="n">
        <v>45846</v>
      </c>
      <c r="D1426" t="inlineStr">
        <is>
          <t>UPPSALA LÄN</t>
        </is>
      </c>
      <c r="E1426" t="inlineStr">
        <is>
          <t>ENKÖPING</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18486-2020</t>
        </is>
      </c>
      <c r="B1427" s="1" t="n">
        <v>43929</v>
      </c>
      <c r="C1427" s="1" t="n">
        <v>45846</v>
      </c>
      <c r="D1427" t="inlineStr">
        <is>
          <t>UPPSALA LÄN</t>
        </is>
      </c>
      <c r="E1427" t="inlineStr">
        <is>
          <t>ENKÖPING</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18469-2020</t>
        </is>
      </c>
      <c r="B1428" s="1" t="n">
        <v>43929</v>
      </c>
      <c r="C1428" s="1" t="n">
        <v>45846</v>
      </c>
      <c r="D1428" t="inlineStr">
        <is>
          <t>UPPSALA LÄN</t>
        </is>
      </c>
      <c r="E1428" t="inlineStr">
        <is>
          <t>UPPSALA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18774-2020</t>
        </is>
      </c>
      <c r="B1429" s="1" t="n">
        <v>43930</v>
      </c>
      <c r="C1429" s="1" t="n">
        <v>45846</v>
      </c>
      <c r="D1429" t="inlineStr">
        <is>
          <t>UPPSALA LÄN</t>
        </is>
      </c>
      <c r="E1429" t="inlineStr">
        <is>
          <t>TIERP</t>
        </is>
      </c>
      <c r="F1429" t="inlineStr">
        <is>
          <t>Bergvik skog väst AB</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19556-2020</t>
        </is>
      </c>
      <c r="B1430" s="1" t="n">
        <v>43936</v>
      </c>
      <c r="C1430" s="1" t="n">
        <v>45846</v>
      </c>
      <c r="D1430" t="inlineStr">
        <is>
          <t>UPPSALA LÄN</t>
        </is>
      </c>
      <c r="E1430" t="inlineStr">
        <is>
          <t>ÖSTHAMMAR</t>
        </is>
      </c>
      <c r="G1430" t="n">
        <v>6.3</v>
      </c>
      <c r="H1430" t="n">
        <v>0</v>
      </c>
      <c r="I1430" t="n">
        <v>0</v>
      </c>
      <c r="J1430" t="n">
        <v>0</v>
      </c>
      <c r="K1430" t="n">
        <v>0</v>
      </c>
      <c r="L1430" t="n">
        <v>0</v>
      </c>
      <c r="M1430" t="n">
        <v>0</v>
      </c>
      <c r="N1430" t="n">
        <v>0</v>
      </c>
      <c r="O1430" t="n">
        <v>0</v>
      </c>
      <c r="P1430" t="n">
        <v>0</v>
      </c>
      <c r="Q1430" t="n">
        <v>0</v>
      </c>
      <c r="R1430" s="2" t="inlineStr"/>
    </row>
    <row r="1431" ht="15" customHeight="1">
      <c r="A1431" t="inlineStr">
        <is>
          <t>A 19136-2020</t>
        </is>
      </c>
      <c r="B1431" s="1" t="n">
        <v>43936</v>
      </c>
      <c r="C1431" s="1" t="n">
        <v>45846</v>
      </c>
      <c r="D1431" t="inlineStr">
        <is>
          <t>UPPSALA LÄN</t>
        </is>
      </c>
      <c r="E1431" t="inlineStr">
        <is>
          <t>TIERP</t>
        </is>
      </c>
      <c r="F1431" t="inlineStr">
        <is>
          <t>Bergvik skog väst AB</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19210-2020</t>
        </is>
      </c>
      <c r="B1432" s="1" t="n">
        <v>43937</v>
      </c>
      <c r="C1432" s="1" t="n">
        <v>45846</v>
      </c>
      <c r="D1432" t="inlineStr">
        <is>
          <t>UPPSALA LÄN</t>
        </is>
      </c>
      <c r="E1432" t="inlineStr">
        <is>
          <t>UPPSALA</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19332-2020</t>
        </is>
      </c>
      <c r="B1433" s="1" t="n">
        <v>43938</v>
      </c>
      <c r="C1433" s="1" t="n">
        <v>45846</v>
      </c>
      <c r="D1433" t="inlineStr">
        <is>
          <t>UPPSALA LÄN</t>
        </is>
      </c>
      <c r="E1433" t="inlineStr">
        <is>
          <t>TIERP</t>
        </is>
      </c>
      <c r="F1433" t="inlineStr">
        <is>
          <t>Bergvik skog väst AB</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19499-2020</t>
        </is>
      </c>
      <c r="B1434" s="1" t="n">
        <v>43938</v>
      </c>
      <c r="C1434" s="1" t="n">
        <v>45846</v>
      </c>
      <c r="D1434" t="inlineStr">
        <is>
          <t>UPPSALA LÄN</t>
        </is>
      </c>
      <c r="E1434" t="inlineStr">
        <is>
          <t>ENKÖPING</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19463-2020</t>
        </is>
      </c>
      <c r="B1435" s="1" t="n">
        <v>43938</v>
      </c>
      <c r="C1435" s="1" t="n">
        <v>45846</v>
      </c>
      <c r="D1435" t="inlineStr">
        <is>
          <t>UPPSALA LÄN</t>
        </is>
      </c>
      <c r="E1435" t="inlineStr">
        <is>
          <t>ENKÖPING</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19914-2020</t>
        </is>
      </c>
      <c r="B1436" s="1" t="n">
        <v>43943</v>
      </c>
      <c r="C1436" s="1" t="n">
        <v>45846</v>
      </c>
      <c r="D1436" t="inlineStr">
        <is>
          <t>UPPSALA LÄN</t>
        </is>
      </c>
      <c r="E1436" t="inlineStr">
        <is>
          <t>HEBY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20175-2020</t>
        </is>
      </c>
      <c r="B1437" s="1" t="n">
        <v>43944</v>
      </c>
      <c r="C1437" s="1" t="n">
        <v>45846</v>
      </c>
      <c r="D1437" t="inlineStr">
        <is>
          <t>UPPSALA LÄN</t>
        </is>
      </c>
      <c r="E1437" t="inlineStr">
        <is>
          <t>HEBY</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20218-2020</t>
        </is>
      </c>
      <c r="B1438" s="1" t="n">
        <v>43944</v>
      </c>
      <c r="C1438" s="1" t="n">
        <v>45846</v>
      </c>
      <c r="D1438" t="inlineStr">
        <is>
          <t>UPPSALA LÄN</t>
        </is>
      </c>
      <c r="E1438" t="inlineStr">
        <is>
          <t>UPPSALA</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20395-2020</t>
        </is>
      </c>
      <c r="B1439" s="1" t="n">
        <v>43945</v>
      </c>
      <c r="C1439" s="1" t="n">
        <v>45846</v>
      </c>
      <c r="D1439" t="inlineStr">
        <is>
          <t>UPPSALA LÄN</t>
        </is>
      </c>
      <c r="E1439" t="inlineStr">
        <is>
          <t>KNIVSTA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20286-2020</t>
        </is>
      </c>
      <c r="B1440" s="1" t="n">
        <v>43945</v>
      </c>
      <c r="C1440" s="1" t="n">
        <v>45846</v>
      </c>
      <c r="D1440" t="inlineStr">
        <is>
          <t>UPPSALA LÄN</t>
        </is>
      </c>
      <c r="E1440" t="inlineStr">
        <is>
          <t>ENKÖPING</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20552-2020</t>
        </is>
      </c>
      <c r="B1441" s="1" t="n">
        <v>43948</v>
      </c>
      <c r="C1441" s="1" t="n">
        <v>45846</v>
      </c>
      <c r="D1441" t="inlineStr">
        <is>
          <t>UPPSALA LÄN</t>
        </is>
      </c>
      <c r="E1441" t="inlineStr">
        <is>
          <t>ENKÖPING</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20506-2020</t>
        </is>
      </c>
      <c r="B1442" s="1" t="n">
        <v>43948</v>
      </c>
      <c r="C1442" s="1" t="n">
        <v>45846</v>
      </c>
      <c r="D1442" t="inlineStr">
        <is>
          <t>UPPSALA LÄN</t>
        </is>
      </c>
      <c r="E1442" t="inlineStr">
        <is>
          <t>UPPSALA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20490-2020</t>
        </is>
      </c>
      <c r="B1443" s="1" t="n">
        <v>43948</v>
      </c>
      <c r="C1443" s="1" t="n">
        <v>45846</v>
      </c>
      <c r="D1443" t="inlineStr">
        <is>
          <t>UPPSALA LÄN</t>
        </is>
      </c>
      <c r="E1443" t="inlineStr">
        <is>
          <t>UPPSALA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20877-2020</t>
        </is>
      </c>
      <c r="B1444" s="1" t="n">
        <v>43950</v>
      </c>
      <c r="C1444" s="1" t="n">
        <v>45846</v>
      </c>
      <c r="D1444" t="inlineStr">
        <is>
          <t>UPPSALA LÄN</t>
        </is>
      </c>
      <c r="E1444" t="inlineStr">
        <is>
          <t>HEBY</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20928-2020</t>
        </is>
      </c>
      <c r="B1445" s="1" t="n">
        <v>43950</v>
      </c>
      <c r="C1445" s="1" t="n">
        <v>45846</v>
      </c>
      <c r="D1445" t="inlineStr">
        <is>
          <t>UPPSALA LÄN</t>
        </is>
      </c>
      <c r="E1445" t="inlineStr">
        <is>
          <t>HEBY</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20960-2020</t>
        </is>
      </c>
      <c r="B1446" s="1" t="n">
        <v>43950</v>
      </c>
      <c r="C1446" s="1" t="n">
        <v>45846</v>
      </c>
      <c r="D1446" t="inlineStr">
        <is>
          <t>UPPSALA LÄN</t>
        </is>
      </c>
      <c r="E1446" t="inlineStr">
        <is>
          <t>UPPSALA</t>
        </is>
      </c>
      <c r="F1446" t="inlineStr">
        <is>
          <t>Holmen skog AB</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21573-2020</t>
        </is>
      </c>
      <c r="B1447" s="1" t="n">
        <v>43956</v>
      </c>
      <c r="C1447" s="1" t="n">
        <v>45846</v>
      </c>
      <c r="D1447" t="inlineStr">
        <is>
          <t>UPPSALA LÄN</t>
        </is>
      </c>
      <c r="E1447" t="inlineStr">
        <is>
          <t>ENKÖPING</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21466-2020</t>
        </is>
      </c>
      <c r="B1448" s="1" t="n">
        <v>43956</v>
      </c>
      <c r="C1448" s="1" t="n">
        <v>45846</v>
      </c>
      <c r="D1448" t="inlineStr">
        <is>
          <t>UPPSALA LÄN</t>
        </is>
      </c>
      <c r="E1448" t="inlineStr">
        <is>
          <t>HEBY</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21651-2020</t>
        </is>
      </c>
      <c r="B1449" s="1" t="n">
        <v>43957</v>
      </c>
      <c r="C1449" s="1" t="n">
        <v>45846</v>
      </c>
      <c r="D1449" t="inlineStr">
        <is>
          <t>UPPSALA LÄN</t>
        </is>
      </c>
      <c r="E1449" t="inlineStr">
        <is>
          <t>ENKÖPING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21730-2020</t>
        </is>
      </c>
      <c r="B1450" s="1" t="n">
        <v>43957</v>
      </c>
      <c r="C1450" s="1" t="n">
        <v>45846</v>
      </c>
      <c r="D1450" t="inlineStr">
        <is>
          <t>UPPSALA LÄN</t>
        </is>
      </c>
      <c r="E1450" t="inlineStr">
        <is>
          <t>TIERP</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21666-2020</t>
        </is>
      </c>
      <c r="B1451" s="1" t="n">
        <v>43957</v>
      </c>
      <c r="C1451" s="1" t="n">
        <v>45846</v>
      </c>
      <c r="D1451" t="inlineStr">
        <is>
          <t>UPPSALA LÄN</t>
        </is>
      </c>
      <c r="E1451" t="inlineStr">
        <is>
          <t>ENKÖPING</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21708-2020</t>
        </is>
      </c>
      <c r="B1452" s="1" t="n">
        <v>43957</v>
      </c>
      <c r="C1452" s="1" t="n">
        <v>45846</v>
      </c>
      <c r="D1452" t="inlineStr">
        <is>
          <t>UPPSALA LÄN</t>
        </is>
      </c>
      <c r="E1452" t="inlineStr">
        <is>
          <t>HÅBO</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21896-2020</t>
        </is>
      </c>
      <c r="B1453" s="1" t="n">
        <v>43958</v>
      </c>
      <c r="C1453" s="1" t="n">
        <v>45846</v>
      </c>
      <c r="D1453" t="inlineStr">
        <is>
          <t>UPPSALA LÄN</t>
        </is>
      </c>
      <c r="E1453" t="inlineStr">
        <is>
          <t>ENKÖPING</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21916-2020</t>
        </is>
      </c>
      <c r="B1454" s="1" t="n">
        <v>43958</v>
      </c>
      <c r="C1454" s="1" t="n">
        <v>45846</v>
      </c>
      <c r="D1454" t="inlineStr">
        <is>
          <t>UPPSALA LÄN</t>
        </is>
      </c>
      <c r="E1454" t="inlineStr">
        <is>
          <t>HEBY</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21814-2020</t>
        </is>
      </c>
      <c r="B1455" s="1" t="n">
        <v>43958</v>
      </c>
      <c r="C1455" s="1" t="n">
        <v>45846</v>
      </c>
      <c r="D1455" t="inlineStr">
        <is>
          <t>UPPSALA LÄN</t>
        </is>
      </c>
      <c r="E1455" t="inlineStr">
        <is>
          <t>TIERP</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21973-2020</t>
        </is>
      </c>
      <c r="B1456" s="1" t="n">
        <v>43959</v>
      </c>
      <c r="C1456" s="1" t="n">
        <v>45846</v>
      </c>
      <c r="D1456" t="inlineStr">
        <is>
          <t>UPPSALA LÄN</t>
        </is>
      </c>
      <c r="E1456" t="inlineStr">
        <is>
          <t>HEBY</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22056-2020</t>
        </is>
      </c>
      <c r="B1457" s="1" t="n">
        <v>43959</v>
      </c>
      <c r="C1457" s="1" t="n">
        <v>45846</v>
      </c>
      <c r="D1457" t="inlineStr">
        <is>
          <t>UPPSALA LÄN</t>
        </is>
      </c>
      <c r="E1457" t="inlineStr">
        <is>
          <t>HEBY</t>
        </is>
      </c>
      <c r="F1457" t="inlineStr">
        <is>
          <t>Bergvik skog väst AB</t>
        </is>
      </c>
      <c r="G1457" t="n">
        <v>6.7</v>
      </c>
      <c r="H1457" t="n">
        <v>0</v>
      </c>
      <c r="I1457" t="n">
        <v>0</v>
      </c>
      <c r="J1457" t="n">
        <v>0</v>
      </c>
      <c r="K1457" t="n">
        <v>0</v>
      </c>
      <c r="L1457" t="n">
        <v>0</v>
      </c>
      <c r="M1457" t="n">
        <v>0</v>
      </c>
      <c r="N1457" t="n">
        <v>0</v>
      </c>
      <c r="O1457" t="n">
        <v>0</v>
      </c>
      <c r="P1457" t="n">
        <v>0</v>
      </c>
      <c r="Q1457" t="n">
        <v>0</v>
      </c>
      <c r="R1457" s="2" t="inlineStr"/>
    </row>
    <row r="1458" ht="15" customHeight="1">
      <c r="A1458" t="inlineStr">
        <is>
          <t>A 22152-2020</t>
        </is>
      </c>
      <c r="B1458" s="1" t="n">
        <v>43962</v>
      </c>
      <c r="C1458" s="1" t="n">
        <v>45846</v>
      </c>
      <c r="D1458" t="inlineStr">
        <is>
          <t>UPPSALA LÄN</t>
        </is>
      </c>
      <c r="E1458" t="inlineStr">
        <is>
          <t>HEBY</t>
        </is>
      </c>
      <c r="G1458" t="n">
        <v>10.8</v>
      </c>
      <c r="H1458" t="n">
        <v>0</v>
      </c>
      <c r="I1458" t="n">
        <v>0</v>
      </c>
      <c r="J1458" t="n">
        <v>0</v>
      </c>
      <c r="K1458" t="n">
        <v>0</v>
      </c>
      <c r="L1458" t="n">
        <v>0</v>
      </c>
      <c r="M1458" t="n">
        <v>0</v>
      </c>
      <c r="N1458" t="n">
        <v>0</v>
      </c>
      <c r="O1458" t="n">
        <v>0</v>
      </c>
      <c r="P1458" t="n">
        <v>0</v>
      </c>
      <c r="Q1458" t="n">
        <v>0</v>
      </c>
      <c r="R1458" s="2" t="inlineStr"/>
    </row>
    <row r="1459" ht="15" customHeight="1">
      <c r="A1459" t="inlineStr">
        <is>
          <t>A 22763-2020</t>
        </is>
      </c>
      <c r="B1459" s="1" t="n">
        <v>43963</v>
      </c>
      <c r="C1459" s="1" t="n">
        <v>45846</v>
      </c>
      <c r="D1459" t="inlineStr">
        <is>
          <t>UPPSALA LÄN</t>
        </is>
      </c>
      <c r="E1459" t="inlineStr">
        <is>
          <t>TIERP</t>
        </is>
      </c>
      <c r="F1459" t="inlineStr">
        <is>
          <t>Kommuner</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22737-2020</t>
        </is>
      </c>
      <c r="B1460" s="1" t="n">
        <v>43963</v>
      </c>
      <c r="C1460" s="1" t="n">
        <v>45846</v>
      </c>
      <c r="D1460" t="inlineStr">
        <is>
          <t>UPPSALA LÄN</t>
        </is>
      </c>
      <c r="E1460" t="inlineStr">
        <is>
          <t>HEBY</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22772-2020</t>
        </is>
      </c>
      <c r="B1461" s="1" t="n">
        <v>43964</v>
      </c>
      <c r="C1461" s="1" t="n">
        <v>45846</v>
      </c>
      <c r="D1461" t="inlineStr">
        <is>
          <t>UPPSALA LÄN</t>
        </is>
      </c>
      <c r="E1461" t="inlineStr">
        <is>
          <t>ENKÖPING</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22802-2020</t>
        </is>
      </c>
      <c r="B1462" s="1" t="n">
        <v>43964</v>
      </c>
      <c r="C1462" s="1" t="n">
        <v>45846</v>
      </c>
      <c r="D1462" t="inlineStr">
        <is>
          <t>UPPSALA LÄN</t>
        </is>
      </c>
      <c r="E1462" t="inlineStr">
        <is>
          <t>TIERP</t>
        </is>
      </c>
      <c r="F1462" t="inlineStr">
        <is>
          <t>Bergvik skog öst AB</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22816-2020</t>
        </is>
      </c>
      <c r="B1463" s="1" t="n">
        <v>43964</v>
      </c>
      <c r="C1463" s="1" t="n">
        <v>45846</v>
      </c>
      <c r="D1463" t="inlineStr">
        <is>
          <t>UPPSALA LÄN</t>
        </is>
      </c>
      <c r="E1463" t="inlineStr">
        <is>
          <t>ENKÖPING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22970-2020</t>
        </is>
      </c>
      <c r="B1464" s="1" t="n">
        <v>43965</v>
      </c>
      <c r="C1464" s="1" t="n">
        <v>45846</v>
      </c>
      <c r="D1464" t="inlineStr">
        <is>
          <t>UPPSALA LÄN</t>
        </is>
      </c>
      <c r="E1464" t="inlineStr">
        <is>
          <t>ENKÖPING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22961-2020</t>
        </is>
      </c>
      <c r="B1465" s="1" t="n">
        <v>43965</v>
      </c>
      <c r="C1465" s="1" t="n">
        <v>45846</v>
      </c>
      <c r="D1465" t="inlineStr">
        <is>
          <t>UPPSALA LÄN</t>
        </is>
      </c>
      <c r="E1465" t="inlineStr">
        <is>
          <t>TIERP</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23621-2020</t>
        </is>
      </c>
      <c r="B1466" s="1" t="n">
        <v>43969</v>
      </c>
      <c r="C1466" s="1" t="n">
        <v>45846</v>
      </c>
      <c r="D1466" t="inlineStr">
        <is>
          <t>UPPSALA LÄN</t>
        </is>
      </c>
      <c r="E1466" t="inlineStr">
        <is>
          <t>ÖSTHAMMAR</t>
        </is>
      </c>
      <c r="F1466" t="inlineStr">
        <is>
          <t>Bergvik skog väst AB</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23782-2020</t>
        </is>
      </c>
      <c r="B1467" s="1" t="n">
        <v>43970</v>
      </c>
      <c r="C1467" s="1" t="n">
        <v>45846</v>
      </c>
      <c r="D1467" t="inlineStr">
        <is>
          <t>UPPSALA LÄN</t>
        </is>
      </c>
      <c r="E1467" t="inlineStr">
        <is>
          <t>ENKÖPING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23809-2020</t>
        </is>
      </c>
      <c r="B1468" s="1" t="n">
        <v>43970</v>
      </c>
      <c r="C1468" s="1" t="n">
        <v>45846</v>
      </c>
      <c r="D1468" t="inlineStr">
        <is>
          <t>UPPSALA LÄN</t>
        </is>
      </c>
      <c r="E1468" t="inlineStr">
        <is>
          <t>ENKÖPING</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23808-2020</t>
        </is>
      </c>
      <c r="B1469" s="1" t="n">
        <v>43970</v>
      </c>
      <c r="C1469" s="1" t="n">
        <v>45846</v>
      </c>
      <c r="D1469" t="inlineStr">
        <is>
          <t>UPPSALA LÄN</t>
        </is>
      </c>
      <c r="E1469" t="inlineStr">
        <is>
          <t>ENKÖPING</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23906-2020</t>
        </is>
      </c>
      <c r="B1470" s="1" t="n">
        <v>43971</v>
      </c>
      <c r="C1470" s="1" t="n">
        <v>45846</v>
      </c>
      <c r="D1470" t="inlineStr">
        <is>
          <t>UPPSALA LÄN</t>
        </is>
      </c>
      <c r="E1470" t="inlineStr">
        <is>
          <t>HÅBO</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24300-2020</t>
        </is>
      </c>
      <c r="B1471" s="1" t="n">
        <v>43973</v>
      </c>
      <c r="C1471" s="1" t="n">
        <v>45846</v>
      </c>
      <c r="D1471" t="inlineStr">
        <is>
          <t>UPPSALA LÄN</t>
        </is>
      </c>
      <c r="E1471" t="inlineStr">
        <is>
          <t>UPPSALA</t>
        </is>
      </c>
      <c r="F1471" t="inlineStr">
        <is>
          <t>Övriga Aktiebolag</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24476-2020</t>
        </is>
      </c>
      <c r="B1472" s="1" t="n">
        <v>43977</v>
      </c>
      <c r="C1472" s="1" t="n">
        <v>45846</v>
      </c>
      <c r="D1472" t="inlineStr">
        <is>
          <t>UPPSALA LÄN</t>
        </is>
      </c>
      <c r="E1472" t="inlineStr">
        <is>
          <t>ENKÖPING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24496-2020</t>
        </is>
      </c>
      <c r="B1473" s="1" t="n">
        <v>43977</v>
      </c>
      <c r="C1473" s="1" t="n">
        <v>45846</v>
      </c>
      <c r="D1473" t="inlineStr">
        <is>
          <t>UPPSALA LÄN</t>
        </is>
      </c>
      <c r="E1473" t="inlineStr">
        <is>
          <t>ENKÖPING</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25081-2020</t>
        </is>
      </c>
      <c r="B1474" s="1" t="n">
        <v>43979</v>
      </c>
      <c r="C1474" s="1" t="n">
        <v>45846</v>
      </c>
      <c r="D1474" t="inlineStr">
        <is>
          <t>UPPSALA LÄN</t>
        </is>
      </c>
      <c r="E1474" t="inlineStr">
        <is>
          <t>ENKÖPING</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25588-2020</t>
        </is>
      </c>
      <c r="B1475" s="1" t="n">
        <v>43983</v>
      </c>
      <c r="C1475" s="1" t="n">
        <v>45846</v>
      </c>
      <c r="D1475" t="inlineStr">
        <is>
          <t>UPPSALA LÄN</t>
        </is>
      </c>
      <c r="E1475" t="inlineStr">
        <is>
          <t>HEBY</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25544-2020</t>
        </is>
      </c>
      <c r="B1476" s="1" t="n">
        <v>43983</v>
      </c>
      <c r="C1476" s="1" t="n">
        <v>45846</v>
      </c>
      <c r="D1476" t="inlineStr">
        <is>
          <t>UPPSALA LÄN</t>
        </is>
      </c>
      <c r="E1476" t="inlineStr">
        <is>
          <t>HEBY</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25641-2020</t>
        </is>
      </c>
      <c r="B1477" s="1" t="n">
        <v>43983</v>
      </c>
      <c r="C1477" s="1" t="n">
        <v>45846</v>
      </c>
      <c r="D1477" t="inlineStr">
        <is>
          <t>UPPSALA LÄN</t>
        </is>
      </c>
      <c r="E1477" t="inlineStr">
        <is>
          <t>TIERP</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25658-2020</t>
        </is>
      </c>
      <c r="B1478" s="1" t="n">
        <v>43983</v>
      </c>
      <c r="C1478" s="1" t="n">
        <v>45846</v>
      </c>
      <c r="D1478" t="inlineStr">
        <is>
          <t>UPPSALA LÄN</t>
        </is>
      </c>
      <c r="E1478" t="inlineStr">
        <is>
          <t>KNIVSTA</t>
        </is>
      </c>
      <c r="G1478" t="n">
        <v>15.2</v>
      </c>
      <c r="H1478" t="n">
        <v>0</v>
      </c>
      <c r="I1478" t="n">
        <v>0</v>
      </c>
      <c r="J1478" t="n">
        <v>0</v>
      </c>
      <c r="K1478" t="n">
        <v>0</v>
      </c>
      <c r="L1478" t="n">
        <v>0</v>
      </c>
      <c r="M1478" t="n">
        <v>0</v>
      </c>
      <c r="N1478" t="n">
        <v>0</v>
      </c>
      <c r="O1478" t="n">
        <v>0</v>
      </c>
      <c r="P1478" t="n">
        <v>0</v>
      </c>
      <c r="Q1478" t="n">
        <v>0</v>
      </c>
      <c r="R1478" s="2" t="inlineStr"/>
    </row>
    <row r="1479" ht="15" customHeight="1">
      <c r="A1479" t="inlineStr">
        <is>
          <t>A 25687-2020</t>
        </is>
      </c>
      <c r="B1479" s="1" t="n">
        <v>43984</v>
      </c>
      <c r="C1479" s="1" t="n">
        <v>45846</v>
      </c>
      <c r="D1479" t="inlineStr">
        <is>
          <t>UPPSALA LÄN</t>
        </is>
      </c>
      <c r="E1479" t="inlineStr">
        <is>
          <t>HEBY</t>
        </is>
      </c>
      <c r="F1479" t="inlineStr">
        <is>
          <t>Bergvik skog väst AB</t>
        </is>
      </c>
      <c r="G1479" t="n">
        <v>13.6</v>
      </c>
      <c r="H1479" t="n">
        <v>0</v>
      </c>
      <c r="I1479" t="n">
        <v>0</v>
      </c>
      <c r="J1479" t="n">
        <v>0</v>
      </c>
      <c r="K1479" t="n">
        <v>0</v>
      </c>
      <c r="L1479" t="n">
        <v>0</v>
      </c>
      <c r="M1479" t="n">
        <v>0</v>
      </c>
      <c r="N1479" t="n">
        <v>0</v>
      </c>
      <c r="O1479" t="n">
        <v>0</v>
      </c>
      <c r="P1479" t="n">
        <v>0</v>
      </c>
      <c r="Q1479" t="n">
        <v>0</v>
      </c>
      <c r="R1479" s="2" t="inlineStr"/>
    </row>
    <row r="1480" ht="15" customHeight="1">
      <c r="A1480" t="inlineStr">
        <is>
          <t>A 25798-2020</t>
        </is>
      </c>
      <c r="B1480" s="1" t="n">
        <v>43984</v>
      </c>
      <c r="C1480" s="1" t="n">
        <v>45846</v>
      </c>
      <c r="D1480" t="inlineStr">
        <is>
          <t>UPPSALA LÄN</t>
        </is>
      </c>
      <c r="E1480" t="inlineStr">
        <is>
          <t>UPPSALA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25895-2020</t>
        </is>
      </c>
      <c r="B1481" s="1" t="n">
        <v>43984</v>
      </c>
      <c r="C1481" s="1" t="n">
        <v>45846</v>
      </c>
      <c r="D1481" t="inlineStr">
        <is>
          <t>UPPSALA LÄN</t>
        </is>
      </c>
      <c r="E1481" t="inlineStr">
        <is>
          <t>ENKÖPING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26090-2020</t>
        </is>
      </c>
      <c r="B1482" s="1" t="n">
        <v>43985</v>
      </c>
      <c r="C1482" s="1" t="n">
        <v>45846</v>
      </c>
      <c r="D1482" t="inlineStr">
        <is>
          <t>UPPSALA LÄN</t>
        </is>
      </c>
      <c r="E1482" t="inlineStr">
        <is>
          <t>TIERP</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26101-2020</t>
        </is>
      </c>
      <c r="B1483" s="1" t="n">
        <v>43985</v>
      </c>
      <c r="C1483" s="1" t="n">
        <v>45846</v>
      </c>
      <c r="D1483" t="inlineStr">
        <is>
          <t>UPPSALA LÄN</t>
        </is>
      </c>
      <c r="E1483" t="inlineStr">
        <is>
          <t>TIERP</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26032-2020</t>
        </is>
      </c>
      <c r="B1484" s="1" t="n">
        <v>43985</v>
      </c>
      <c r="C1484" s="1" t="n">
        <v>45846</v>
      </c>
      <c r="D1484" t="inlineStr">
        <is>
          <t>UPPSALA LÄN</t>
        </is>
      </c>
      <c r="E1484" t="inlineStr">
        <is>
          <t>ENKÖPING</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26095-2020</t>
        </is>
      </c>
      <c r="B1485" s="1" t="n">
        <v>43985</v>
      </c>
      <c r="C1485" s="1" t="n">
        <v>45846</v>
      </c>
      <c r="D1485" t="inlineStr">
        <is>
          <t>UPPSALA LÄN</t>
        </is>
      </c>
      <c r="E1485" t="inlineStr">
        <is>
          <t>TIERP</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26151-2020</t>
        </is>
      </c>
      <c r="B1486" s="1" t="n">
        <v>43985</v>
      </c>
      <c r="C1486" s="1" t="n">
        <v>45846</v>
      </c>
      <c r="D1486" t="inlineStr">
        <is>
          <t>UPPSALA LÄN</t>
        </is>
      </c>
      <c r="E1486" t="inlineStr">
        <is>
          <t>ENKÖPING</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26198-2020</t>
        </is>
      </c>
      <c r="B1487" s="1" t="n">
        <v>43986</v>
      </c>
      <c r="C1487" s="1" t="n">
        <v>45846</v>
      </c>
      <c r="D1487" t="inlineStr">
        <is>
          <t>UPPSALA LÄN</t>
        </is>
      </c>
      <c r="E1487" t="inlineStr">
        <is>
          <t>ÖSTHAMMAR</t>
        </is>
      </c>
      <c r="F1487" t="inlineStr">
        <is>
          <t>Bergvik skog öst AB</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26389-2020</t>
        </is>
      </c>
      <c r="B1488" s="1" t="n">
        <v>43987</v>
      </c>
      <c r="C1488" s="1" t="n">
        <v>45846</v>
      </c>
      <c r="D1488" t="inlineStr">
        <is>
          <t>UPPSALA LÄN</t>
        </is>
      </c>
      <c r="E1488" t="inlineStr">
        <is>
          <t>HEBY</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26488-2020</t>
        </is>
      </c>
      <c r="B1489" s="1" t="n">
        <v>43987</v>
      </c>
      <c r="C1489" s="1" t="n">
        <v>45846</v>
      </c>
      <c r="D1489" t="inlineStr">
        <is>
          <t>UPPSALA LÄN</t>
        </is>
      </c>
      <c r="E1489" t="inlineStr">
        <is>
          <t>UPPSALA</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26492-2020</t>
        </is>
      </c>
      <c r="B1490" s="1" t="n">
        <v>43987</v>
      </c>
      <c r="C1490" s="1" t="n">
        <v>45846</v>
      </c>
      <c r="D1490" t="inlineStr">
        <is>
          <t>UPPSALA LÄN</t>
        </is>
      </c>
      <c r="E1490" t="inlineStr">
        <is>
          <t>UPPSALA</t>
        </is>
      </c>
      <c r="G1490" t="n">
        <v>9.5</v>
      </c>
      <c r="H1490" t="n">
        <v>0</v>
      </c>
      <c r="I1490" t="n">
        <v>0</v>
      </c>
      <c r="J1490" t="n">
        <v>0</v>
      </c>
      <c r="K1490" t="n">
        <v>0</v>
      </c>
      <c r="L1490" t="n">
        <v>0</v>
      </c>
      <c r="M1490" t="n">
        <v>0</v>
      </c>
      <c r="N1490" t="n">
        <v>0</v>
      </c>
      <c r="O1490" t="n">
        <v>0</v>
      </c>
      <c r="P1490" t="n">
        <v>0</v>
      </c>
      <c r="Q1490" t="n">
        <v>0</v>
      </c>
      <c r="R1490" s="2" t="inlineStr"/>
    </row>
    <row r="1491" ht="15" customHeight="1">
      <c r="A1491" t="inlineStr">
        <is>
          <t>A 26856-2020</t>
        </is>
      </c>
      <c r="B1491" s="1" t="n">
        <v>43990</v>
      </c>
      <c r="C1491" s="1" t="n">
        <v>45846</v>
      </c>
      <c r="D1491" t="inlineStr">
        <is>
          <t>UPPSALA LÄN</t>
        </is>
      </c>
      <c r="E1491" t="inlineStr">
        <is>
          <t>UPPSALA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26860-2020</t>
        </is>
      </c>
      <c r="B1492" s="1" t="n">
        <v>43990</v>
      </c>
      <c r="C1492" s="1" t="n">
        <v>45846</v>
      </c>
      <c r="D1492" t="inlineStr">
        <is>
          <t>UPPSALA LÄN</t>
        </is>
      </c>
      <c r="E1492" t="inlineStr">
        <is>
          <t>ENKÖPING</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27462-2020</t>
        </is>
      </c>
      <c r="B1493" s="1" t="n">
        <v>43993</v>
      </c>
      <c r="C1493" s="1" t="n">
        <v>45846</v>
      </c>
      <c r="D1493" t="inlineStr">
        <is>
          <t>UPPSALA LÄN</t>
        </is>
      </c>
      <c r="E1493" t="inlineStr">
        <is>
          <t>TIERP</t>
        </is>
      </c>
      <c r="F1493" t="inlineStr">
        <is>
          <t>Bergvik skog öst AB</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28565-2020</t>
        </is>
      </c>
      <c r="B1494" s="1" t="n">
        <v>43999</v>
      </c>
      <c r="C1494" s="1" t="n">
        <v>45846</v>
      </c>
      <c r="D1494" t="inlineStr">
        <is>
          <t>UPPSALA LÄN</t>
        </is>
      </c>
      <c r="E1494" t="inlineStr">
        <is>
          <t>UPPSALA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28514-2020</t>
        </is>
      </c>
      <c r="B1495" s="1" t="n">
        <v>43999</v>
      </c>
      <c r="C1495" s="1" t="n">
        <v>45846</v>
      </c>
      <c r="D1495" t="inlineStr">
        <is>
          <t>UPPSALA LÄN</t>
        </is>
      </c>
      <c r="E1495" t="inlineStr">
        <is>
          <t>UPPSALA</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28799-2020</t>
        </is>
      </c>
      <c r="B1496" s="1" t="n">
        <v>44000</v>
      </c>
      <c r="C1496" s="1" t="n">
        <v>45846</v>
      </c>
      <c r="D1496" t="inlineStr">
        <is>
          <t>UPPSALA LÄN</t>
        </is>
      </c>
      <c r="E1496" t="inlineStr">
        <is>
          <t>ENKÖPING</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28993-2020</t>
        </is>
      </c>
      <c r="B1497" s="1" t="n">
        <v>44000</v>
      </c>
      <c r="C1497" s="1" t="n">
        <v>45846</v>
      </c>
      <c r="D1497" t="inlineStr">
        <is>
          <t>UPPSALA LÄN</t>
        </is>
      </c>
      <c r="E1497" t="inlineStr">
        <is>
          <t>UPPSALA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29034-2020</t>
        </is>
      </c>
      <c r="B1498" s="1" t="n">
        <v>44000</v>
      </c>
      <c r="C1498" s="1" t="n">
        <v>45846</v>
      </c>
      <c r="D1498" t="inlineStr">
        <is>
          <t>UPPSALA LÄN</t>
        </is>
      </c>
      <c r="E1498" t="inlineStr">
        <is>
          <t>UPPSALA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28801-2020</t>
        </is>
      </c>
      <c r="B1499" s="1" t="n">
        <v>44000</v>
      </c>
      <c r="C1499" s="1" t="n">
        <v>45846</v>
      </c>
      <c r="D1499" t="inlineStr">
        <is>
          <t>UPPSALA LÄN</t>
        </is>
      </c>
      <c r="E1499" t="inlineStr">
        <is>
          <t>ENKÖPING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29934-2020</t>
        </is>
      </c>
      <c r="B1500" s="1" t="n">
        <v>44006</v>
      </c>
      <c r="C1500" s="1" t="n">
        <v>45846</v>
      </c>
      <c r="D1500" t="inlineStr">
        <is>
          <t>UPPSALA LÄN</t>
        </is>
      </c>
      <c r="E1500" t="inlineStr">
        <is>
          <t>ENKÖPING</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29948-2020</t>
        </is>
      </c>
      <c r="B1501" s="1" t="n">
        <v>44006</v>
      </c>
      <c r="C1501" s="1" t="n">
        <v>45846</v>
      </c>
      <c r="D1501" t="inlineStr">
        <is>
          <t>UPPSALA LÄN</t>
        </is>
      </c>
      <c r="E1501" t="inlineStr">
        <is>
          <t>ENKÖPING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29989-2020</t>
        </is>
      </c>
      <c r="B1502" s="1" t="n">
        <v>44006</v>
      </c>
      <c r="C1502" s="1" t="n">
        <v>45846</v>
      </c>
      <c r="D1502" t="inlineStr">
        <is>
          <t>UPPSALA LÄN</t>
        </is>
      </c>
      <c r="E1502" t="inlineStr">
        <is>
          <t>TIERP</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30196-2020</t>
        </is>
      </c>
      <c r="B1503" s="1" t="n">
        <v>44007</v>
      </c>
      <c r="C1503" s="1" t="n">
        <v>45846</v>
      </c>
      <c r="D1503" t="inlineStr">
        <is>
          <t>UPPSALA LÄN</t>
        </is>
      </c>
      <c r="E1503" t="inlineStr">
        <is>
          <t>UPPSALA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30208-2020</t>
        </is>
      </c>
      <c r="B1504" s="1" t="n">
        <v>44007</v>
      </c>
      <c r="C1504" s="1" t="n">
        <v>45846</v>
      </c>
      <c r="D1504" t="inlineStr">
        <is>
          <t>UPPSALA LÄN</t>
        </is>
      </c>
      <c r="E1504" t="inlineStr">
        <is>
          <t>UPPSALA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30245-2020</t>
        </is>
      </c>
      <c r="B1505" s="1" t="n">
        <v>44007</v>
      </c>
      <c r="C1505" s="1" t="n">
        <v>45846</v>
      </c>
      <c r="D1505" t="inlineStr">
        <is>
          <t>UPPSALA LÄN</t>
        </is>
      </c>
      <c r="E1505" t="inlineStr">
        <is>
          <t>TIERP</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30338-2020</t>
        </is>
      </c>
      <c r="B1506" s="1" t="n">
        <v>44007</v>
      </c>
      <c r="C1506" s="1" t="n">
        <v>45846</v>
      </c>
      <c r="D1506" t="inlineStr">
        <is>
          <t>UPPSALA LÄN</t>
        </is>
      </c>
      <c r="E1506" t="inlineStr">
        <is>
          <t>ÖSTHAMMAR</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30280-2020</t>
        </is>
      </c>
      <c r="B1507" s="1" t="n">
        <v>44007</v>
      </c>
      <c r="C1507" s="1" t="n">
        <v>45846</v>
      </c>
      <c r="D1507" t="inlineStr">
        <is>
          <t>UPPSALA LÄN</t>
        </is>
      </c>
      <c r="E1507" t="inlineStr">
        <is>
          <t>ENKÖPING</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30419-2020</t>
        </is>
      </c>
      <c r="B1508" s="1" t="n">
        <v>44007</v>
      </c>
      <c r="C1508" s="1" t="n">
        <v>45846</v>
      </c>
      <c r="D1508" t="inlineStr">
        <is>
          <t>UPPSALA LÄN</t>
        </is>
      </c>
      <c r="E1508" t="inlineStr">
        <is>
          <t>ÖSTHAMMAR</t>
        </is>
      </c>
      <c r="G1508" t="n">
        <v>5.6</v>
      </c>
      <c r="H1508" t="n">
        <v>0</v>
      </c>
      <c r="I1508" t="n">
        <v>0</v>
      </c>
      <c r="J1508" t="n">
        <v>0</v>
      </c>
      <c r="K1508" t="n">
        <v>0</v>
      </c>
      <c r="L1508" t="n">
        <v>0</v>
      </c>
      <c r="M1508" t="n">
        <v>0</v>
      </c>
      <c r="N1508" t="n">
        <v>0</v>
      </c>
      <c r="O1508" t="n">
        <v>0</v>
      </c>
      <c r="P1508" t="n">
        <v>0</v>
      </c>
      <c r="Q1508" t="n">
        <v>0</v>
      </c>
      <c r="R1508" s="2" t="inlineStr"/>
    </row>
    <row r="1509" ht="15" customHeight="1">
      <c r="A1509" t="inlineStr">
        <is>
          <t>A 30176-2020</t>
        </is>
      </c>
      <c r="B1509" s="1" t="n">
        <v>44007</v>
      </c>
      <c r="C1509" s="1" t="n">
        <v>45846</v>
      </c>
      <c r="D1509" t="inlineStr">
        <is>
          <t>UPPSALA LÄN</t>
        </is>
      </c>
      <c r="E1509" t="inlineStr">
        <is>
          <t>HEBY</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30544-2020</t>
        </is>
      </c>
      <c r="B1510" s="1" t="n">
        <v>44008</v>
      </c>
      <c r="C1510" s="1" t="n">
        <v>45846</v>
      </c>
      <c r="D1510" t="inlineStr">
        <is>
          <t>UPPSALA LÄN</t>
        </is>
      </c>
      <c r="E1510" t="inlineStr">
        <is>
          <t>TIERP</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30571-2020</t>
        </is>
      </c>
      <c r="B1511" s="1" t="n">
        <v>44008</v>
      </c>
      <c r="C1511" s="1" t="n">
        <v>45846</v>
      </c>
      <c r="D1511" t="inlineStr">
        <is>
          <t>UPPSALA LÄN</t>
        </is>
      </c>
      <c r="E1511" t="inlineStr">
        <is>
          <t>ENKÖPING</t>
        </is>
      </c>
      <c r="G1511" t="n">
        <v>8.9</v>
      </c>
      <c r="H1511" t="n">
        <v>0</v>
      </c>
      <c r="I1511" t="n">
        <v>0</v>
      </c>
      <c r="J1511" t="n">
        <v>0</v>
      </c>
      <c r="K1511" t="n">
        <v>0</v>
      </c>
      <c r="L1511" t="n">
        <v>0</v>
      </c>
      <c r="M1511" t="n">
        <v>0</v>
      </c>
      <c r="N1511" t="n">
        <v>0</v>
      </c>
      <c r="O1511" t="n">
        <v>0</v>
      </c>
      <c r="P1511" t="n">
        <v>0</v>
      </c>
      <c r="Q1511" t="n">
        <v>0</v>
      </c>
      <c r="R1511" s="2" t="inlineStr"/>
    </row>
    <row r="1512" ht="15" customHeight="1">
      <c r="A1512" t="inlineStr">
        <is>
          <t>A 31219-2020</t>
        </is>
      </c>
      <c r="B1512" s="1" t="n">
        <v>44012</v>
      </c>
      <c r="C1512" s="1" t="n">
        <v>45846</v>
      </c>
      <c r="D1512" t="inlineStr">
        <is>
          <t>UPPSALA LÄN</t>
        </is>
      </c>
      <c r="E1512" t="inlineStr">
        <is>
          <t>UPPSALA</t>
        </is>
      </c>
      <c r="F1512" t="inlineStr">
        <is>
          <t>Bergvik skog öst AB</t>
        </is>
      </c>
      <c r="G1512" t="n">
        <v>7.4</v>
      </c>
      <c r="H1512" t="n">
        <v>0</v>
      </c>
      <c r="I1512" t="n">
        <v>0</v>
      </c>
      <c r="J1512" t="n">
        <v>0</v>
      </c>
      <c r="K1512" t="n">
        <v>0</v>
      </c>
      <c r="L1512" t="n">
        <v>0</v>
      </c>
      <c r="M1512" t="n">
        <v>0</v>
      </c>
      <c r="N1512" t="n">
        <v>0</v>
      </c>
      <c r="O1512" t="n">
        <v>0</v>
      </c>
      <c r="P1512" t="n">
        <v>0</v>
      </c>
      <c r="Q1512" t="n">
        <v>0</v>
      </c>
      <c r="R1512" s="2" t="inlineStr"/>
    </row>
    <row r="1513" ht="15" customHeight="1">
      <c r="A1513" t="inlineStr">
        <is>
          <t>A 31472-2020</t>
        </is>
      </c>
      <c r="B1513" s="1" t="n">
        <v>44013</v>
      </c>
      <c r="C1513" s="1" t="n">
        <v>45846</v>
      </c>
      <c r="D1513" t="inlineStr">
        <is>
          <t>UPPSALA LÄN</t>
        </is>
      </c>
      <c r="E1513" t="inlineStr">
        <is>
          <t>ENKÖPING</t>
        </is>
      </c>
      <c r="F1513" t="inlineStr">
        <is>
          <t>Kyrkan</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31430-2020</t>
        </is>
      </c>
      <c r="B1514" s="1" t="n">
        <v>44013</v>
      </c>
      <c r="C1514" s="1" t="n">
        <v>45846</v>
      </c>
      <c r="D1514" t="inlineStr">
        <is>
          <t>UPPSALA LÄN</t>
        </is>
      </c>
      <c r="E1514" t="inlineStr">
        <is>
          <t>UPPSALA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31473-2020</t>
        </is>
      </c>
      <c r="B1515" s="1" t="n">
        <v>44013</v>
      </c>
      <c r="C1515" s="1" t="n">
        <v>45846</v>
      </c>
      <c r="D1515" t="inlineStr">
        <is>
          <t>UPPSALA LÄN</t>
        </is>
      </c>
      <c r="E1515" t="inlineStr">
        <is>
          <t>ENKÖPING</t>
        </is>
      </c>
      <c r="F1515" t="inlineStr">
        <is>
          <t>Kyrkan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31539-2020</t>
        </is>
      </c>
      <c r="B1516" s="1" t="n">
        <v>44013</v>
      </c>
      <c r="C1516" s="1" t="n">
        <v>45846</v>
      </c>
      <c r="D1516" t="inlineStr">
        <is>
          <t>UPPSALA LÄN</t>
        </is>
      </c>
      <c r="E1516" t="inlineStr">
        <is>
          <t>HEBY</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31685-2020</t>
        </is>
      </c>
      <c r="B1517" s="1" t="n">
        <v>44013</v>
      </c>
      <c r="C1517" s="1" t="n">
        <v>45846</v>
      </c>
      <c r="D1517" t="inlineStr">
        <is>
          <t>UPPSALA LÄN</t>
        </is>
      </c>
      <c r="E1517" t="inlineStr">
        <is>
          <t>TIERP</t>
        </is>
      </c>
      <c r="F1517" t="inlineStr">
        <is>
          <t>Bergvik skog väst AB</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31932-2020</t>
        </is>
      </c>
      <c r="B1518" s="1" t="n">
        <v>44014</v>
      </c>
      <c r="C1518" s="1" t="n">
        <v>45846</v>
      </c>
      <c r="D1518" t="inlineStr">
        <is>
          <t>UPPSALA LÄN</t>
        </is>
      </c>
      <c r="E1518" t="inlineStr">
        <is>
          <t>UPPSALA</t>
        </is>
      </c>
      <c r="G1518" t="n">
        <v>5.6</v>
      </c>
      <c r="H1518" t="n">
        <v>0</v>
      </c>
      <c r="I1518" t="n">
        <v>0</v>
      </c>
      <c r="J1518" t="n">
        <v>0</v>
      </c>
      <c r="K1518" t="n">
        <v>0</v>
      </c>
      <c r="L1518" t="n">
        <v>0</v>
      </c>
      <c r="M1518" t="n">
        <v>0</v>
      </c>
      <c r="N1518" t="n">
        <v>0</v>
      </c>
      <c r="O1518" t="n">
        <v>0</v>
      </c>
      <c r="P1518" t="n">
        <v>0</v>
      </c>
      <c r="Q1518" t="n">
        <v>0</v>
      </c>
      <c r="R1518" s="2" t="inlineStr"/>
    </row>
    <row r="1519" ht="15" customHeight="1">
      <c r="A1519" t="inlineStr">
        <is>
          <t>A 32192-2020</t>
        </is>
      </c>
      <c r="B1519" s="1" t="n">
        <v>44015</v>
      </c>
      <c r="C1519" s="1" t="n">
        <v>45846</v>
      </c>
      <c r="D1519" t="inlineStr">
        <is>
          <t>UPPSALA LÄN</t>
        </is>
      </c>
      <c r="E1519" t="inlineStr">
        <is>
          <t>ÖSTHAMMAR</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32209-2020</t>
        </is>
      </c>
      <c r="B1520" s="1" t="n">
        <v>44015</v>
      </c>
      <c r="C1520" s="1" t="n">
        <v>45846</v>
      </c>
      <c r="D1520" t="inlineStr">
        <is>
          <t>UPPSALA LÄN</t>
        </is>
      </c>
      <c r="E1520" t="inlineStr">
        <is>
          <t>ENKÖPING</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32047-2020</t>
        </is>
      </c>
      <c r="B1521" s="1" t="n">
        <v>44015</v>
      </c>
      <c r="C1521" s="1" t="n">
        <v>45846</v>
      </c>
      <c r="D1521" t="inlineStr">
        <is>
          <t>UPPSALA LÄN</t>
        </is>
      </c>
      <c r="E1521" t="inlineStr">
        <is>
          <t>ENKÖPING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32235-2020</t>
        </is>
      </c>
      <c r="B1522" s="1" t="n">
        <v>44015</v>
      </c>
      <c r="C1522" s="1" t="n">
        <v>45846</v>
      </c>
      <c r="D1522" t="inlineStr">
        <is>
          <t>UPPSALA LÄN</t>
        </is>
      </c>
      <c r="E1522" t="inlineStr">
        <is>
          <t>UPPSALA</t>
        </is>
      </c>
      <c r="F1522" t="inlineStr">
        <is>
          <t>Bergvik skog öst AB</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32340-2020</t>
        </is>
      </c>
      <c r="B1523" s="1" t="n">
        <v>44016</v>
      </c>
      <c r="C1523" s="1" t="n">
        <v>45846</v>
      </c>
      <c r="D1523" t="inlineStr">
        <is>
          <t>UPPSALA LÄN</t>
        </is>
      </c>
      <c r="E1523" t="inlineStr">
        <is>
          <t>UPPSALA</t>
        </is>
      </c>
      <c r="F1523" t="inlineStr">
        <is>
          <t>Bergvik skog öst AB</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32416-2020</t>
        </is>
      </c>
      <c r="B1524" s="1" t="n">
        <v>44018</v>
      </c>
      <c r="C1524" s="1" t="n">
        <v>45846</v>
      </c>
      <c r="D1524" t="inlineStr">
        <is>
          <t>UPPSALA LÄN</t>
        </is>
      </c>
      <c r="E1524" t="inlineStr">
        <is>
          <t>ÄLVKARLEBY</t>
        </is>
      </c>
      <c r="F1524" t="inlineStr">
        <is>
          <t>Bergvik skog väst AB</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32454-2020</t>
        </is>
      </c>
      <c r="B1525" s="1" t="n">
        <v>44018</v>
      </c>
      <c r="C1525" s="1" t="n">
        <v>45846</v>
      </c>
      <c r="D1525" t="inlineStr">
        <is>
          <t>UPPSALA LÄN</t>
        </is>
      </c>
      <c r="E1525" t="inlineStr">
        <is>
          <t>ENKÖPING</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32497-2020</t>
        </is>
      </c>
      <c r="B1526" s="1" t="n">
        <v>44018</v>
      </c>
      <c r="C1526" s="1" t="n">
        <v>45846</v>
      </c>
      <c r="D1526" t="inlineStr">
        <is>
          <t>UPPSALA LÄN</t>
        </is>
      </c>
      <c r="E1526" t="inlineStr">
        <is>
          <t>ENKÖPING</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32608-2020</t>
        </is>
      </c>
      <c r="B1527" s="1" t="n">
        <v>44019</v>
      </c>
      <c r="C1527" s="1" t="n">
        <v>45846</v>
      </c>
      <c r="D1527" t="inlineStr">
        <is>
          <t>UPPSALA LÄN</t>
        </is>
      </c>
      <c r="E1527" t="inlineStr">
        <is>
          <t>UPPSALA</t>
        </is>
      </c>
      <c r="F1527" t="inlineStr">
        <is>
          <t>Bergvik skog öst AB</t>
        </is>
      </c>
      <c r="G1527" t="n">
        <v>5.7</v>
      </c>
      <c r="H1527" t="n">
        <v>0</v>
      </c>
      <c r="I1527" t="n">
        <v>0</v>
      </c>
      <c r="J1527" t="n">
        <v>0</v>
      </c>
      <c r="K1527" t="n">
        <v>0</v>
      </c>
      <c r="L1527" t="n">
        <v>0</v>
      </c>
      <c r="M1527" t="n">
        <v>0</v>
      </c>
      <c r="N1527" t="n">
        <v>0</v>
      </c>
      <c r="O1527" t="n">
        <v>0</v>
      </c>
      <c r="P1527" t="n">
        <v>0</v>
      </c>
      <c r="Q1527" t="n">
        <v>0</v>
      </c>
      <c r="R1527" s="2" t="inlineStr"/>
    </row>
    <row r="1528" ht="15" customHeight="1">
      <c r="A1528" t="inlineStr">
        <is>
          <t>A 32953-2020</t>
        </is>
      </c>
      <c r="B1528" s="1" t="n">
        <v>44020</v>
      </c>
      <c r="C1528" s="1" t="n">
        <v>45846</v>
      </c>
      <c r="D1528" t="inlineStr">
        <is>
          <t>UPPSALA LÄN</t>
        </is>
      </c>
      <c r="E1528" t="inlineStr">
        <is>
          <t>KNIVSTA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33076-2020</t>
        </is>
      </c>
      <c r="B1529" s="1" t="n">
        <v>44021</v>
      </c>
      <c r="C1529" s="1" t="n">
        <v>45846</v>
      </c>
      <c r="D1529" t="inlineStr">
        <is>
          <t>UPPSALA LÄN</t>
        </is>
      </c>
      <c r="E1529" t="inlineStr">
        <is>
          <t>TIERP</t>
        </is>
      </c>
      <c r="F1529" t="inlineStr">
        <is>
          <t>Bergvik skog väst AB</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33098-2020</t>
        </is>
      </c>
      <c r="B1530" s="1" t="n">
        <v>44021</v>
      </c>
      <c r="C1530" s="1" t="n">
        <v>45846</v>
      </c>
      <c r="D1530" t="inlineStr">
        <is>
          <t>UPPSALA LÄN</t>
        </is>
      </c>
      <c r="E1530" t="inlineStr">
        <is>
          <t>ÖSTHAMMAR</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33026-2020</t>
        </is>
      </c>
      <c r="B1531" s="1" t="n">
        <v>44021</v>
      </c>
      <c r="C1531" s="1" t="n">
        <v>45846</v>
      </c>
      <c r="D1531" t="inlineStr">
        <is>
          <t>UPPSALA LÄN</t>
        </is>
      </c>
      <c r="E1531" t="inlineStr">
        <is>
          <t>HEBY</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33585-2020</t>
        </is>
      </c>
      <c r="B1532" s="1" t="n">
        <v>44022</v>
      </c>
      <c r="C1532" s="1" t="n">
        <v>45846</v>
      </c>
      <c r="D1532" t="inlineStr">
        <is>
          <t>UPPSALA LÄN</t>
        </is>
      </c>
      <c r="E1532" t="inlineStr">
        <is>
          <t>ENKÖPING</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33378-2020</t>
        </is>
      </c>
      <c r="B1533" s="1" t="n">
        <v>44022</v>
      </c>
      <c r="C1533" s="1" t="n">
        <v>45846</v>
      </c>
      <c r="D1533" t="inlineStr">
        <is>
          <t>UPPSALA LÄN</t>
        </is>
      </c>
      <c r="E1533" t="inlineStr">
        <is>
          <t>TIERP</t>
        </is>
      </c>
      <c r="G1533" t="n">
        <v>9</v>
      </c>
      <c r="H1533" t="n">
        <v>0</v>
      </c>
      <c r="I1533" t="n">
        <v>0</v>
      </c>
      <c r="J1533" t="n">
        <v>0</v>
      </c>
      <c r="K1533" t="n">
        <v>0</v>
      </c>
      <c r="L1533" t="n">
        <v>0</v>
      </c>
      <c r="M1533" t="n">
        <v>0</v>
      </c>
      <c r="N1533" t="n">
        <v>0</v>
      </c>
      <c r="O1533" t="n">
        <v>0</v>
      </c>
      <c r="P1533" t="n">
        <v>0</v>
      </c>
      <c r="Q1533" t="n">
        <v>0</v>
      </c>
      <c r="R1533" s="2" t="inlineStr"/>
    </row>
    <row r="1534" ht="15" customHeight="1">
      <c r="A1534" t="inlineStr">
        <is>
          <t>A 33545-2020</t>
        </is>
      </c>
      <c r="B1534" s="1" t="n">
        <v>44025</v>
      </c>
      <c r="C1534" s="1" t="n">
        <v>45846</v>
      </c>
      <c r="D1534" t="inlineStr">
        <is>
          <t>UPPSALA LÄN</t>
        </is>
      </c>
      <c r="E1534" t="inlineStr">
        <is>
          <t>HEBY</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33873-2020</t>
        </is>
      </c>
      <c r="B1535" s="1" t="n">
        <v>44025</v>
      </c>
      <c r="C1535" s="1" t="n">
        <v>45846</v>
      </c>
      <c r="D1535" t="inlineStr">
        <is>
          <t>UPPSALA LÄN</t>
        </is>
      </c>
      <c r="E1535" t="inlineStr">
        <is>
          <t>TIERP</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33671-2020</t>
        </is>
      </c>
      <c r="B1536" s="1" t="n">
        <v>44026</v>
      </c>
      <c r="C1536" s="1" t="n">
        <v>45846</v>
      </c>
      <c r="D1536" t="inlineStr">
        <is>
          <t>UPPSALA LÄN</t>
        </is>
      </c>
      <c r="E1536" t="inlineStr">
        <is>
          <t>HEBY</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33658-2020</t>
        </is>
      </c>
      <c r="B1537" s="1" t="n">
        <v>44026</v>
      </c>
      <c r="C1537" s="1" t="n">
        <v>45846</v>
      </c>
      <c r="D1537" t="inlineStr">
        <is>
          <t>UPPSALA LÄN</t>
        </is>
      </c>
      <c r="E1537" t="inlineStr">
        <is>
          <t>UPPSALA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34205-2020</t>
        </is>
      </c>
      <c r="B1538" s="1" t="n">
        <v>44029</v>
      </c>
      <c r="C1538" s="1" t="n">
        <v>45846</v>
      </c>
      <c r="D1538" t="inlineStr">
        <is>
          <t>UPPSALA LÄN</t>
        </is>
      </c>
      <c r="E1538" t="inlineStr">
        <is>
          <t>UPPSALA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34490-2020</t>
        </is>
      </c>
      <c r="B1539" s="1" t="n">
        <v>44029</v>
      </c>
      <c r="C1539" s="1" t="n">
        <v>45846</v>
      </c>
      <c r="D1539" t="inlineStr">
        <is>
          <t>UPPSALA LÄN</t>
        </is>
      </c>
      <c r="E1539" t="inlineStr">
        <is>
          <t>HÅBO</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34494-2020</t>
        </is>
      </c>
      <c r="B1540" s="1" t="n">
        <v>44029</v>
      </c>
      <c r="C1540" s="1" t="n">
        <v>45846</v>
      </c>
      <c r="D1540" t="inlineStr">
        <is>
          <t>UPPSALA LÄN</t>
        </is>
      </c>
      <c r="E1540" t="inlineStr">
        <is>
          <t>TIERP</t>
        </is>
      </c>
      <c r="F1540" t="inlineStr">
        <is>
          <t>Bergvik skog väst AB</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34497-2020</t>
        </is>
      </c>
      <c r="B1541" s="1" t="n">
        <v>44033</v>
      </c>
      <c r="C1541" s="1" t="n">
        <v>45846</v>
      </c>
      <c r="D1541" t="inlineStr">
        <is>
          <t>UPPSALA LÄN</t>
        </is>
      </c>
      <c r="E1541" t="inlineStr">
        <is>
          <t>HÅBO</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34565-2020</t>
        </is>
      </c>
      <c r="B1542" s="1" t="n">
        <v>44033</v>
      </c>
      <c r="C1542" s="1" t="n">
        <v>45846</v>
      </c>
      <c r="D1542" t="inlineStr">
        <is>
          <t>UPPSALA LÄN</t>
        </is>
      </c>
      <c r="E1542" t="inlineStr">
        <is>
          <t>UPPSALA</t>
        </is>
      </c>
      <c r="F1542" t="inlineStr">
        <is>
          <t>Bergvik skog öst AB</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34700-2020</t>
        </is>
      </c>
      <c r="B1543" s="1" t="n">
        <v>44035</v>
      </c>
      <c r="C1543" s="1" t="n">
        <v>45846</v>
      </c>
      <c r="D1543" t="inlineStr">
        <is>
          <t>UPPSALA LÄN</t>
        </is>
      </c>
      <c r="E1543" t="inlineStr">
        <is>
          <t>HEBY</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34729-2020</t>
        </is>
      </c>
      <c r="B1544" s="1" t="n">
        <v>44035</v>
      </c>
      <c r="C1544" s="1" t="n">
        <v>45846</v>
      </c>
      <c r="D1544" t="inlineStr">
        <is>
          <t>UPPSALA LÄN</t>
        </is>
      </c>
      <c r="E1544" t="inlineStr">
        <is>
          <t>HEBY</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34753-2020</t>
        </is>
      </c>
      <c r="B1545" s="1" t="n">
        <v>44035</v>
      </c>
      <c r="C1545" s="1" t="n">
        <v>45846</v>
      </c>
      <c r="D1545" t="inlineStr">
        <is>
          <t>UPPSALA LÄN</t>
        </is>
      </c>
      <c r="E1545" t="inlineStr">
        <is>
          <t>UPPSALA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34697-2020</t>
        </is>
      </c>
      <c r="B1546" s="1" t="n">
        <v>44035</v>
      </c>
      <c r="C1546" s="1" t="n">
        <v>45846</v>
      </c>
      <c r="D1546" t="inlineStr">
        <is>
          <t>UPPSALA LÄN</t>
        </is>
      </c>
      <c r="E1546" t="inlineStr">
        <is>
          <t>HEBY</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34749-2020</t>
        </is>
      </c>
      <c r="B1547" s="1" t="n">
        <v>44035</v>
      </c>
      <c r="C1547" s="1" t="n">
        <v>45846</v>
      </c>
      <c r="D1547" t="inlineStr">
        <is>
          <t>UPPSALA LÄN</t>
        </is>
      </c>
      <c r="E1547" t="inlineStr">
        <is>
          <t>UPPSALA</t>
        </is>
      </c>
      <c r="G1547" t="n">
        <v>5.5</v>
      </c>
      <c r="H1547" t="n">
        <v>0</v>
      </c>
      <c r="I1547" t="n">
        <v>0</v>
      </c>
      <c r="J1547" t="n">
        <v>0</v>
      </c>
      <c r="K1547" t="n">
        <v>0</v>
      </c>
      <c r="L1547" t="n">
        <v>0</v>
      </c>
      <c r="M1547" t="n">
        <v>0</v>
      </c>
      <c r="N1547" t="n">
        <v>0</v>
      </c>
      <c r="O1547" t="n">
        <v>0</v>
      </c>
      <c r="P1547" t="n">
        <v>0</v>
      </c>
      <c r="Q1547" t="n">
        <v>0</v>
      </c>
      <c r="R1547" s="2" t="inlineStr"/>
    </row>
    <row r="1548" ht="15" customHeight="1">
      <c r="A1548" t="inlineStr">
        <is>
          <t>A 34943-2020</t>
        </is>
      </c>
      <c r="B1548" s="1" t="n">
        <v>44038</v>
      </c>
      <c r="C1548" s="1" t="n">
        <v>45846</v>
      </c>
      <c r="D1548" t="inlineStr">
        <is>
          <t>UPPSALA LÄN</t>
        </is>
      </c>
      <c r="E1548" t="inlineStr">
        <is>
          <t>ÖSTHAMMAR</t>
        </is>
      </c>
      <c r="F1548" t="inlineStr">
        <is>
          <t>Bergvik skog öst AB</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34941-2020</t>
        </is>
      </c>
      <c r="B1549" s="1" t="n">
        <v>44038</v>
      </c>
      <c r="C1549" s="1" t="n">
        <v>45846</v>
      </c>
      <c r="D1549" t="inlineStr">
        <is>
          <t>UPPSALA LÄN</t>
        </is>
      </c>
      <c r="E1549" t="inlineStr">
        <is>
          <t>ÖSTHAMMAR</t>
        </is>
      </c>
      <c r="F1549" t="inlineStr">
        <is>
          <t>Bergvik skog öst AB</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34940-2020</t>
        </is>
      </c>
      <c r="B1550" s="1" t="n">
        <v>44038</v>
      </c>
      <c r="C1550" s="1" t="n">
        <v>45846</v>
      </c>
      <c r="D1550" t="inlineStr">
        <is>
          <t>UPPSALA LÄN</t>
        </is>
      </c>
      <c r="E1550" t="inlineStr">
        <is>
          <t>ÖSTHAMMAR</t>
        </is>
      </c>
      <c r="F1550" t="inlineStr">
        <is>
          <t>Bergvik skog öst AB</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35094-2020</t>
        </is>
      </c>
      <c r="B1551" s="1" t="n">
        <v>44040</v>
      </c>
      <c r="C1551" s="1" t="n">
        <v>45846</v>
      </c>
      <c r="D1551" t="inlineStr">
        <is>
          <t>UPPSALA LÄN</t>
        </is>
      </c>
      <c r="E1551" t="inlineStr">
        <is>
          <t>ÖSTHAMMAR</t>
        </is>
      </c>
      <c r="F1551" t="inlineStr">
        <is>
          <t>Bergvik skog öst AB</t>
        </is>
      </c>
      <c r="G1551" t="n">
        <v>14.5</v>
      </c>
      <c r="H1551" t="n">
        <v>0</v>
      </c>
      <c r="I1551" t="n">
        <v>0</v>
      </c>
      <c r="J1551" t="n">
        <v>0</v>
      </c>
      <c r="K1551" t="n">
        <v>0</v>
      </c>
      <c r="L1551" t="n">
        <v>0</v>
      </c>
      <c r="M1551" t="n">
        <v>0</v>
      </c>
      <c r="N1551" t="n">
        <v>0</v>
      </c>
      <c r="O1551" t="n">
        <v>0</v>
      </c>
      <c r="P1551" t="n">
        <v>0</v>
      </c>
      <c r="Q1551" t="n">
        <v>0</v>
      </c>
      <c r="R1551" s="2" t="inlineStr"/>
    </row>
    <row r="1552" ht="15" customHeight="1">
      <c r="A1552" t="inlineStr">
        <is>
          <t>A 35096-2020</t>
        </is>
      </c>
      <c r="B1552" s="1" t="n">
        <v>44040</v>
      </c>
      <c r="C1552" s="1" t="n">
        <v>45846</v>
      </c>
      <c r="D1552" t="inlineStr">
        <is>
          <t>UPPSALA LÄN</t>
        </is>
      </c>
      <c r="E1552" t="inlineStr">
        <is>
          <t>ÖSTHAMMAR</t>
        </is>
      </c>
      <c r="F1552" t="inlineStr">
        <is>
          <t>Bergvik skog öst AB</t>
        </is>
      </c>
      <c r="G1552" t="n">
        <v>7.6</v>
      </c>
      <c r="H1552" t="n">
        <v>0</v>
      </c>
      <c r="I1552" t="n">
        <v>0</v>
      </c>
      <c r="J1552" t="n">
        <v>0</v>
      </c>
      <c r="K1552" t="n">
        <v>0</v>
      </c>
      <c r="L1552" t="n">
        <v>0</v>
      </c>
      <c r="M1552" t="n">
        <v>0</v>
      </c>
      <c r="N1552" t="n">
        <v>0</v>
      </c>
      <c r="O1552" t="n">
        <v>0</v>
      </c>
      <c r="P1552" t="n">
        <v>0</v>
      </c>
      <c r="Q1552" t="n">
        <v>0</v>
      </c>
      <c r="R1552" s="2" t="inlineStr"/>
    </row>
    <row r="1553" ht="15" customHeight="1">
      <c r="A1553" t="inlineStr">
        <is>
          <t>A 35281-2020</t>
        </is>
      </c>
      <c r="B1553" s="1" t="n">
        <v>44041</v>
      </c>
      <c r="C1553" s="1" t="n">
        <v>45846</v>
      </c>
      <c r="D1553" t="inlineStr">
        <is>
          <t>UPPSALA LÄN</t>
        </is>
      </c>
      <c r="E1553" t="inlineStr">
        <is>
          <t>UPPSALA</t>
        </is>
      </c>
      <c r="F1553" t="inlineStr">
        <is>
          <t>Bergvik skog öst AB</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35573-2020</t>
        </is>
      </c>
      <c r="B1554" s="1" t="n">
        <v>44043</v>
      </c>
      <c r="C1554" s="1" t="n">
        <v>45846</v>
      </c>
      <c r="D1554" t="inlineStr">
        <is>
          <t>UPPSALA LÄN</t>
        </is>
      </c>
      <c r="E1554" t="inlineStr">
        <is>
          <t>TIERP</t>
        </is>
      </c>
      <c r="F1554" t="inlineStr">
        <is>
          <t>Bergvik skog öst AB</t>
        </is>
      </c>
      <c r="G1554" t="n">
        <v>30.2</v>
      </c>
      <c r="H1554" t="n">
        <v>0</v>
      </c>
      <c r="I1554" t="n">
        <v>0</v>
      </c>
      <c r="J1554" t="n">
        <v>0</v>
      </c>
      <c r="K1554" t="n">
        <v>0</v>
      </c>
      <c r="L1554" t="n">
        <v>0</v>
      </c>
      <c r="M1554" t="n">
        <v>0</v>
      </c>
      <c r="N1554" t="n">
        <v>0</v>
      </c>
      <c r="O1554" t="n">
        <v>0</v>
      </c>
      <c r="P1554" t="n">
        <v>0</v>
      </c>
      <c r="Q1554" t="n">
        <v>0</v>
      </c>
      <c r="R1554" s="2" t="inlineStr"/>
    </row>
    <row r="1555" ht="15" customHeight="1">
      <c r="A1555" t="inlineStr">
        <is>
          <t>A 36035-2020</t>
        </is>
      </c>
      <c r="B1555" s="1" t="n">
        <v>44048</v>
      </c>
      <c r="C1555" s="1" t="n">
        <v>45846</v>
      </c>
      <c r="D1555" t="inlineStr">
        <is>
          <t>UPPSALA LÄN</t>
        </is>
      </c>
      <c r="E1555" t="inlineStr">
        <is>
          <t>UPPSALA</t>
        </is>
      </c>
      <c r="F1555" t="inlineStr">
        <is>
          <t>Bergvik skog öst AB</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36061-2020</t>
        </is>
      </c>
      <c r="B1556" s="1" t="n">
        <v>44048</v>
      </c>
      <c r="C1556" s="1" t="n">
        <v>45846</v>
      </c>
      <c r="D1556" t="inlineStr">
        <is>
          <t>UPPSALA LÄN</t>
        </is>
      </c>
      <c r="E1556" t="inlineStr">
        <is>
          <t>HEBY</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36202-2020</t>
        </is>
      </c>
      <c r="B1557" s="1" t="n">
        <v>44048</v>
      </c>
      <c r="C1557" s="1" t="n">
        <v>45846</v>
      </c>
      <c r="D1557" t="inlineStr">
        <is>
          <t>UPPSALA LÄN</t>
        </is>
      </c>
      <c r="E1557" t="inlineStr">
        <is>
          <t>UPPSALA</t>
        </is>
      </c>
      <c r="F1557" t="inlineStr">
        <is>
          <t>Bergvik skog öst AB</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36075-2020</t>
        </is>
      </c>
      <c r="B1558" s="1" t="n">
        <v>44048</v>
      </c>
      <c r="C1558" s="1" t="n">
        <v>45846</v>
      </c>
      <c r="D1558" t="inlineStr">
        <is>
          <t>UPPSALA LÄN</t>
        </is>
      </c>
      <c r="E1558" t="inlineStr">
        <is>
          <t>HEBY</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36198-2020</t>
        </is>
      </c>
      <c r="B1559" s="1" t="n">
        <v>44048</v>
      </c>
      <c r="C1559" s="1" t="n">
        <v>45846</v>
      </c>
      <c r="D1559" t="inlineStr">
        <is>
          <t>UPPSALA LÄN</t>
        </is>
      </c>
      <c r="E1559" t="inlineStr">
        <is>
          <t>UPPSALA</t>
        </is>
      </c>
      <c r="F1559" t="inlineStr">
        <is>
          <t>Bergvik skog öst AB</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36350-2020</t>
        </is>
      </c>
      <c r="B1560" s="1" t="n">
        <v>44049</v>
      </c>
      <c r="C1560" s="1" t="n">
        <v>45846</v>
      </c>
      <c r="D1560" t="inlineStr">
        <is>
          <t>UPPSALA LÄN</t>
        </is>
      </c>
      <c r="E1560" t="inlineStr">
        <is>
          <t>UPPSALA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36412-2020</t>
        </is>
      </c>
      <c r="B1561" s="1" t="n">
        <v>44049</v>
      </c>
      <c r="C1561" s="1" t="n">
        <v>45846</v>
      </c>
      <c r="D1561" t="inlineStr">
        <is>
          <t>UPPSALA LÄN</t>
        </is>
      </c>
      <c r="E1561" t="inlineStr">
        <is>
          <t>TIERP</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36512-2020</t>
        </is>
      </c>
      <c r="B1562" s="1" t="n">
        <v>44050</v>
      </c>
      <c r="C1562" s="1" t="n">
        <v>45846</v>
      </c>
      <c r="D1562" t="inlineStr">
        <is>
          <t>UPPSALA LÄN</t>
        </is>
      </c>
      <c r="E1562" t="inlineStr">
        <is>
          <t>UPPSALA</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36939-2020</t>
        </is>
      </c>
      <c r="B1563" s="1" t="n">
        <v>44053</v>
      </c>
      <c r="C1563" s="1" t="n">
        <v>45846</v>
      </c>
      <c r="D1563" t="inlineStr">
        <is>
          <t>UPPSALA LÄN</t>
        </is>
      </c>
      <c r="E1563" t="inlineStr">
        <is>
          <t>HEBY</t>
        </is>
      </c>
      <c r="F1563" t="inlineStr">
        <is>
          <t>Bergvik skog väst AB</t>
        </is>
      </c>
      <c r="G1563" t="n">
        <v>18.2</v>
      </c>
      <c r="H1563" t="n">
        <v>0</v>
      </c>
      <c r="I1563" t="n">
        <v>0</v>
      </c>
      <c r="J1563" t="n">
        <v>0</v>
      </c>
      <c r="K1563" t="n">
        <v>0</v>
      </c>
      <c r="L1563" t="n">
        <v>0</v>
      </c>
      <c r="M1563" t="n">
        <v>0</v>
      </c>
      <c r="N1563" t="n">
        <v>0</v>
      </c>
      <c r="O1563" t="n">
        <v>0</v>
      </c>
      <c r="P1563" t="n">
        <v>0</v>
      </c>
      <c r="Q1563" t="n">
        <v>0</v>
      </c>
      <c r="R1563" s="2" t="inlineStr"/>
    </row>
    <row r="1564" ht="15" customHeight="1">
      <c r="A1564" t="inlineStr">
        <is>
          <t>A 37193-2020</t>
        </is>
      </c>
      <c r="B1564" s="1" t="n">
        <v>44054</v>
      </c>
      <c r="C1564" s="1" t="n">
        <v>45846</v>
      </c>
      <c r="D1564" t="inlineStr">
        <is>
          <t>UPPSALA LÄN</t>
        </is>
      </c>
      <c r="E1564" t="inlineStr">
        <is>
          <t>ÄLVKARLEBY</t>
        </is>
      </c>
      <c r="F1564" t="inlineStr">
        <is>
          <t>Bergvik skog väst AB</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37276-2020</t>
        </is>
      </c>
      <c r="B1565" s="1" t="n">
        <v>44055</v>
      </c>
      <c r="C1565" s="1" t="n">
        <v>45846</v>
      </c>
      <c r="D1565" t="inlineStr">
        <is>
          <t>UPPSALA LÄN</t>
        </is>
      </c>
      <c r="E1565" t="inlineStr">
        <is>
          <t>UPPSALA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37596-2020</t>
        </is>
      </c>
      <c r="B1566" s="1" t="n">
        <v>44056</v>
      </c>
      <c r="C1566" s="1" t="n">
        <v>45846</v>
      </c>
      <c r="D1566" t="inlineStr">
        <is>
          <t>UPPSALA LÄN</t>
        </is>
      </c>
      <c r="E1566" t="inlineStr">
        <is>
          <t>TIERP</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37669-2020</t>
        </is>
      </c>
      <c r="B1567" s="1" t="n">
        <v>44056</v>
      </c>
      <c r="C1567" s="1" t="n">
        <v>45846</v>
      </c>
      <c r="D1567" t="inlineStr">
        <is>
          <t>UPPSALA LÄN</t>
        </is>
      </c>
      <c r="E1567" t="inlineStr">
        <is>
          <t>UPPSALA</t>
        </is>
      </c>
      <c r="G1567" t="n">
        <v>5.1</v>
      </c>
      <c r="H1567" t="n">
        <v>0</v>
      </c>
      <c r="I1567" t="n">
        <v>0</v>
      </c>
      <c r="J1567" t="n">
        <v>0</v>
      </c>
      <c r="K1567" t="n">
        <v>0</v>
      </c>
      <c r="L1567" t="n">
        <v>0</v>
      </c>
      <c r="M1567" t="n">
        <v>0</v>
      </c>
      <c r="N1567" t="n">
        <v>0</v>
      </c>
      <c r="O1567" t="n">
        <v>0</v>
      </c>
      <c r="P1567" t="n">
        <v>0</v>
      </c>
      <c r="Q1567" t="n">
        <v>0</v>
      </c>
      <c r="R1567" s="2" t="inlineStr"/>
    </row>
    <row r="1568" ht="15" customHeight="1">
      <c r="A1568" t="inlineStr">
        <is>
          <t>A 37680-2020</t>
        </is>
      </c>
      <c r="B1568" s="1" t="n">
        <v>44056</v>
      </c>
      <c r="C1568" s="1" t="n">
        <v>45846</v>
      </c>
      <c r="D1568" t="inlineStr">
        <is>
          <t>UPPSALA LÄN</t>
        </is>
      </c>
      <c r="E1568" t="inlineStr">
        <is>
          <t>TIERP</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37738-2020</t>
        </is>
      </c>
      <c r="B1569" s="1" t="n">
        <v>44056</v>
      </c>
      <c r="C1569" s="1" t="n">
        <v>45846</v>
      </c>
      <c r="D1569" t="inlineStr">
        <is>
          <t>UPPSALA LÄN</t>
        </is>
      </c>
      <c r="E1569" t="inlineStr">
        <is>
          <t>ENKÖPING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37691-2020</t>
        </is>
      </c>
      <c r="B1570" s="1" t="n">
        <v>44056</v>
      </c>
      <c r="C1570" s="1" t="n">
        <v>45846</v>
      </c>
      <c r="D1570" t="inlineStr">
        <is>
          <t>UPPSALA LÄN</t>
        </is>
      </c>
      <c r="E1570" t="inlineStr">
        <is>
          <t>TIERP</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38285-2020</t>
        </is>
      </c>
      <c r="B1571" s="1" t="n">
        <v>44060</v>
      </c>
      <c r="C1571" s="1" t="n">
        <v>45846</v>
      </c>
      <c r="D1571" t="inlineStr">
        <is>
          <t>UPPSALA LÄN</t>
        </is>
      </c>
      <c r="E1571" t="inlineStr">
        <is>
          <t>ÖSTHAMMAR</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38630-2020</t>
        </is>
      </c>
      <c r="B1572" s="1" t="n">
        <v>44061</v>
      </c>
      <c r="C1572" s="1" t="n">
        <v>45846</v>
      </c>
      <c r="D1572" t="inlineStr">
        <is>
          <t>UPPSALA LÄN</t>
        </is>
      </c>
      <c r="E1572" t="inlineStr">
        <is>
          <t>ÖSTHAMMAR</t>
        </is>
      </c>
      <c r="F1572" t="inlineStr">
        <is>
          <t>Bergvik skog öst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39233-2020</t>
        </is>
      </c>
      <c r="B1573" s="1" t="n">
        <v>44063</v>
      </c>
      <c r="C1573" s="1" t="n">
        <v>45846</v>
      </c>
      <c r="D1573" t="inlineStr">
        <is>
          <t>UPPSALA LÄN</t>
        </is>
      </c>
      <c r="E1573" t="inlineStr">
        <is>
          <t>UPPSALA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39178-2020</t>
        </is>
      </c>
      <c r="B1574" s="1" t="n">
        <v>44063</v>
      </c>
      <c r="C1574" s="1" t="n">
        <v>45846</v>
      </c>
      <c r="D1574" t="inlineStr">
        <is>
          <t>UPPSALA LÄN</t>
        </is>
      </c>
      <c r="E1574" t="inlineStr">
        <is>
          <t>UPPSALA</t>
        </is>
      </c>
      <c r="F1574" t="inlineStr">
        <is>
          <t>Bergvik skog öst AB</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39236-2020</t>
        </is>
      </c>
      <c r="B1575" s="1" t="n">
        <v>44063</v>
      </c>
      <c r="C1575" s="1" t="n">
        <v>45846</v>
      </c>
      <c r="D1575" t="inlineStr">
        <is>
          <t>UPPSALA LÄN</t>
        </is>
      </c>
      <c r="E1575" t="inlineStr">
        <is>
          <t>UPPSALA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39272-2020</t>
        </is>
      </c>
      <c r="B1576" s="1" t="n">
        <v>44063</v>
      </c>
      <c r="C1576" s="1" t="n">
        <v>45846</v>
      </c>
      <c r="D1576" t="inlineStr">
        <is>
          <t>UPPSALA LÄN</t>
        </is>
      </c>
      <c r="E1576" t="inlineStr">
        <is>
          <t>UPPSALA</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39640-2020</t>
        </is>
      </c>
      <c r="B1577" s="1" t="n">
        <v>44064</v>
      </c>
      <c r="C1577" s="1" t="n">
        <v>45846</v>
      </c>
      <c r="D1577" t="inlineStr">
        <is>
          <t>UPPSALA LÄN</t>
        </is>
      </c>
      <c r="E1577" t="inlineStr">
        <is>
          <t>ÖSTHAMMAR</t>
        </is>
      </c>
      <c r="F1577" t="inlineStr">
        <is>
          <t>Bergvik skog öst AB</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39935-2020</t>
        </is>
      </c>
      <c r="B1578" s="1" t="n">
        <v>44067</v>
      </c>
      <c r="C1578" s="1" t="n">
        <v>45846</v>
      </c>
      <c r="D1578" t="inlineStr">
        <is>
          <t>UPPSALA LÄN</t>
        </is>
      </c>
      <c r="E1578" t="inlineStr">
        <is>
          <t>ENKÖPING</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40667-2020</t>
        </is>
      </c>
      <c r="B1579" s="1" t="n">
        <v>44069</v>
      </c>
      <c r="C1579" s="1" t="n">
        <v>45846</v>
      </c>
      <c r="D1579" t="inlineStr">
        <is>
          <t>UPPSALA LÄN</t>
        </is>
      </c>
      <c r="E1579" t="inlineStr">
        <is>
          <t>ÄLVKARLEBY</t>
        </is>
      </c>
      <c r="F1579" t="inlineStr">
        <is>
          <t>Bergvik skog väst AB</t>
        </is>
      </c>
      <c r="G1579" t="n">
        <v>20.7</v>
      </c>
      <c r="H1579" t="n">
        <v>0</v>
      </c>
      <c r="I1579" t="n">
        <v>0</v>
      </c>
      <c r="J1579" t="n">
        <v>0</v>
      </c>
      <c r="K1579" t="n">
        <v>0</v>
      </c>
      <c r="L1579" t="n">
        <v>0</v>
      </c>
      <c r="M1579" t="n">
        <v>0</v>
      </c>
      <c r="N1579" t="n">
        <v>0</v>
      </c>
      <c r="O1579" t="n">
        <v>0</v>
      </c>
      <c r="P1579" t="n">
        <v>0</v>
      </c>
      <c r="Q1579" t="n">
        <v>0</v>
      </c>
      <c r="R1579" s="2" t="inlineStr"/>
    </row>
    <row r="1580" ht="15" customHeight="1">
      <c r="A1580" t="inlineStr">
        <is>
          <t>A 40803-2020</t>
        </is>
      </c>
      <c r="B1580" s="1" t="n">
        <v>44070</v>
      </c>
      <c r="C1580" s="1" t="n">
        <v>45846</v>
      </c>
      <c r="D1580" t="inlineStr">
        <is>
          <t>UPPSALA LÄN</t>
        </is>
      </c>
      <c r="E1580" t="inlineStr">
        <is>
          <t>HEBY</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40894-2020</t>
        </is>
      </c>
      <c r="B1581" s="1" t="n">
        <v>44070</v>
      </c>
      <c r="C1581" s="1" t="n">
        <v>45846</v>
      </c>
      <c r="D1581" t="inlineStr">
        <is>
          <t>UPPSALA LÄN</t>
        </is>
      </c>
      <c r="E1581" t="inlineStr">
        <is>
          <t>UPPSALA</t>
        </is>
      </c>
      <c r="G1581" t="n">
        <v>7.1</v>
      </c>
      <c r="H1581" t="n">
        <v>0</v>
      </c>
      <c r="I1581" t="n">
        <v>0</v>
      </c>
      <c r="J1581" t="n">
        <v>0</v>
      </c>
      <c r="K1581" t="n">
        <v>0</v>
      </c>
      <c r="L1581" t="n">
        <v>0</v>
      </c>
      <c r="M1581" t="n">
        <v>0</v>
      </c>
      <c r="N1581" t="n">
        <v>0</v>
      </c>
      <c r="O1581" t="n">
        <v>0</v>
      </c>
      <c r="P1581" t="n">
        <v>0</v>
      </c>
      <c r="Q1581" t="n">
        <v>0</v>
      </c>
      <c r="R1581" s="2" t="inlineStr"/>
    </row>
    <row r="1582" ht="15" customHeight="1">
      <c r="A1582" t="inlineStr">
        <is>
          <t>A 41849-2020</t>
        </is>
      </c>
      <c r="B1582" s="1" t="n">
        <v>44074</v>
      </c>
      <c r="C1582" s="1" t="n">
        <v>45846</v>
      </c>
      <c r="D1582" t="inlineStr">
        <is>
          <t>UPPSALA LÄN</t>
        </is>
      </c>
      <c r="E1582" t="inlineStr">
        <is>
          <t>ÖSTHAMMAR</t>
        </is>
      </c>
      <c r="F1582" t="inlineStr">
        <is>
          <t>Bergvik skog öst AB</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42341-2020</t>
        </is>
      </c>
      <c r="B1583" s="1" t="n">
        <v>44076</v>
      </c>
      <c r="C1583" s="1" t="n">
        <v>45846</v>
      </c>
      <c r="D1583" t="inlineStr">
        <is>
          <t>UPPSALA LÄN</t>
        </is>
      </c>
      <c r="E1583" t="inlineStr">
        <is>
          <t>UPPSALA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42549-2020</t>
        </is>
      </c>
      <c r="B1584" s="1" t="n">
        <v>44077</v>
      </c>
      <c r="C1584" s="1" t="n">
        <v>45846</v>
      </c>
      <c r="D1584" t="inlineStr">
        <is>
          <t>UPPSALA LÄN</t>
        </is>
      </c>
      <c r="E1584" t="inlineStr">
        <is>
          <t>ÖSTHAMMAR</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43968-2020</t>
        </is>
      </c>
      <c r="B1585" s="1" t="n">
        <v>44083</v>
      </c>
      <c r="C1585" s="1" t="n">
        <v>45846</v>
      </c>
      <c r="D1585" t="inlineStr">
        <is>
          <t>UPPSALA LÄN</t>
        </is>
      </c>
      <c r="E1585" t="inlineStr">
        <is>
          <t>UPPSALA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44089-2020</t>
        </is>
      </c>
      <c r="B1586" s="1" t="n">
        <v>44083</v>
      </c>
      <c r="C1586" s="1" t="n">
        <v>45846</v>
      </c>
      <c r="D1586" t="inlineStr">
        <is>
          <t>UPPSALA LÄN</t>
        </is>
      </c>
      <c r="E1586" t="inlineStr">
        <is>
          <t>KNIVSTA</t>
        </is>
      </c>
      <c r="F1586" t="inlineStr">
        <is>
          <t>Holmen skog AB</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45513-2020</t>
        </is>
      </c>
      <c r="B1587" s="1" t="n">
        <v>44085</v>
      </c>
      <c r="C1587" s="1" t="n">
        <v>45846</v>
      </c>
      <c r="D1587" t="inlineStr">
        <is>
          <t>UPPSALA LÄN</t>
        </is>
      </c>
      <c r="E1587" t="inlineStr">
        <is>
          <t>TIERP</t>
        </is>
      </c>
      <c r="F1587" t="inlineStr">
        <is>
          <t>Bergvik skog väst AB</t>
        </is>
      </c>
      <c r="G1587" t="n">
        <v>6.2</v>
      </c>
      <c r="H1587" t="n">
        <v>0</v>
      </c>
      <c r="I1587" t="n">
        <v>0</v>
      </c>
      <c r="J1587" t="n">
        <v>0</v>
      </c>
      <c r="K1587" t="n">
        <v>0</v>
      </c>
      <c r="L1587" t="n">
        <v>0</v>
      </c>
      <c r="M1587" t="n">
        <v>0</v>
      </c>
      <c r="N1587" t="n">
        <v>0</v>
      </c>
      <c r="O1587" t="n">
        <v>0</v>
      </c>
      <c r="P1587" t="n">
        <v>0</v>
      </c>
      <c r="Q1587" t="n">
        <v>0</v>
      </c>
      <c r="R1587" s="2" t="inlineStr"/>
    </row>
    <row r="1588" ht="15" customHeight="1">
      <c r="A1588" t="inlineStr">
        <is>
          <t>A 45938-2020</t>
        </is>
      </c>
      <c r="B1588" s="1" t="n">
        <v>44088</v>
      </c>
      <c r="C1588" s="1" t="n">
        <v>45846</v>
      </c>
      <c r="D1588" t="inlineStr">
        <is>
          <t>UPPSALA LÄN</t>
        </is>
      </c>
      <c r="E1588" t="inlineStr">
        <is>
          <t>TIERP</t>
        </is>
      </c>
      <c r="F1588" t="inlineStr">
        <is>
          <t>Bergvik skog väst AB</t>
        </is>
      </c>
      <c r="G1588" t="n">
        <v>18.5</v>
      </c>
      <c r="H1588" t="n">
        <v>0</v>
      </c>
      <c r="I1588" t="n">
        <v>0</v>
      </c>
      <c r="J1588" t="n">
        <v>0</v>
      </c>
      <c r="K1588" t="n">
        <v>0</v>
      </c>
      <c r="L1588" t="n">
        <v>0</v>
      </c>
      <c r="M1588" t="n">
        <v>0</v>
      </c>
      <c r="N1588" t="n">
        <v>0</v>
      </c>
      <c r="O1588" t="n">
        <v>0</v>
      </c>
      <c r="P1588" t="n">
        <v>0</v>
      </c>
      <c r="Q1588" t="n">
        <v>0</v>
      </c>
      <c r="R1588" s="2" t="inlineStr"/>
    </row>
    <row r="1589" ht="15" customHeight="1">
      <c r="A1589" t="inlineStr">
        <is>
          <t>A 45378-2020</t>
        </is>
      </c>
      <c r="B1589" s="1" t="n">
        <v>44089</v>
      </c>
      <c r="C1589" s="1" t="n">
        <v>45846</v>
      </c>
      <c r="D1589" t="inlineStr">
        <is>
          <t>UPPSALA LÄN</t>
        </is>
      </c>
      <c r="E1589" t="inlineStr">
        <is>
          <t>ENKÖPING</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45497-2020</t>
        </is>
      </c>
      <c r="B1590" s="1" t="n">
        <v>44089</v>
      </c>
      <c r="C1590" s="1" t="n">
        <v>45846</v>
      </c>
      <c r="D1590" t="inlineStr">
        <is>
          <t>UPPSALA LÄN</t>
        </is>
      </c>
      <c r="E1590" t="inlineStr">
        <is>
          <t>HEBY</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45930-2020</t>
        </is>
      </c>
      <c r="B1591" s="1" t="n">
        <v>44091</v>
      </c>
      <c r="C1591" s="1" t="n">
        <v>45846</v>
      </c>
      <c r="D1591" t="inlineStr">
        <is>
          <t>UPPSALA LÄN</t>
        </is>
      </c>
      <c r="E1591" t="inlineStr">
        <is>
          <t>UPPSALA</t>
        </is>
      </c>
      <c r="F1591" t="inlineStr">
        <is>
          <t>Holmen skog AB</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46223-2020</t>
        </is>
      </c>
      <c r="B1592" s="1" t="n">
        <v>44092</v>
      </c>
      <c r="C1592" s="1" t="n">
        <v>45846</v>
      </c>
      <c r="D1592" t="inlineStr">
        <is>
          <t>UPPSALA LÄN</t>
        </is>
      </c>
      <c r="E1592" t="inlineStr">
        <is>
          <t>HEBY</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46311-2020</t>
        </is>
      </c>
      <c r="B1593" s="1" t="n">
        <v>44092</v>
      </c>
      <c r="C1593" s="1" t="n">
        <v>45846</v>
      </c>
      <c r="D1593" t="inlineStr">
        <is>
          <t>UPPSALA LÄN</t>
        </is>
      </c>
      <c r="E1593" t="inlineStr">
        <is>
          <t>ÖSTHAMMAR</t>
        </is>
      </c>
      <c r="F1593" t="inlineStr">
        <is>
          <t>Bergvik skog öst AB</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46593-2020</t>
        </is>
      </c>
      <c r="B1594" s="1" t="n">
        <v>44095</v>
      </c>
      <c r="C1594" s="1" t="n">
        <v>45846</v>
      </c>
      <c r="D1594" t="inlineStr">
        <is>
          <t>UPPSALA LÄN</t>
        </is>
      </c>
      <c r="E1594" t="inlineStr">
        <is>
          <t>ENKÖPING</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46633-2020</t>
        </is>
      </c>
      <c r="B1595" s="1" t="n">
        <v>44095</v>
      </c>
      <c r="C1595" s="1" t="n">
        <v>45846</v>
      </c>
      <c r="D1595" t="inlineStr">
        <is>
          <t>UPPSALA LÄN</t>
        </is>
      </c>
      <c r="E1595" t="inlineStr">
        <is>
          <t>UPPSALA</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46423-2020</t>
        </is>
      </c>
      <c r="B1596" s="1" t="n">
        <v>44095</v>
      </c>
      <c r="C1596" s="1" t="n">
        <v>45846</v>
      </c>
      <c r="D1596" t="inlineStr">
        <is>
          <t>UPPSALA LÄN</t>
        </is>
      </c>
      <c r="E1596" t="inlineStr">
        <is>
          <t>ÖSTHAMMAR</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46643-2020</t>
        </is>
      </c>
      <c r="B1597" s="1" t="n">
        <v>44095</v>
      </c>
      <c r="C1597" s="1" t="n">
        <v>45846</v>
      </c>
      <c r="D1597" t="inlineStr">
        <is>
          <t>UPPSALA LÄN</t>
        </is>
      </c>
      <c r="E1597" t="inlineStr">
        <is>
          <t>HEBY</t>
        </is>
      </c>
      <c r="G1597" t="n">
        <v>7.6</v>
      </c>
      <c r="H1597" t="n">
        <v>0</v>
      </c>
      <c r="I1597" t="n">
        <v>0</v>
      </c>
      <c r="J1597" t="n">
        <v>0</v>
      </c>
      <c r="K1597" t="n">
        <v>0</v>
      </c>
      <c r="L1597" t="n">
        <v>0</v>
      </c>
      <c r="M1597" t="n">
        <v>0</v>
      </c>
      <c r="N1597" t="n">
        <v>0</v>
      </c>
      <c r="O1597" t="n">
        <v>0</v>
      </c>
      <c r="P1597" t="n">
        <v>0</v>
      </c>
      <c r="Q1597" t="n">
        <v>0</v>
      </c>
      <c r="R1597" s="2" t="inlineStr"/>
    </row>
    <row r="1598" ht="15" customHeight="1">
      <c r="A1598" t="inlineStr">
        <is>
          <t>A 46647-2020</t>
        </is>
      </c>
      <c r="B1598" s="1" t="n">
        <v>44095</v>
      </c>
      <c r="C1598" s="1" t="n">
        <v>45846</v>
      </c>
      <c r="D1598" t="inlineStr">
        <is>
          <t>UPPSALA LÄN</t>
        </is>
      </c>
      <c r="E1598" t="inlineStr">
        <is>
          <t>UPPSALA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46988-2020</t>
        </is>
      </c>
      <c r="B1599" s="1" t="n">
        <v>44096</v>
      </c>
      <c r="C1599" s="1" t="n">
        <v>45846</v>
      </c>
      <c r="D1599" t="inlineStr">
        <is>
          <t>UPPSALA LÄN</t>
        </is>
      </c>
      <c r="E1599" t="inlineStr">
        <is>
          <t>KNIVSTA</t>
        </is>
      </c>
      <c r="F1599" t="inlineStr">
        <is>
          <t>Holmen skog AB</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47234-2020</t>
        </is>
      </c>
      <c r="B1600" s="1" t="n">
        <v>44097</v>
      </c>
      <c r="C1600" s="1" t="n">
        <v>45846</v>
      </c>
      <c r="D1600" t="inlineStr">
        <is>
          <t>UPPSALA LÄN</t>
        </is>
      </c>
      <c r="E1600" t="inlineStr">
        <is>
          <t>TIERP</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47149-2020</t>
        </is>
      </c>
      <c r="B1601" s="1" t="n">
        <v>44097</v>
      </c>
      <c r="C1601" s="1" t="n">
        <v>45846</v>
      </c>
      <c r="D1601" t="inlineStr">
        <is>
          <t>UPPSALA LÄN</t>
        </is>
      </c>
      <c r="E1601" t="inlineStr">
        <is>
          <t>HEBY</t>
        </is>
      </c>
      <c r="F1601" t="inlineStr">
        <is>
          <t>Övriga Aktiebolag</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47628-2020</t>
        </is>
      </c>
      <c r="B1602" s="1" t="n">
        <v>44098</v>
      </c>
      <c r="C1602" s="1" t="n">
        <v>45846</v>
      </c>
      <c r="D1602" t="inlineStr">
        <is>
          <t>UPPSALA LÄN</t>
        </is>
      </c>
      <c r="E1602" t="inlineStr">
        <is>
          <t>HEBY</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47481-2020</t>
        </is>
      </c>
      <c r="B1603" s="1" t="n">
        <v>44098</v>
      </c>
      <c r="C1603" s="1" t="n">
        <v>45846</v>
      </c>
      <c r="D1603" t="inlineStr">
        <is>
          <t>UPPSALA LÄN</t>
        </is>
      </c>
      <c r="E1603" t="inlineStr">
        <is>
          <t>ÖSTHAMMAR</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48181-2020</t>
        </is>
      </c>
      <c r="B1604" s="1" t="n">
        <v>44102</v>
      </c>
      <c r="C1604" s="1" t="n">
        <v>45846</v>
      </c>
      <c r="D1604" t="inlineStr">
        <is>
          <t>UPPSALA LÄN</t>
        </is>
      </c>
      <c r="E1604" t="inlineStr">
        <is>
          <t>HEBY</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48362-2020</t>
        </is>
      </c>
      <c r="B1605" s="1" t="n">
        <v>44102</v>
      </c>
      <c r="C1605" s="1" t="n">
        <v>45846</v>
      </c>
      <c r="D1605" t="inlineStr">
        <is>
          <t>UPPSALA LÄN</t>
        </is>
      </c>
      <c r="E1605" t="inlineStr">
        <is>
          <t>ENKÖPING</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48484-2020</t>
        </is>
      </c>
      <c r="B1606" s="1" t="n">
        <v>44103</v>
      </c>
      <c r="C1606" s="1" t="n">
        <v>45846</v>
      </c>
      <c r="D1606" t="inlineStr">
        <is>
          <t>UPPSALA LÄN</t>
        </is>
      </c>
      <c r="E1606" t="inlineStr">
        <is>
          <t>ENKÖPING</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48548-2020</t>
        </is>
      </c>
      <c r="B1607" s="1" t="n">
        <v>44103</v>
      </c>
      <c r="C1607" s="1" t="n">
        <v>45846</v>
      </c>
      <c r="D1607" t="inlineStr">
        <is>
          <t>UPPSALA LÄN</t>
        </is>
      </c>
      <c r="E1607" t="inlineStr">
        <is>
          <t>HEBY</t>
        </is>
      </c>
      <c r="G1607" t="n">
        <v>7.3</v>
      </c>
      <c r="H1607" t="n">
        <v>0</v>
      </c>
      <c r="I1607" t="n">
        <v>0</v>
      </c>
      <c r="J1607" t="n">
        <v>0</v>
      </c>
      <c r="K1607" t="n">
        <v>0</v>
      </c>
      <c r="L1607" t="n">
        <v>0</v>
      </c>
      <c r="M1607" t="n">
        <v>0</v>
      </c>
      <c r="N1607" t="n">
        <v>0</v>
      </c>
      <c r="O1607" t="n">
        <v>0</v>
      </c>
      <c r="P1607" t="n">
        <v>0</v>
      </c>
      <c r="Q1607" t="n">
        <v>0</v>
      </c>
      <c r="R1607" s="2" t="inlineStr"/>
    </row>
    <row r="1608" ht="15" customHeight="1">
      <c r="A1608" t="inlineStr">
        <is>
          <t>A 48786-2020</t>
        </is>
      </c>
      <c r="B1608" s="1" t="n">
        <v>44103</v>
      </c>
      <c r="C1608" s="1" t="n">
        <v>45846</v>
      </c>
      <c r="D1608" t="inlineStr">
        <is>
          <t>UPPSALA LÄN</t>
        </is>
      </c>
      <c r="E1608" t="inlineStr">
        <is>
          <t>UPPSALA</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49206-2020</t>
        </is>
      </c>
      <c r="B1609" s="1" t="n">
        <v>44105</v>
      </c>
      <c r="C1609" s="1" t="n">
        <v>45846</v>
      </c>
      <c r="D1609" t="inlineStr">
        <is>
          <t>UPPSALA LÄN</t>
        </is>
      </c>
      <c r="E1609" t="inlineStr">
        <is>
          <t>ÖSTHAMMAR</t>
        </is>
      </c>
      <c r="F1609" t="inlineStr">
        <is>
          <t>Bergvik skog öst AB</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49336-2020</t>
        </is>
      </c>
      <c r="B1610" s="1" t="n">
        <v>44105</v>
      </c>
      <c r="C1610" s="1" t="n">
        <v>45846</v>
      </c>
      <c r="D1610" t="inlineStr">
        <is>
          <t>UPPSALA LÄN</t>
        </is>
      </c>
      <c r="E1610" t="inlineStr">
        <is>
          <t>ÖSTHAMMAR</t>
        </is>
      </c>
      <c r="F1610" t="inlineStr">
        <is>
          <t>Övriga Aktiebolag</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49363-2020</t>
        </is>
      </c>
      <c r="B1611" s="1" t="n">
        <v>44105</v>
      </c>
      <c r="C1611" s="1" t="n">
        <v>45846</v>
      </c>
      <c r="D1611" t="inlineStr">
        <is>
          <t>UPPSALA LÄN</t>
        </is>
      </c>
      <c r="E1611" t="inlineStr">
        <is>
          <t>UPPSALA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49409-2020</t>
        </is>
      </c>
      <c r="B1612" s="1" t="n">
        <v>44105</v>
      </c>
      <c r="C1612" s="1" t="n">
        <v>45846</v>
      </c>
      <c r="D1612" t="inlineStr">
        <is>
          <t>UPPSALA LÄN</t>
        </is>
      </c>
      <c r="E1612" t="inlineStr">
        <is>
          <t>UPPSALA</t>
        </is>
      </c>
      <c r="F1612" t="inlineStr">
        <is>
          <t>Sveaskog</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49404-2020</t>
        </is>
      </c>
      <c r="B1613" s="1" t="n">
        <v>44105</v>
      </c>
      <c r="C1613" s="1" t="n">
        <v>45846</v>
      </c>
      <c r="D1613" t="inlineStr">
        <is>
          <t>UPPSALA LÄN</t>
        </is>
      </c>
      <c r="E1613" t="inlineStr">
        <is>
          <t>UPPSALA</t>
        </is>
      </c>
      <c r="F1613" t="inlineStr">
        <is>
          <t>Sveaskog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49718-2020</t>
        </is>
      </c>
      <c r="B1614" s="1" t="n">
        <v>44106</v>
      </c>
      <c r="C1614" s="1" t="n">
        <v>45846</v>
      </c>
      <c r="D1614" t="inlineStr">
        <is>
          <t>UPPSALA LÄN</t>
        </is>
      </c>
      <c r="E1614" t="inlineStr">
        <is>
          <t>TIERP</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49821-2020</t>
        </is>
      </c>
      <c r="B1615" s="1" t="n">
        <v>44106</v>
      </c>
      <c r="C1615" s="1" t="n">
        <v>45846</v>
      </c>
      <c r="D1615" t="inlineStr">
        <is>
          <t>UPPSALA LÄN</t>
        </is>
      </c>
      <c r="E1615" t="inlineStr">
        <is>
          <t>UPPSALA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51400-2020</t>
        </is>
      </c>
      <c r="B1616" s="1" t="n">
        <v>44106</v>
      </c>
      <c r="C1616" s="1" t="n">
        <v>45846</v>
      </c>
      <c r="D1616" t="inlineStr">
        <is>
          <t>UPPSALA LÄN</t>
        </is>
      </c>
      <c r="E1616" t="inlineStr">
        <is>
          <t>ENKÖPING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49931-2020</t>
        </is>
      </c>
      <c r="B1617" s="1" t="n">
        <v>44109</v>
      </c>
      <c r="C1617" s="1" t="n">
        <v>45846</v>
      </c>
      <c r="D1617" t="inlineStr">
        <is>
          <t>UPPSALA LÄN</t>
        </is>
      </c>
      <c r="E1617" t="inlineStr">
        <is>
          <t>UPPSALA</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50413-2020</t>
        </is>
      </c>
      <c r="B1618" s="1" t="n">
        <v>44110</v>
      </c>
      <c r="C1618" s="1" t="n">
        <v>45846</v>
      </c>
      <c r="D1618" t="inlineStr">
        <is>
          <t>UPPSALA LÄN</t>
        </is>
      </c>
      <c r="E1618" t="inlineStr">
        <is>
          <t>ÄLVKARLEBY</t>
        </is>
      </c>
      <c r="F1618" t="inlineStr">
        <is>
          <t>Bergvik skog väst AB</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50416-2020</t>
        </is>
      </c>
      <c r="B1619" s="1" t="n">
        <v>44110</v>
      </c>
      <c r="C1619" s="1" t="n">
        <v>45846</v>
      </c>
      <c r="D1619" t="inlineStr">
        <is>
          <t>UPPSALA LÄN</t>
        </is>
      </c>
      <c r="E1619" t="inlineStr">
        <is>
          <t>ÄLVKARLEBY</t>
        </is>
      </c>
      <c r="F1619" t="inlineStr">
        <is>
          <t>Bergvik skog väst AB</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50409-2020</t>
        </is>
      </c>
      <c r="B1620" s="1" t="n">
        <v>44110</v>
      </c>
      <c r="C1620" s="1" t="n">
        <v>45846</v>
      </c>
      <c r="D1620" t="inlineStr">
        <is>
          <t>UPPSALA LÄN</t>
        </is>
      </c>
      <c r="E1620" t="inlineStr">
        <is>
          <t>ÄLVKARLEBY</t>
        </is>
      </c>
      <c r="F1620" t="inlineStr">
        <is>
          <t>Bergvik skog väst AB</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50589-2020</t>
        </is>
      </c>
      <c r="B1621" s="1" t="n">
        <v>44110</v>
      </c>
      <c r="C1621" s="1" t="n">
        <v>45846</v>
      </c>
      <c r="D1621" t="inlineStr">
        <is>
          <t>UPPSALA LÄN</t>
        </is>
      </c>
      <c r="E1621" t="inlineStr">
        <is>
          <t>HEBY</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51943-2020</t>
        </is>
      </c>
      <c r="B1622" s="1" t="n">
        <v>44110</v>
      </c>
      <c r="C1622" s="1" t="n">
        <v>45846</v>
      </c>
      <c r="D1622" t="inlineStr">
        <is>
          <t>UPPSALA LÄN</t>
        </is>
      </c>
      <c r="E1622" t="inlineStr">
        <is>
          <t>HEBY</t>
        </is>
      </c>
      <c r="G1622" t="n">
        <v>8.199999999999999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50677-2020</t>
        </is>
      </c>
      <c r="B1623" s="1" t="n">
        <v>44111</v>
      </c>
      <c r="C1623" s="1" t="n">
        <v>45846</v>
      </c>
      <c r="D1623" t="inlineStr">
        <is>
          <t>UPPSALA LÄN</t>
        </is>
      </c>
      <c r="E1623" t="inlineStr">
        <is>
          <t>TIERP</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50735-2020</t>
        </is>
      </c>
      <c r="B1624" s="1" t="n">
        <v>44111</v>
      </c>
      <c r="C1624" s="1" t="n">
        <v>45846</v>
      </c>
      <c r="D1624" t="inlineStr">
        <is>
          <t>UPPSALA LÄN</t>
        </is>
      </c>
      <c r="E1624" t="inlineStr">
        <is>
          <t>TIERP</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51092-2020</t>
        </is>
      </c>
      <c r="B1625" s="1" t="n">
        <v>44112</v>
      </c>
      <c r="C1625" s="1" t="n">
        <v>45846</v>
      </c>
      <c r="D1625" t="inlineStr">
        <is>
          <t>UPPSALA LÄN</t>
        </is>
      </c>
      <c r="E1625" t="inlineStr">
        <is>
          <t>ENKÖPING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51091-2020</t>
        </is>
      </c>
      <c r="B1626" s="1" t="n">
        <v>44112</v>
      </c>
      <c r="C1626" s="1" t="n">
        <v>45846</v>
      </c>
      <c r="D1626" t="inlineStr">
        <is>
          <t>UPPSALA LÄN</t>
        </is>
      </c>
      <c r="E1626" t="inlineStr">
        <is>
          <t>ENKÖPING</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51808-2020</t>
        </is>
      </c>
      <c r="B1627" s="1" t="n">
        <v>44116</v>
      </c>
      <c r="C1627" s="1" t="n">
        <v>45846</v>
      </c>
      <c r="D1627" t="inlineStr">
        <is>
          <t>UPPSALA LÄN</t>
        </is>
      </c>
      <c r="E1627" t="inlineStr">
        <is>
          <t>TIERP</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52182-2020</t>
        </is>
      </c>
      <c r="B1628" s="1" t="n">
        <v>44117</v>
      </c>
      <c r="C1628" s="1" t="n">
        <v>45846</v>
      </c>
      <c r="D1628" t="inlineStr">
        <is>
          <t>UPPSALA LÄN</t>
        </is>
      </c>
      <c r="E1628" t="inlineStr">
        <is>
          <t>HEBY</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52308-2020</t>
        </is>
      </c>
      <c r="B1629" s="1" t="n">
        <v>44117</v>
      </c>
      <c r="C1629" s="1" t="n">
        <v>45846</v>
      </c>
      <c r="D1629" t="inlineStr">
        <is>
          <t>UPPSALA LÄN</t>
        </is>
      </c>
      <c r="E1629" t="inlineStr">
        <is>
          <t>ENKÖPING</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52102-2020</t>
        </is>
      </c>
      <c r="B1630" s="1" t="n">
        <v>44117</v>
      </c>
      <c r="C1630" s="1" t="n">
        <v>45846</v>
      </c>
      <c r="D1630" t="inlineStr">
        <is>
          <t>UPPSALA LÄN</t>
        </is>
      </c>
      <c r="E1630" t="inlineStr">
        <is>
          <t>ENKÖPING</t>
        </is>
      </c>
      <c r="F1630" t="inlineStr">
        <is>
          <t>Allmännings- och besparingsskogar</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52169-2020</t>
        </is>
      </c>
      <c r="B1631" s="1" t="n">
        <v>44117</v>
      </c>
      <c r="C1631" s="1" t="n">
        <v>45846</v>
      </c>
      <c r="D1631" t="inlineStr">
        <is>
          <t>UPPSALA LÄN</t>
        </is>
      </c>
      <c r="E1631" t="inlineStr">
        <is>
          <t>ENKÖPING</t>
        </is>
      </c>
      <c r="F1631" t="inlineStr">
        <is>
          <t>Allmännings- och besparingsskogar</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52243-2020</t>
        </is>
      </c>
      <c r="B1632" s="1" t="n">
        <v>44117</v>
      </c>
      <c r="C1632" s="1" t="n">
        <v>45846</v>
      </c>
      <c r="D1632" t="inlineStr">
        <is>
          <t>UPPSALA LÄN</t>
        </is>
      </c>
      <c r="E1632" t="inlineStr">
        <is>
          <t>HEBY</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52223-2020</t>
        </is>
      </c>
      <c r="B1633" s="1" t="n">
        <v>44117</v>
      </c>
      <c r="C1633" s="1" t="n">
        <v>45846</v>
      </c>
      <c r="D1633" t="inlineStr">
        <is>
          <t>UPPSALA LÄN</t>
        </is>
      </c>
      <c r="E1633" t="inlineStr">
        <is>
          <t>ENKÖPING</t>
        </is>
      </c>
      <c r="G1633" t="n">
        <v>5.8</v>
      </c>
      <c r="H1633" t="n">
        <v>0</v>
      </c>
      <c r="I1633" t="n">
        <v>0</v>
      </c>
      <c r="J1633" t="n">
        <v>0</v>
      </c>
      <c r="K1633" t="n">
        <v>0</v>
      </c>
      <c r="L1633" t="n">
        <v>0</v>
      </c>
      <c r="M1633" t="n">
        <v>0</v>
      </c>
      <c r="N1633" t="n">
        <v>0</v>
      </c>
      <c r="O1633" t="n">
        <v>0</v>
      </c>
      <c r="P1633" t="n">
        <v>0</v>
      </c>
      <c r="Q1633" t="n">
        <v>0</v>
      </c>
      <c r="R1633" s="2" t="inlineStr"/>
    </row>
    <row r="1634" ht="15" customHeight="1">
      <c r="A1634" t="inlineStr">
        <is>
          <t>A 52432-2020</t>
        </is>
      </c>
      <c r="B1634" s="1" t="n">
        <v>44118</v>
      </c>
      <c r="C1634" s="1" t="n">
        <v>45846</v>
      </c>
      <c r="D1634" t="inlineStr">
        <is>
          <t>UPPSALA LÄN</t>
        </is>
      </c>
      <c r="E1634" t="inlineStr">
        <is>
          <t>ÖSTHAMMAR</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52464-2020</t>
        </is>
      </c>
      <c r="B1635" s="1" t="n">
        <v>44118</v>
      </c>
      <c r="C1635" s="1" t="n">
        <v>45846</v>
      </c>
      <c r="D1635" t="inlineStr">
        <is>
          <t>UPPSALA LÄN</t>
        </is>
      </c>
      <c r="E1635" t="inlineStr">
        <is>
          <t>ENKÖPING</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52434-2020</t>
        </is>
      </c>
      <c r="B1636" s="1" t="n">
        <v>44118</v>
      </c>
      <c r="C1636" s="1" t="n">
        <v>45846</v>
      </c>
      <c r="D1636" t="inlineStr">
        <is>
          <t>UPPSALA LÄN</t>
        </is>
      </c>
      <c r="E1636" t="inlineStr">
        <is>
          <t>ÖSTHAMMAR</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52717-2020</t>
        </is>
      </c>
      <c r="B1637" s="1" t="n">
        <v>44119</v>
      </c>
      <c r="C1637" s="1" t="n">
        <v>45846</v>
      </c>
      <c r="D1637" t="inlineStr">
        <is>
          <t>UPPSALA LÄN</t>
        </is>
      </c>
      <c r="E1637" t="inlineStr">
        <is>
          <t>UPPSALA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53137-2020</t>
        </is>
      </c>
      <c r="B1638" s="1" t="n">
        <v>44120</v>
      </c>
      <c r="C1638" s="1" t="n">
        <v>45846</v>
      </c>
      <c r="D1638" t="inlineStr">
        <is>
          <t>UPPSALA LÄN</t>
        </is>
      </c>
      <c r="E1638" t="inlineStr">
        <is>
          <t>ÖSTHAMMAR</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53149-2020</t>
        </is>
      </c>
      <c r="B1639" s="1" t="n">
        <v>44120</v>
      </c>
      <c r="C1639" s="1" t="n">
        <v>45846</v>
      </c>
      <c r="D1639" t="inlineStr">
        <is>
          <t>UPPSALA LÄN</t>
        </is>
      </c>
      <c r="E1639" t="inlineStr">
        <is>
          <t>ENKÖPING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53338-2020</t>
        </is>
      </c>
      <c r="B1640" s="1" t="n">
        <v>44123</v>
      </c>
      <c r="C1640" s="1" t="n">
        <v>45846</v>
      </c>
      <c r="D1640" t="inlineStr">
        <is>
          <t>UPPSALA LÄN</t>
        </is>
      </c>
      <c r="E1640" t="inlineStr">
        <is>
          <t>ENKÖPING</t>
        </is>
      </c>
      <c r="G1640" t="n">
        <v>12.1</v>
      </c>
      <c r="H1640" t="n">
        <v>0</v>
      </c>
      <c r="I1640" t="n">
        <v>0</v>
      </c>
      <c r="J1640" t="n">
        <v>0</v>
      </c>
      <c r="K1640" t="n">
        <v>0</v>
      </c>
      <c r="L1640" t="n">
        <v>0</v>
      </c>
      <c r="M1640" t="n">
        <v>0</v>
      </c>
      <c r="N1640" t="n">
        <v>0</v>
      </c>
      <c r="O1640" t="n">
        <v>0</v>
      </c>
      <c r="P1640" t="n">
        <v>0</v>
      </c>
      <c r="Q1640" t="n">
        <v>0</v>
      </c>
      <c r="R1640" s="2" t="inlineStr"/>
    </row>
    <row r="1641" ht="15" customHeight="1">
      <c r="A1641" t="inlineStr">
        <is>
          <t>A 53352-2020</t>
        </is>
      </c>
      <c r="B1641" s="1" t="n">
        <v>44123</v>
      </c>
      <c r="C1641" s="1" t="n">
        <v>45846</v>
      </c>
      <c r="D1641" t="inlineStr">
        <is>
          <t>UPPSALA LÄN</t>
        </is>
      </c>
      <c r="E1641" t="inlineStr">
        <is>
          <t>ENKÖPING</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53343-2020</t>
        </is>
      </c>
      <c r="B1642" s="1" t="n">
        <v>44123</v>
      </c>
      <c r="C1642" s="1" t="n">
        <v>45846</v>
      </c>
      <c r="D1642" t="inlineStr">
        <is>
          <t>UPPSALA LÄN</t>
        </is>
      </c>
      <c r="E1642" t="inlineStr">
        <is>
          <t>ENKÖPING</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53337-2020</t>
        </is>
      </c>
      <c r="B1643" s="1" t="n">
        <v>44123</v>
      </c>
      <c r="C1643" s="1" t="n">
        <v>45846</v>
      </c>
      <c r="D1643" t="inlineStr">
        <is>
          <t>UPPSALA LÄN</t>
        </is>
      </c>
      <c r="E1643" t="inlineStr">
        <is>
          <t>ENKÖPING</t>
        </is>
      </c>
      <c r="G1643" t="n">
        <v>6.4</v>
      </c>
      <c r="H1643" t="n">
        <v>0</v>
      </c>
      <c r="I1643" t="n">
        <v>0</v>
      </c>
      <c r="J1643" t="n">
        <v>0</v>
      </c>
      <c r="K1643" t="n">
        <v>0</v>
      </c>
      <c r="L1643" t="n">
        <v>0</v>
      </c>
      <c r="M1643" t="n">
        <v>0</v>
      </c>
      <c r="N1643" t="n">
        <v>0</v>
      </c>
      <c r="O1643" t="n">
        <v>0</v>
      </c>
      <c r="P1643" t="n">
        <v>0</v>
      </c>
      <c r="Q1643" t="n">
        <v>0</v>
      </c>
      <c r="R1643" s="2" t="inlineStr"/>
    </row>
    <row r="1644" ht="15" customHeight="1">
      <c r="A1644" t="inlineStr">
        <is>
          <t>A 53346-2020</t>
        </is>
      </c>
      <c r="B1644" s="1" t="n">
        <v>44123</v>
      </c>
      <c r="C1644" s="1" t="n">
        <v>45846</v>
      </c>
      <c r="D1644" t="inlineStr">
        <is>
          <t>UPPSALA LÄN</t>
        </is>
      </c>
      <c r="E1644" t="inlineStr">
        <is>
          <t>UPPSALA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53344-2020</t>
        </is>
      </c>
      <c r="B1645" s="1" t="n">
        <v>44123</v>
      </c>
      <c r="C1645" s="1" t="n">
        <v>45846</v>
      </c>
      <c r="D1645" t="inlineStr">
        <is>
          <t>UPPSALA LÄN</t>
        </is>
      </c>
      <c r="E1645" t="inlineStr">
        <is>
          <t>ENKÖPING</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53379-2020</t>
        </is>
      </c>
      <c r="B1646" s="1" t="n">
        <v>44123</v>
      </c>
      <c r="C1646" s="1" t="n">
        <v>45846</v>
      </c>
      <c r="D1646" t="inlineStr">
        <is>
          <t>UPPSALA LÄN</t>
        </is>
      </c>
      <c r="E1646" t="inlineStr">
        <is>
          <t>UPPSALA</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53489-2020</t>
        </is>
      </c>
      <c r="B1647" s="1" t="n">
        <v>44123</v>
      </c>
      <c r="C1647" s="1" t="n">
        <v>45846</v>
      </c>
      <c r="D1647" t="inlineStr">
        <is>
          <t>UPPSALA LÄN</t>
        </is>
      </c>
      <c r="E1647" t="inlineStr">
        <is>
          <t>TIERP</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54742-2020</t>
        </is>
      </c>
      <c r="B1648" s="1" t="n">
        <v>44126</v>
      </c>
      <c r="C1648" s="1" t="n">
        <v>45846</v>
      </c>
      <c r="D1648" t="inlineStr">
        <is>
          <t>UPPSALA LÄN</t>
        </is>
      </c>
      <c r="E1648" t="inlineStr">
        <is>
          <t>UPPSALA</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54698-2020</t>
        </is>
      </c>
      <c r="B1649" s="1" t="n">
        <v>44127</v>
      </c>
      <c r="C1649" s="1" t="n">
        <v>45846</v>
      </c>
      <c r="D1649" t="inlineStr">
        <is>
          <t>UPPSALA LÄN</t>
        </is>
      </c>
      <c r="E1649" t="inlineStr">
        <is>
          <t>HEBY</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55051-2020</t>
        </is>
      </c>
      <c r="B1650" s="1" t="n">
        <v>44130</v>
      </c>
      <c r="C1650" s="1" t="n">
        <v>45846</v>
      </c>
      <c r="D1650" t="inlineStr">
        <is>
          <t>UPPSALA LÄN</t>
        </is>
      </c>
      <c r="E1650" t="inlineStr">
        <is>
          <t>ENKÖPING</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55220-2020</t>
        </is>
      </c>
      <c r="B1651" s="1" t="n">
        <v>44130</v>
      </c>
      <c r="C1651" s="1" t="n">
        <v>45846</v>
      </c>
      <c r="D1651" t="inlineStr">
        <is>
          <t>UPPSALA LÄN</t>
        </is>
      </c>
      <c r="E1651" t="inlineStr">
        <is>
          <t>UPPSALA</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55389-2020</t>
        </is>
      </c>
      <c r="B1652" s="1" t="n">
        <v>44131</v>
      </c>
      <c r="C1652" s="1" t="n">
        <v>45846</v>
      </c>
      <c r="D1652" t="inlineStr">
        <is>
          <t>UPPSALA LÄN</t>
        </is>
      </c>
      <c r="E1652" t="inlineStr">
        <is>
          <t>ÖSTHAMMAR</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55953-2020</t>
        </is>
      </c>
      <c r="B1653" s="1" t="n">
        <v>44131</v>
      </c>
      <c r="C1653" s="1" t="n">
        <v>45846</v>
      </c>
      <c r="D1653" t="inlineStr">
        <is>
          <t>UPPSALA LÄN</t>
        </is>
      </c>
      <c r="E1653" t="inlineStr">
        <is>
          <t>UPPSALA</t>
        </is>
      </c>
      <c r="F1653" t="inlineStr">
        <is>
          <t>Allmännings- och besparingsskogar</t>
        </is>
      </c>
      <c r="G1653" t="n">
        <v>74.40000000000001</v>
      </c>
      <c r="H1653" t="n">
        <v>0</v>
      </c>
      <c r="I1653" t="n">
        <v>0</v>
      </c>
      <c r="J1653" t="n">
        <v>0</v>
      </c>
      <c r="K1653" t="n">
        <v>0</v>
      </c>
      <c r="L1653" t="n">
        <v>0</v>
      </c>
      <c r="M1653" t="n">
        <v>0</v>
      </c>
      <c r="N1653" t="n">
        <v>0</v>
      </c>
      <c r="O1653" t="n">
        <v>0</v>
      </c>
      <c r="P1653" t="n">
        <v>0</v>
      </c>
      <c r="Q1653" t="n">
        <v>0</v>
      </c>
      <c r="R1653" s="2" t="inlineStr"/>
    </row>
    <row r="1654" ht="15" customHeight="1">
      <c r="A1654" t="inlineStr">
        <is>
          <t>A 56097-2020</t>
        </is>
      </c>
      <c r="B1654" s="1" t="n">
        <v>44131</v>
      </c>
      <c r="C1654" s="1" t="n">
        <v>45846</v>
      </c>
      <c r="D1654" t="inlineStr">
        <is>
          <t>UPPSALA LÄN</t>
        </is>
      </c>
      <c r="E1654" t="inlineStr">
        <is>
          <t>UPPSALA</t>
        </is>
      </c>
      <c r="F1654" t="inlineStr">
        <is>
          <t>Allmännings- och besparingsskogar</t>
        </is>
      </c>
      <c r="G1654" t="n">
        <v>10.6</v>
      </c>
      <c r="H1654" t="n">
        <v>0</v>
      </c>
      <c r="I1654" t="n">
        <v>0</v>
      </c>
      <c r="J1654" t="n">
        <v>0</v>
      </c>
      <c r="K1654" t="n">
        <v>0</v>
      </c>
      <c r="L1654" t="n">
        <v>0</v>
      </c>
      <c r="M1654" t="n">
        <v>0</v>
      </c>
      <c r="N1654" t="n">
        <v>0</v>
      </c>
      <c r="O1654" t="n">
        <v>0</v>
      </c>
      <c r="P1654" t="n">
        <v>0</v>
      </c>
      <c r="Q1654" t="n">
        <v>0</v>
      </c>
      <c r="R1654" s="2" t="inlineStr"/>
    </row>
    <row r="1655" ht="15" customHeight="1">
      <c r="A1655" t="inlineStr">
        <is>
          <t>A 56041-2020</t>
        </is>
      </c>
      <c r="B1655" s="1" t="n">
        <v>44133</v>
      </c>
      <c r="C1655" s="1" t="n">
        <v>45846</v>
      </c>
      <c r="D1655" t="inlineStr">
        <is>
          <t>UPPSALA LÄN</t>
        </is>
      </c>
      <c r="E1655" t="inlineStr">
        <is>
          <t>ÖSTHAMMAR</t>
        </is>
      </c>
      <c r="F1655" t="inlineStr">
        <is>
          <t>Bergvik skog väst AB</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56079-2020</t>
        </is>
      </c>
      <c r="B1656" s="1" t="n">
        <v>44133</v>
      </c>
      <c r="C1656" s="1" t="n">
        <v>45846</v>
      </c>
      <c r="D1656" t="inlineStr">
        <is>
          <t>UPPSALA LÄN</t>
        </is>
      </c>
      <c r="E1656" t="inlineStr">
        <is>
          <t>ÖSTHAMMAR</t>
        </is>
      </c>
      <c r="F1656" t="inlineStr">
        <is>
          <t>Bergvik skog öst AB</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56089-2020</t>
        </is>
      </c>
      <c r="B1657" s="1" t="n">
        <v>44133</v>
      </c>
      <c r="C1657" s="1" t="n">
        <v>45846</v>
      </c>
      <c r="D1657" t="inlineStr">
        <is>
          <t>UPPSALA LÄN</t>
        </is>
      </c>
      <c r="E1657" t="inlineStr">
        <is>
          <t>ÖSTHAMMAR</t>
        </is>
      </c>
      <c r="F1657" t="inlineStr">
        <is>
          <t>Bergvik skog öst AB</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56466-2020</t>
        </is>
      </c>
      <c r="B1658" s="1" t="n">
        <v>44134</v>
      </c>
      <c r="C1658" s="1" t="n">
        <v>45846</v>
      </c>
      <c r="D1658" t="inlineStr">
        <is>
          <t>UPPSALA LÄN</t>
        </is>
      </c>
      <c r="E1658" t="inlineStr">
        <is>
          <t>UPPSALA</t>
        </is>
      </c>
      <c r="F1658" t="inlineStr">
        <is>
          <t>Övriga Aktiebolag</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56317-2020</t>
        </is>
      </c>
      <c r="B1659" s="1" t="n">
        <v>44134</v>
      </c>
      <c r="C1659" s="1" t="n">
        <v>45846</v>
      </c>
      <c r="D1659" t="inlineStr">
        <is>
          <t>UPPSALA LÄN</t>
        </is>
      </c>
      <c r="E1659" t="inlineStr">
        <is>
          <t>HEBY</t>
        </is>
      </c>
      <c r="G1659" t="n">
        <v>23.4</v>
      </c>
      <c r="H1659" t="n">
        <v>0</v>
      </c>
      <c r="I1659" t="n">
        <v>0</v>
      </c>
      <c r="J1659" t="n">
        <v>0</v>
      </c>
      <c r="K1659" t="n">
        <v>0</v>
      </c>
      <c r="L1659" t="n">
        <v>0</v>
      </c>
      <c r="M1659" t="n">
        <v>0</v>
      </c>
      <c r="N1659" t="n">
        <v>0</v>
      </c>
      <c r="O1659" t="n">
        <v>0</v>
      </c>
      <c r="P1659" t="n">
        <v>0</v>
      </c>
      <c r="Q1659" t="n">
        <v>0</v>
      </c>
      <c r="R1659" s="2" t="inlineStr"/>
    </row>
    <row r="1660" ht="15" customHeight="1">
      <c r="A1660" t="inlineStr">
        <is>
          <t>A 57041-2020</t>
        </is>
      </c>
      <c r="B1660" s="1" t="n">
        <v>44137</v>
      </c>
      <c r="C1660" s="1" t="n">
        <v>45846</v>
      </c>
      <c r="D1660" t="inlineStr">
        <is>
          <t>UPPSALA LÄN</t>
        </is>
      </c>
      <c r="E1660" t="inlineStr">
        <is>
          <t>UPPSALA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56919-2020</t>
        </is>
      </c>
      <c r="B1661" s="1" t="n">
        <v>44138</v>
      </c>
      <c r="C1661" s="1" t="n">
        <v>45846</v>
      </c>
      <c r="D1661" t="inlineStr">
        <is>
          <t>UPPSALA LÄN</t>
        </is>
      </c>
      <c r="E1661" t="inlineStr">
        <is>
          <t>ENKÖPING</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57286-2020</t>
        </is>
      </c>
      <c r="B1662" s="1" t="n">
        <v>44139</v>
      </c>
      <c r="C1662" s="1" t="n">
        <v>45846</v>
      </c>
      <c r="D1662" t="inlineStr">
        <is>
          <t>UPPSALA LÄN</t>
        </is>
      </c>
      <c r="E1662" t="inlineStr">
        <is>
          <t>KNIVSTA</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57271-2020</t>
        </is>
      </c>
      <c r="B1663" s="1" t="n">
        <v>44139</v>
      </c>
      <c r="C1663" s="1" t="n">
        <v>45846</v>
      </c>
      <c r="D1663" t="inlineStr">
        <is>
          <t>UPPSALA LÄN</t>
        </is>
      </c>
      <c r="E1663" t="inlineStr">
        <is>
          <t>UPPSALA</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57451-2020</t>
        </is>
      </c>
      <c r="B1664" s="1" t="n">
        <v>44139</v>
      </c>
      <c r="C1664" s="1" t="n">
        <v>45846</v>
      </c>
      <c r="D1664" t="inlineStr">
        <is>
          <t>UPPSALA LÄN</t>
        </is>
      </c>
      <c r="E1664" t="inlineStr">
        <is>
          <t>UPPSALA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57466-2020</t>
        </is>
      </c>
      <c r="B1665" s="1" t="n">
        <v>44139</v>
      </c>
      <c r="C1665" s="1" t="n">
        <v>45846</v>
      </c>
      <c r="D1665" t="inlineStr">
        <is>
          <t>UPPSALA LÄN</t>
        </is>
      </c>
      <c r="E1665" t="inlineStr">
        <is>
          <t>UPPSALA</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57559-2020</t>
        </is>
      </c>
      <c r="B1666" s="1" t="n">
        <v>44140</v>
      </c>
      <c r="C1666" s="1" t="n">
        <v>45846</v>
      </c>
      <c r="D1666" t="inlineStr">
        <is>
          <t>UPPSALA LÄN</t>
        </is>
      </c>
      <c r="E1666" t="inlineStr">
        <is>
          <t>KNIVSTA</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57408-2020</t>
        </is>
      </c>
      <c r="B1667" s="1" t="n">
        <v>44140</v>
      </c>
      <c r="C1667" s="1" t="n">
        <v>45846</v>
      </c>
      <c r="D1667" t="inlineStr">
        <is>
          <t>UPPSALA LÄN</t>
        </is>
      </c>
      <c r="E1667" t="inlineStr">
        <is>
          <t>ÖSTHAMMAR</t>
        </is>
      </c>
      <c r="F1667" t="inlineStr">
        <is>
          <t>Bergvik skog öst AB</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58070-2020</t>
        </is>
      </c>
      <c r="B1668" s="1" t="n">
        <v>44140</v>
      </c>
      <c r="C1668" s="1" t="n">
        <v>45846</v>
      </c>
      <c r="D1668" t="inlineStr">
        <is>
          <t>UPPSALA LÄN</t>
        </is>
      </c>
      <c r="E1668" t="inlineStr">
        <is>
          <t>UPPSALA</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57802-2020</t>
        </is>
      </c>
      <c r="B1669" s="1" t="n">
        <v>44141</v>
      </c>
      <c r="C1669" s="1" t="n">
        <v>45846</v>
      </c>
      <c r="D1669" t="inlineStr">
        <is>
          <t>UPPSALA LÄN</t>
        </is>
      </c>
      <c r="E1669" t="inlineStr">
        <is>
          <t>ENKÖPING</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57983-2020</t>
        </is>
      </c>
      <c r="B1670" s="1" t="n">
        <v>44143</v>
      </c>
      <c r="C1670" s="1" t="n">
        <v>45846</v>
      </c>
      <c r="D1670" t="inlineStr">
        <is>
          <t>UPPSALA LÄN</t>
        </is>
      </c>
      <c r="E1670" t="inlineStr">
        <is>
          <t>HÅBO</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58080-2020</t>
        </is>
      </c>
      <c r="B1671" s="1" t="n">
        <v>44144</v>
      </c>
      <c r="C1671" s="1" t="n">
        <v>45846</v>
      </c>
      <c r="D1671" t="inlineStr">
        <is>
          <t>UPPSALA LÄN</t>
        </is>
      </c>
      <c r="E1671" t="inlineStr">
        <is>
          <t>HEBY</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58062-2020</t>
        </is>
      </c>
      <c r="B1672" s="1" t="n">
        <v>44144</v>
      </c>
      <c r="C1672" s="1" t="n">
        <v>45846</v>
      </c>
      <c r="D1672" t="inlineStr">
        <is>
          <t>UPPSALA LÄN</t>
        </is>
      </c>
      <c r="E1672" t="inlineStr">
        <is>
          <t>ENKÖPING</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58058-2020</t>
        </is>
      </c>
      <c r="B1673" s="1" t="n">
        <v>44144</v>
      </c>
      <c r="C1673" s="1" t="n">
        <v>45846</v>
      </c>
      <c r="D1673" t="inlineStr">
        <is>
          <t>UPPSALA LÄN</t>
        </is>
      </c>
      <c r="E1673" t="inlineStr">
        <is>
          <t>UPPSALA</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58056-2020</t>
        </is>
      </c>
      <c r="B1674" s="1" t="n">
        <v>44144</v>
      </c>
      <c r="C1674" s="1" t="n">
        <v>45846</v>
      </c>
      <c r="D1674" t="inlineStr">
        <is>
          <t>UPPSALA LÄN</t>
        </is>
      </c>
      <c r="E1674" t="inlineStr">
        <is>
          <t>UPPSALA</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58242-2020</t>
        </is>
      </c>
      <c r="B1675" s="1" t="n">
        <v>44144</v>
      </c>
      <c r="C1675" s="1" t="n">
        <v>45846</v>
      </c>
      <c r="D1675" t="inlineStr">
        <is>
          <t>UPPSALA LÄN</t>
        </is>
      </c>
      <c r="E1675" t="inlineStr">
        <is>
          <t>TIERP</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58288-2020</t>
        </is>
      </c>
      <c r="B1676" s="1" t="n">
        <v>44144</v>
      </c>
      <c r="C1676" s="1" t="n">
        <v>45846</v>
      </c>
      <c r="D1676" t="inlineStr">
        <is>
          <t>UPPSALA LÄN</t>
        </is>
      </c>
      <c r="E1676" t="inlineStr">
        <is>
          <t>UPPSALA</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58896-2020</t>
        </is>
      </c>
      <c r="B1677" s="1" t="n">
        <v>44146</v>
      </c>
      <c r="C1677" s="1" t="n">
        <v>45846</v>
      </c>
      <c r="D1677" t="inlineStr">
        <is>
          <t>UPPSALA LÄN</t>
        </is>
      </c>
      <c r="E1677" t="inlineStr">
        <is>
          <t>ENKÖPING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58798-2020</t>
        </is>
      </c>
      <c r="B1678" s="1" t="n">
        <v>44146</v>
      </c>
      <c r="C1678" s="1" t="n">
        <v>45846</v>
      </c>
      <c r="D1678" t="inlineStr">
        <is>
          <t>UPPSALA LÄN</t>
        </is>
      </c>
      <c r="E1678" t="inlineStr">
        <is>
          <t>ENKÖPING</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58928-2020</t>
        </is>
      </c>
      <c r="B1679" s="1" t="n">
        <v>44146</v>
      </c>
      <c r="C1679" s="1" t="n">
        <v>45846</v>
      </c>
      <c r="D1679" t="inlineStr">
        <is>
          <t>UPPSALA LÄN</t>
        </is>
      </c>
      <c r="E1679" t="inlineStr">
        <is>
          <t>UPPSALA</t>
        </is>
      </c>
      <c r="G1679" t="n">
        <v>10.6</v>
      </c>
      <c r="H1679" t="n">
        <v>0</v>
      </c>
      <c r="I1679" t="n">
        <v>0</v>
      </c>
      <c r="J1679" t="n">
        <v>0</v>
      </c>
      <c r="K1679" t="n">
        <v>0</v>
      </c>
      <c r="L1679" t="n">
        <v>0</v>
      </c>
      <c r="M1679" t="n">
        <v>0</v>
      </c>
      <c r="N1679" t="n">
        <v>0</v>
      </c>
      <c r="O1679" t="n">
        <v>0</v>
      </c>
      <c r="P1679" t="n">
        <v>0</v>
      </c>
      <c r="Q1679" t="n">
        <v>0</v>
      </c>
      <c r="R1679" s="2" t="inlineStr"/>
    </row>
    <row r="1680" ht="15" customHeight="1">
      <c r="A1680" t="inlineStr">
        <is>
          <t>A 59132-2020</t>
        </is>
      </c>
      <c r="B1680" s="1" t="n">
        <v>44147</v>
      </c>
      <c r="C1680" s="1" t="n">
        <v>45846</v>
      </c>
      <c r="D1680" t="inlineStr">
        <is>
          <t>UPPSALA LÄN</t>
        </is>
      </c>
      <c r="E1680" t="inlineStr">
        <is>
          <t>ENKÖPING</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59432-2020</t>
        </is>
      </c>
      <c r="B1681" s="1" t="n">
        <v>44148</v>
      </c>
      <c r="C1681" s="1" t="n">
        <v>45846</v>
      </c>
      <c r="D1681" t="inlineStr">
        <is>
          <t>UPPSALA LÄN</t>
        </is>
      </c>
      <c r="E1681" t="inlineStr">
        <is>
          <t>ÖSTHAMMAR</t>
        </is>
      </c>
      <c r="F1681" t="inlineStr">
        <is>
          <t>Sveaskog</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59441-2020</t>
        </is>
      </c>
      <c r="B1682" s="1" t="n">
        <v>44148</v>
      </c>
      <c r="C1682" s="1" t="n">
        <v>45846</v>
      </c>
      <c r="D1682" t="inlineStr">
        <is>
          <t>UPPSALA LÄN</t>
        </is>
      </c>
      <c r="E1682" t="inlineStr">
        <is>
          <t>ENKÖPING</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59414-2020</t>
        </is>
      </c>
      <c r="B1683" s="1" t="n">
        <v>44148</v>
      </c>
      <c r="C1683" s="1" t="n">
        <v>45846</v>
      </c>
      <c r="D1683" t="inlineStr">
        <is>
          <t>UPPSALA LÄN</t>
        </is>
      </c>
      <c r="E1683" t="inlineStr">
        <is>
          <t>ÖSTHAMMAR</t>
        </is>
      </c>
      <c r="F1683" t="inlineStr">
        <is>
          <t>Sveaskog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59417-2020</t>
        </is>
      </c>
      <c r="B1684" s="1" t="n">
        <v>44148</v>
      </c>
      <c r="C1684" s="1" t="n">
        <v>45846</v>
      </c>
      <c r="D1684" t="inlineStr">
        <is>
          <t>UPPSALA LÄN</t>
        </is>
      </c>
      <c r="E1684" t="inlineStr">
        <is>
          <t>ÖSTHAMMAR</t>
        </is>
      </c>
      <c r="F1684" t="inlineStr">
        <is>
          <t>Sveaskog</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59428-2020</t>
        </is>
      </c>
      <c r="B1685" s="1" t="n">
        <v>44148</v>
      </c>
      <c r="C1685" s="1" t="n">
        <v>45846</v>
      </c>
      <c r="D1685" t="inlineStr">
        <is>
          <t>UPPSALA LÄN</t>
        </is>
      </c>
      <c r="E1685" t="inlineStr">
        <is>
          <t>ENKÖPING</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59625-2020</t>
        </is>
      </c>
      <c r="B1686" s="1" t="n">
        <v>44150</v>
      </c>
      <c r="C1686" s="1" t="n">
        <v>45846</v>
      </c>
      <c r="D1686" t="inlineStr">
        <is>
          <t>UPPSALA LÄN</t>
        </is>
      </c>
      <c r="E1686" t="inlineStr">
        <is>
          <t>TIERP</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59714-2020</t>
        </is>
      </c>
      <c r="B1687" s="1" t="n">
        <v>44151</v>
      </c>
      <c r="C1687" s="1" t="n">
        <v>45846</v>
      </c>
      <c r="D1687" t="inlineStr">
        <is>
          <t>UPPSALA LÄN</t>
        </is>
      </c>
      <c r="E1687" t="inlineStr">
        <is>
          <t>ÖSTHAMMAR</t>
        </is>
      </c>
      <c r="F1687" t="inlineStr">
        <is>
          <t>Bergvik skog öst AB</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59764-2020</t>
        </is>
      </c>
      <c r="B1688" s="1" t="n">
        <v>44151</v>
      </c>
      <c r="C1688" s="1" t="n">
        <v>45846</v>
      </c>
      <c r="D1688" t="inlineStr">
        <is>
          <t>UPPSALA LÄN</t>
        </is>
      </c>
      <c r="E1688" t="inlineStr">
        <is>
          <t>HEBY</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59807-2020</t>
        </is>
      </c>
      <c r="B1689" s="1" t="n">
        <v>44151</v>
      </c>
      <c r="C1689" s="1" t="n">
        <v>45846</v>
      </c>
      <c r="D1689" t="inlineStr">
        <is>
          <t>UPPSALA LÄN</t>
        </is>
      </c>
      <c r="E1689" t="inlineStr">
        <is>
          <t>ÖSTHAMMAR</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59865-2020</t>
        </is>
      </c>
      <c r="B1690" s="1" t="n">
        <v>44151</v>
      </c>
      <c r="C1690" s="1" t="n">
        <v>45846</v>
      </c>
      <c r="D1690" t="inlineStr">
        <is>
          <t>UPPSALA LÄN</t>
        </is>
      </c>
      <c r="E1690" t="inlineStr">
        <is>
          <t>TIERP</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59952-2020</t>
        </is>
      </c>
      <c r="B1691" s="1" t="n">
        <v>44151</v>
      </c>
      <c r="C1691" s="1" t="n">
        <v>45846</v>
      </c>
      <c r="D1691" t="inlineStr">
        <is>
          <t>UPPSALA LÄN</t>
        </is>
      </c>
      <c r="E1691" t="inlineStr">
        <is>
          <t>UPPSALA</t>
        </is>
      </c>
      <c r="G1691" t="n">
        <v>25.8</v>
      </c>
      <c r="H1691" t="n">
        <v>0</v>
      </c>
      <c r="I1691" t="n">
        <v>0</v>
      </c>
      <c r="J1691" t="n">
        <v>0</v>
      </c>
      <c r="K1691" t="n">
        <v>0</v>
      </c>
      <c r="L1691" t="n">
        <v>0</v>
      </c>
      <c r="M1691" t="n">
        <v>0</v>
      </c>
      <c r="N1691" t="n">
        <v>0</v>
      </c>
      <c r="O1691" t="n">
        <v>0</v>
      </c>
      <c r="P1691" t="n">
        <v>0</v>
      </c>
      <c r="Q1691" t="n">
        <v>0</v>
      </c>
      <c r="R1691" s="2" t="inlineStr"/>
    </row>
    <row r="1692" ht="15" customHeight="1">
      <c r="A1692" t="inlineStr">
        <is>
          <t>A 60138-2020</t>
        </is>
      </c>
      <c r="B1692" s="1" t="n">
        <v>44151</v>
      </c>
      <c r="C1692" s="1" t="n">
        <v>45846</v>
      </c>
      <c r="D1692" t="inlineStr">
        <is>
          <t>UPPSALA LÄN</t>
        </is>
      </c>
      <c r="E1692" t="inlineStr">
        <is>
          <t>ENKÖPING</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60702-2020</t>
        </is>
      </c>
      <c r="B1693" s="1" t="n">
        <v>44153</v>
      </c>
      <c r="C1693" s="1" t="n">
        <v>45846</v>
      </c>
      <c r="D1693" t="inlineStr">
        <is>
          <t>UPPSALA LÄN</t>
        </is>
      </c>
      <c r="E1693" t="inlineStr">
        <is>
          <t>UPPSALA</t>
        </is>
      </c>
      <c r="F1693" t="inlineStr">
        <is>
          <t>Övriga statliga verk och myndigheter</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60769-2020</t>
        </is>
      </c>
      <c r="B1694" s="1" t="n">
        <v>44154</v>
      </c>
      <c r="C1694" s="1" t="n">
        <v>45846</v>
      </c>
      <c r="D1694" t="inlineStr">
        <is>
          <t>UPPSALA LÄN</t>
        </is>
      </c>
      <c r="E1694" t="inlineStr">
        <is>
          <t>TIERP</t>
        </is>
      </c>
      <c r="G1694" t="n">
        <v>7.6</v>
      </c>
      <c r="H1694" t="n">
        <v>0</v>
      </c>
      <c r="I1694" t="n">
        <v>0</v>
      </c>
      <c r="J1694" t="n">
        <v>0</v>
      </c>
      <c r="K1694" t="n">
        <v>0</v>
      </c>
      <c r="L1694" t="n">
        <v>0</v>
      </c>
      <c r="M1694" t="n">
        <v>0</v>
      </c>
      <c r="N1694" t="n">
        <v>0</v>
      </c>
      <c r="O1694" t="n">
        <v>0</v>
      </c>
      <c r="P1694" t="n">
        <v>0</v>
      </c>
      <c r="Q1694" t="n">
        <v>0</v>
      </c>
      <c r="R1694" s="2" t="inlineStr"/>
    </row>
    <row r="1695" ht="15" customHeight="1">
      <c r="A1695" t="inlineStr">
        <is>
          <t>A 61013-2020</t>
        </is>
      </c>
      <c r="B1695" s="1" t="n">
        <v>44154</v>
      </c>
      <c r="C1695" s="1" t="n">
        <v>45846</v>
      </c>
      <c r="D1695" t="inlineStr">
        <is>
          <t>UPPSALA LÄN</t>
        </is>
      </c>
      <c r="E1695" t="inlineStr">
        <is>
          <t>TIERP</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61034-2020</t>
        </is>
      </c>
      <c r="B1696" s="1" t="n">
        <v>44154</v>
      </c>
      <c r="C1696" s="1" t="n">
        <v>45846</v>
      </c>
      <c r="D1696" t="inlineStr">
        <is>
          <t>UPPSALA LÄN</t>
        </is>
      </c>
      <c r="E1696" t="inlineStr">
        <is>
          <t>TIERP</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61265-2020</t>
        </is>
      </c>
      <c r="B1697" s="1" t="n">
        <v>44155</v>
      </c>
      <c r="C1697" s="1" t="n">
        <v>45846</v>
      </c>
      <c r="D1697" t="inlineStr">
        <is>
          <t>UPPSALA LÄN</t>
        </is>
      </c>
      <c r="E1697" t="inlineStr">
        <is>
          <t>UPPSALA</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61193-2020</t>
        </is>
      </c>
      <c r="B1698" s="1" t="n">
        <v>44155</v>
      </c>
      <c r="C1698" s="1" t="n">
        <v>45846</v>
      </c>
      <c r="D1698" t="inlineStr">
        <is>
          <t>UPPSALA LÄN</t>
        </is>
      </c>
      <c r="E1698" t="inlineStr">
        <is>
          <t>ÖSTHAMMAR</t>
        </is>
      </c>
      <c r="F1698" t="inlineStr">
        <is>
          <t>Övriga Aktiebolag</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61271-2020</t>
        </is>
      </c>
      <c r="B1699" s="1" t="n">
        <v>44155</v>
      </c>
      <c r="C1699" s="1" t="n">
        <v>45846</v>
      </c>
      <c r="D1699" t="inlineStr">
        <is>
          <t>UPPSALA LÄN</t>
        </is>
      </c>
      <c r="E1699" t="inlineStr">
        <is>
          <t>UPPSALA</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61711-2020</t>
        </is>
      </c>
      <c r="B1700" s="1" t="n">
        <v>44158</v>
      </c>
      <c r="C1700" s="1" t="n">
        <v>45846</v>
      </c>
      <c r="D1700" t="inlineStr">
        <is>
          <t>UPPSALA LÄN</t>
        </is>
      </c>
      <c r="E1700" t="inlineStr">
        <is>
          <t>ENKÖPING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61616-2020</t>
        </is>
      </c>
      <c r="B1701" s="1" t="n">
        <v>44158</v>
      </c>
      <c r="C1701" s="1" t="n">
        <v>45846</v>
      </c>
      <c r="D1701" t="inlineStr">
        <is>
          <t>UPPSALA LÄN</t>
        </is>
      </c>
      <c r="E1701" t="inlineStr">
        <is>
          <t>HEBY</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62094-2020</t>
        </is>
      </c>
      <c r="B1702" s="1" t="n">
        <v>44159</v>
      </c>
      <c r="C1702" s="1" t="n">
        <v>45846</v>
      </c>
      <c r="D1702" t="inlineStr">
        <is>
          <t>UPPSALA LÄN</t>
        </is>
      </c>
      <c r="E1702" t="inlineStr">
        <is>
          <t>UPPSALA</t>
        </is>
      </c>
      <c r="F1702" t="inlineStr">
        <is>
          <t>Bergvik skog öst AB</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62352-2020</t>
        </is>
      </c>
      <c r="B1703" s="1" t="n">
        <v>44159</v>
      </c>
      <c r="C1703" s="1" t="n">
        <v>45846</v>
      </c>
      <c r="D1703" t="inlineStr">
        <is>
          <t>UPPSALA LÄN</t>
        </is>
      </c>
      <c r="E1703" t="inlineStr">
        <is>
          <t>UPPSALA</t>
        </is>
      </c>
      <c r="F1703" t="inlineStr">
        <is>
          <t>Allmännings- och besparingsskogar</t>
        </is>
      </c>
      <c r="G1703" t="n">
        <v>12.9</v>
      </c>
      <c r="H1703" t="n">
        <v>0</v>
      </c>
      <c r="I1703" t="n">
        <v>0</v>
      </c>
      <c r="J1703" t="n">
        <v>0</v>
      </c>
      <c r="K1703" t="n">
        <v>0</v>
      </c>
      <c r="L1703" t="n">
        <v>0</v>
      </c>
      <c r="M1703" t="n">
        <v>0</v>
      </c>
      <c r="N1703" t="n">
        <v>0</v>
      </c>
      <c r="O1703" t="n">
        <v>0</v>
      </c>
      <c r="P1703" t="n">
        <v>0</v>
      </c>
      <c r="Q1703" t="n">
        <v>0</v>
      </c>
      <c r="R1703" s="2" t="inlineStr"/>
    </row>
    <row r="1704" ht="15" customHeight="1">
      <c r="A1704" t="inlineStr">
        <is>
          <t>A 62330-2020</t>
        </is>
      </c>
      <c r="B1704" s="1" t="n">
        <v>44160</v>
      </c>
      <c r="C1704" s="1" t="n">
        <v>45846</v>
      </c>
      <c r="D1704" t="inlineStr">
        <is>
          <t>UPPSALA LÄN</t>
        </is>
      </c>
      <c r="E1704" t="inlineStr">
        <is>
          <t>HEBY</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62484-2020</t>
        </is>
      </c>
      <c r="B1705" s="1" t="n">
        <v>44160</v>
      </c>
      <c r="C1705" s="1" t="n">
        <v>45846</v>
      </c>
      <c r="D1705" t="inlineStr">
        <is>
          <t>UPPSALA LÄN</t>
        </is>
      </c>
      <c r="E1705" t="inlineStr">
        <is>
          <t>ÖSTHAMMAR</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62504-2020</t>
        </is>
      </c>
      <c r="B1706" s="1" t="n">
        <v>44160</v>
      </c>
      <c r="C1706" s="1" t="n">
        <v>45846</v>
      </c>
      <c r="D1706" t="inlineStr">
        <is>
          <t>UPPSALA LÄN</t>
        </is>
      </c>
      <c r="E1706" t="inlineStr">
        <is>
          <t>UPPSALA</t>
        </is>
      </c>
      <c r="F1706" t="inlineStr">
        <is>
          <t>Bergvik skog öst AB</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62729-2020</t>
        </is>
      </c>
      <c r="B1707" s="1" t="n">
        <v>44161</v>
      </c>
      <c r="C1707" s="1" t="n">
        <v>45846</v>
      </c>
      <c r="D1707" t="inlineStr">
        <is>
          <t>UPPSALA LÄN</t>
        </is>
      </c>
      <c r="E1707" t="inlineStr">
        <is>
          <t>UPPSALA</t>
        </is>
      </c>
      <c r="F1707" t="inlineStr">
        <is>
          <t>Kommuner</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62655-2020</t>
        </is>
      </c>
      <c r="B1708" s="1" t="n">
        <v>44161</v>
      </c>
      <c r="C1708" s="1" t="n">
        <v>45846</v>
      </c>
      <c r="D1708" t="inlineStr">
        <is>
          <t>UPPSALA LÄN</t>
        </is>
      </c>
      <c r="E1708" t="inlineStr">
        <is>
          <t>UPPSALA</t>
        </is>
      </c>
      <c r="F1708" t="inlineStr">
        <is>
          <t>Holmen skog AB</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62765-2020</t>
        </is>
      </c>
      <c r="B1709" s="1" t="n">
        <v>44161</v>
      </c>
      <c r="C1709" s="1" t="n">
        <v>45846</v>
      </c>
      <c r="D1709" t="inlineStr">
        <is>
          <t>UPPSALA LÄN</t>
        </is>
      </c>
      <c r="E1709" t="inlineStr">
        <is>
          <t>HEBY</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63637-2020</t>
        </is>
      </c>
      <c r="B1710" s="1" t="n">
        <v>44162</v>
      </c>
      <c r="C1710" s="1" t="n">
        <v>45846</v>
      </c>
      <c r="D1710" t="inlineStr">
        <is>
          <t>UPPSALA LÄN</t>
        </is>
      </c>
      <c r="E1710" t="inlineStr">
        <is>
          <t>ÖSTHAMMAR</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63145-2020</t>
        </is>
      </c>
      <c r="B1711" s="1" t="n">
        <v>44162</v>
      </c>
      <c r="C1711" s="1" t="n">
        <v>45846</v>
      </c>
      <c r="D1711" t="inlineStr">
        <is>
          <t>UPPSALA LÄN</t>
        </is>
      </c>
      <c r="E1711" t="inlineStr">
        <is>
          <t>UPPSALA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63260-2020</t>
        </is>
      </c>
      <c r="B1712" s="1" t="n">
        <v>44164</v>
      </c>
      <c r="C1712" s="1" t="n">
        <v>45846</v>
      </c>
      <c r="D1712" t="inlineStr">
        <is>
          <t>UPPSALA LÄN</t>
        </is>
      </c>
      <c r="E1712" t="inlineStr">
        <is>
          <t>TIERP</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63504-2020</t>
        </is>
      </c>
      <c r="B1713" s="1" t="n">
        <v>44165</v>
      </c>
      <c r="C1713" s="1" t="n">
        <v>45846</v>
      </c>
      <c r="D1713" t="inlineStr">
        <is>
          <t>UPPSALA LÄN</t>
        </is>
      </c>
      <c r="E1713" t="inlineStr">
        <is>
          <t>TIERP</t>
        </is>
      </c>
      <c r="F1713" t="inlineStr">
        <is>
          <t>Bergvik skog väst AB</t>
        </is>
      </c>
      <c r="G1713" t="n">
        <v>50.3</v>
      </c>
      <c r="H1713" t="n">
        <v>0</v>
      </c>
      <c r="I1713" t="n">
        <v>0</v>
      </c>
      <c r="J1713" t="n">
        <v>0</v>
      </c>
      <c r="K1713" t="n">
        <v>0</v>
      </c>
      <c r="L1713" t="n">
        <v>0</v>
      </c>
      <c r="M1713" t="n">
        <v>0</v>
      </c>
      <c r="N1713" t="n">
        <v>0</v>
      </c>
      <c r="O1713" t="n">
        <v>0</v>
      </c>
      <c r="P1713" t="n">
        <v>0</v>
      </c>
      <c r="Q1713" t="n">
        <v>0</v>
      </c>
      <c r="R1713" s="2" t="inlineStr"/>
    </row>
    <row r="1714" ht="15" customHeight="1">
      <c r="A1714" t="inlineStr">
        <is>
          <t>A 63529-2020</t>
        </is>
      </c>
      <c r="B1714" s="1" t="n">
        <v>44165</v>
      </c>
      <c r="C1714" s="1" t="n">
        <v>45846</v>
      </c>
      <c r="D1714" t="inlineStr">
        <is>
          <t>UPPSALA LÄN</t>
        </is>
      </c>
      <c r="E1714" t="inlineStr">
        <is>
          <t>UPPSALA</t>
        </is>
      </c>
      <c r="F1714" t="inlineStr">
        <is>
          <t>Övriga statliga verk och myndigheter</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63577-2020</t>
        </is>
      </c>
      <c r="B1715" s="1" t="n">
        <v>44165</v>
      </c>
      <c r="C1715" s="1" t="n">
        <v>45846</v>
      </c>
      <c r="D1715" t="inlineStr">
        <is>
          <t>UPPSALA LÄN</t>
        </is>
      </c>
      <c r="E1715" t="inlineStr">
        <is>
          <t>ÖSTHAMMAR</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63749-2020</t>
        </is>
      </c>
      <c r="B1716" s="1" t="n">
        <v>44166</v>
      </c>
      <c r="C1716" s="1" t="n">
        <v>45846</v>
      </c>
      <c r="D1716" t="inlineStr">
        <is>
          <t>UPPSALA LÄN</t>
        </is>
      </c>
      <c r="E1716" t="inlineStr">
        <is>
          <t>UPPSALA</t>
        </is>
      </c>
      <c r="F1716" t="inlineStr">
        <is>
          <t>Bergvik skog väst AB</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63912-2020</t>
        </is>
      </c>
      <c r="B1717" s="1" t="n">
        <v>44166</v>
      </c>
      <c r="C1717" s="1" t="n">
        <v>45846</v>
      </c>
      <c r="D1717" t="inlineStr">
        <is>
          <t>UPPSALA LÄN</t>
        </is>
      </c>
      <c r="E1717" t="inlineStr">
        <is>
          <t>TIERP</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63715-2020</t>
        </is>
      </c>
      <c r="B1718" s="1" t="n">
        <v>44166</v>
      </c>
      <c r="C1718" s="1" t="n">
        <v>45846</v>
      </c>
      <c r="D1718" t="inlineStr">
        <is>
          <t>UPPSALA LÄN</t>
        </is>
      </c>
      <c r="E1718" t="inlineStr">
        <is>
          <t>ENKÖPING</t>
        </is>
      </c>
      <c r="F1718" t="inlineStr">
        <is>
          <t>Övriga statliga verk och myndigheter</t>
        </is>
      </c>
      <c r="G1718" t="n">
        <v>5.9</v>
      </c>
      <c r="H1718" t="n">
        <v>0</v>
      </c>
      <c r="I1718" t="n">
        <v>0</v>
      </c>
      <c r="J1718" t="n">
        <v>0</v>
      </c>
      <c r="K1718" t="n">
        <v>0</v>
      </c>
      <c r="L1718" t="n">
        <v>0</v>
      </c>
      <c r="M1718" t="n">
        <v>0</v>
      </c>
      <c r="N1718" t="n">
        <v>0</v>
      </c>
      <c r="O1718" t="n">
        <v>0</v>
      </c>
      <c r="P1718" t="n">
        <v>0</v>
      </c>
      <c r="Q1718" t="n">
        <v>0</v>
      </c>
      <c r="R1718" s="2" t="inlineStr"/>
    </row>
    <row r="1719" ht="15" customHeight="1">
      <c r="A1719" t="inlineStr">
        <is>
          <t>A 64128-2020</t>
        </is>
      </c>
      <c r="B1719" s="1" t="n">
        <v>44167</v>
      </c>
      <c r="C1719" s="1" t="n">
        <v>45846</v>
      </c>
      <c r="D1719" t="inlineStr">
        <is>
          <t>UPPSALA LÄN</t>
        </is>
      </c>
      <c r="E1719" t="inlineStr">
        <is>
          <t>UPPSALA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63987-2020</t>
        </is>
      </c>
      <c r="B1720" s="1" t="n">
        <v>44167</v>
      </c>
      <c r="C1720" s="1" t="n">
        <v>45846</v>
      </c>
      <c r="D1720" t="inlineStr">
        <is>
          <t>UPPSALA LÄN</t>
        </is>
      </c>
      <c r="E1720" t="inlineStr">
        <is>
          <t>ÖSTHAMMAR</t>
        </is>
      </c>
      <c r="G1720" t="n">
        <v>5.9</v>
      </c>
      <c r="H1720" t="n">
        <v>0</v>
      </c>
      <c r="I1720" t="n">
        <v>0</v>
      </c>
      <c r="J1720" t="n">
        <v>0</v>
      </c>
      <c r="K1720" t="n">
        <v>0</v>
      </c>
      <c r="L1720" t="n">
        <v>0</v>
      </c>
      <c r="M1720" t="n">
        <v>0</v>
      </c>
      <c r="N1720" t="n">
        <v>0</v>
      </c>
      <c r="O1720" t="n">
        <v>0</v>
      </c>
      <c r="P1720" t="n">
        <v>0</v>
      </c>
      <c r="Q1720" t="n">
        <v>0</v>
      </c>
      <c r="R1720" s="2" t="inlineStr"/>
    </row>
    <row r="1721" ht="15" customHeight="1">
      <c r="A1721" t="inlineStr">
        <is>
          <t>A 64353-2020</t>
        </is>
      </c>
      <c r="B1721" s="1" t="n">
        <v>44168</v>
      </c>
      <c r="C1721" s="1" t="n">
        <v>45846</v>
      </c>
      <c r="D1721" t="inlineStr">
        <is>
          <t>UPPSALA LÄN</t>
        </is>
      </c>
      <c r="E1721" t="inlineStr">
        <is>
          <t>UPPSALA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64333-2020</t>
        </is>
      </c>
      <c r="B1722" s="1" t="n">
        <v>44168</v>
      </c>
      <c r="C1722" s="1" t="n">
        <v>45846</v>
      </c>
      <c r="D1722" t="inlineStr">
        <is>
          <t>UPPSALA LÄN</t>
        </is>
      </c>
      <c r="E1722" t="inlineStr">
        <is>
          <t>UPPSALA</t>
        </is>
      </c>
      <c r="G1722" t="n">
        <v>7.1</v>
      </c>
      <c r="H1722" t="n">
        <v>0</v>
      </c>
      <c r="I1722" t="n">
        <v>0</v>
      </c>
      <c r="J1722" t="n">
        <v>0</v>
      </c>
      <c r="K1722" t="n">
        <v>0</v>
      </c>
      <c r="L1722" t="n">
        <v>0</v>
      </c>
      <c r="M1722" t="n">
        <v>0</v>
      </c>
      <c r="N1722" t="n">
        <v>0</v>
      </c>
      <c r="O1722" t="n">
        <v>0</v>
      </c>
      <c r="P1722" t="n">
        <v>0</v>
      </c>
      <c r="Q1722" t="n">
        <v>0</v>
      </c>
      <c r="R1722" s="2" t="inlineStr"/>
    </row>
    <row r="1723" ht="15" customHeight="1">
      <c r="A1723" t="inlineStr">
        <is>
          <t>A 65225-2020</t>
        </is>
      </c>
      <c r="B1723" s="1" t="n">
        <v>44172</v>
      </c>
      <c r="C1723" s="1" t="n">
        <v>45846</v>
      </c>
      <c r="D1723" t="inlineStr">
        <is>
          <t>UPPSALA LÄN</t>
        </is>
      </c>
      <c r="E1723" t="inlineStr">
        <is>
          <t>TIERP</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65226-2020</t>
        </is>
      </c>
      <c r="B1724" s="1" t="n">
        <v>44172</v>
      </c>
      <c r="C1724" s="1" t="n">
        <v>45846</v>
      </c>
      <c r="D1724" t="inlineStr">
        <is>
          <t>UPPSALA LÄN</t>
        </is>
      </c>
      <c r="E1724" t="inlineStr">
        <is>
          <t>TIERP</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65361-2020</t>
        </is>
      </c>
      <c r="B1725" s="1" t="n">
        <v>44173</v>
      </c>
      <c r="C1725" s="1" t="n">
        <v>45846</v>
      </c>
      <c r="D1725" t="inlineStr">
        <is>
          <t>UPPSALA LÄN</t>
        </is>
      </c>
      <c r="E1725" t="inlineStr">
        <is>
          <t>ÖSTHAMMAR</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66278-2020</t>
        </is>
      </c>
      <c r="B1726" s="1" t="n">
        <v>44176</v>
      </c>
      <c r="C1726" s="1" t="n">
        <v>45846</v>
      </c>
      <c r="D1726" t="inlineStr">
        <is>
          <t>UPPSALA LÄN</t>
        </is>
      </c>
      <c r="E1726" t="inlineStr">
        <is>
          <t>ÄLVKARLEBY</t>
        </is>
      </c>
      <c r="F1726" t="inlineStr">
        <is>
          <t>Bergvik skog väst AB</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66517-2020</t>
        </is>
      </c>
      <c r="B1727" s="1" t="n">
        <v>44178</v>
      </c>
      <c r="C1727" s="1" t="n">
        <v>45846</v>
      </c>
      <c r="D1727" t="inlineStr">
        <is>
          <t>UPPSALA LÄN</t>
        </is>
      </c>
      <c r="E1727" t="inlineStr">
        <is>
          <t>ENKÖPING</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66984-2020</t>
        </is>
      </c>
      <c r="B1728" s="1" t="n">
        <v>44180</v>
      </c>
      <c r="C1728" s="1" t="n">
        <v>45846</v>
      </c>
      <c r="D1728" t="inlineStr">
        <is>
          <t>UPPSALA LÄN</t>
        </is>
      </c>
      <c r="E1728" t="inlineStr">
        <is>
          <t>UPPSALA</t>
        </is>
      </c>
      <c r="F1728" t="inlineStr">
        <is>
          <t>Övriga statliga verk och myndigheter</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67765-2020</t>
        </is>
      </c>
      <c r="B1729" s="1" t="n">
        <v>44182</v>
      </c>
      <c r="C1729" s="1" t="n">
        <v>45846</v>
      </c>
      <c r="D1729" t="inlineStr">
        <is>
          <t>UPPSALA LÄN</t>
        </is>
      </c>
      <c r="E1729" t="inlineStr">
        <is>
          <t>ENKÖPING</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67713-2020</t>
        </is>
      </c>
      <c r="B1730" s="1" t="n">
        <v>44182</v>
      </c>
      <c r="C1730" s="1" t="n">
        <v>45846</v>
      </c>
      <c r="D1730" t="inlineStr">
        <is>
          <t>UPPSALA LÄN</t>
        </is>
      </c>
      <c r="E1730" t="inlineStr">
        <is>
          <t>ENKÖPING</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68257-2020</t>
        </is>
      </c>
      <c r="B1731" s="1" t="n">
        <v>44182</v>
      </c>
      <c r="C1731" s="1" t="n">
        <v>45846</v>
      </c>
      <c r="D1731" t="inlineStr">
        <is>
          <t>UPPSALA LÄN</t>
        </is>
      </c>
      <c r="E1731" t="inlineStr">
        <is>
          <t>KNIVSTA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68243-2020</t>
        </is>
      </c>
      <c r="B1732" s="1" t="n">
        <v>44183</v>
      </c>
      <c r="C1732" s="1" t="n">
        <v>45846</v>
      </c>
      <c r="D1732" t="inlineStr">
        <is>
          <t>UPPSALA LÄN</t>
        </is>
      </c>
      <c r="E1732" t="inlineStr">
        <is>
          <t>ÖSTHAMMAR</t>
        </is>
      </c>
      <c r="G1732" t="n">
        <v>8.5</v>
      </c>
      <c r="H1732" t="n">
        <v>0</v>
      </c>
      <c r="I1732" t="n">
        <v>0</v>
      </c>
      <c r="J1732" t="n">
        <v>0</v>
      </c>
      <c r="K1732" t="n">
        <v>0</v>
      </c>
      <c r="L1732" t="n">
        <v>0</v>
      </c>
      <c r="M1732" t="n">
        <v>0</v>
      </c>
      <c r="N1732" t="n">
        <v>0</v>
      </c>
      <c r="O1732" t="n">
        <v>0</v>
      </c>
      <c r="P1732" t="n">
        <v>0</v>
      </c>
      <c r="Q1732" t="n">
        <v>0</v>
      </c>
      <c r="R1732" s="2" t="inlineStr"/>
    </row>
    <row r="1733" ht="15" customHeight="1">
      <c r="A1733" t="inlineStr">
        <is>
          <t>A 68828-2020</t>
        </is>
      </c>
      <c r="B1733" s="1" t="n">
        <v>44186</v>
      </c>
      <c r="C1733" s="1" t="n">
        <v>45846</v>
      </c>
      <c r="D1733" t="inlineStr">
        <is>
          <t>UPPSALA LÄN</t>
        </is>
      </c>
      <c r="E1733" t="inlineStr">
        <is>
          <t>ÖSTHAMMAR</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69076-2020</t>
        </is>
      </c>
      <c r="B1734" s="1" t="n">
        <v>44188</v>
      </c>
      <c r="C1734" s="1" t="n">
        <v>45846</v>
      </c>
      <c r="D1734" t="inlineStr">
        <is>
          <t>UPPSALA LÄN</t>
        </is>
      </c>
      <c r="E1734" t="inlineStr">
        <is>
          <t>HEBY</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69468-2020</t>
        </is>
      </c>
      <c r="B1735" s="1" t="n">
        <v>44193</v>
      </c>
      <c r="C1735" s="1" t="n">
        <v>45846</v>
      </c>
      <c r="D1735" t="inlineStr">
        <is>
          <t>UPPSALA LÄN</t>
        </is>
      </c>
      <c r="E1735" t="inlineStr">
        <is>
          <t>HEBY</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69567-2020</t>
        </is>
      </c>
      <c r="B1736" s="1" t="n">
        <v>44194</v>
      </c>
      <c r="C1736" s="1" t="n">
        <v>45846</v>
      </c>
      <c r="D1736" t="inlineStr">
        <is>
          <t>UPPSALA LÄN</t>
        </is>
      </c>
      <c r="E1736" t="inlineStr">
        <is>
          <t>ENKÖPING</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69681-2020</t>
        </is>
      </c>
      <c r="B1737" s="1" t="n">
        <v>44196</v>
      </c>
      <c r="C1737" s="1" t="n">
        <v>45846</v>
      </c>
      <c r="D1737" t="inlineStr">
        <is>
          <t>UPPSALA LÄN</t>
        </is>
      </c>
      <c r="E1737" t="inlineStr">
        <is>
          <t>ÖSTHAMMAR</t>
        </is>
      </c>
      <c r="F1737" t="inlineStr">
        <is>
          <t>Bergvik skog öst AB</t>
        </is>
      </c>
      <c r="G1737" t="n">
        <v>21.9</v>
      </c>
      <c r="H1737" t="n">
        <v>0</v>
      </c>
      <c r="I1737" t="n">
        <v>0</v>
      </c>
      <c r="J1737" t="n">
        <v>0</v>
      </c>
      <c r="K1737" t="n">
        <v>0</v>
      </c>
      <c r="L1737" t="n">
        <v>0</v>
      </c>
      <c r="M1737" t="n">
        <v>0</v>
      </c>
      <c r="N1737" t="n">
        <v>0</v>
      </c>
      <c r="O1737" t="n">
        <v>0</v>
      </c>
      <c r="P1737" t="n">
        <v>0</v>
      </c>
      <c r="Q1737" t="n">
        <v>0</v>
      </c>
      <c r="R1737" s="2" t="inlineStr"/>
    </row>
    <row r="1738" ht="15" customHeight="1">
      <c r="A1738" t="inlineStr">
        <is>
          <t>A 249-2021</t>
        </is>
      </c>
      <c r="B1738" s="1" t="n">
        <v>44200</v>
      </c>
      <c r="C1738" s="1" t="n">
        <v>45846</v>
      </c>
      <c r="D1738" t="inlineStr">
        <is>
          <t>UPPSALA LÄN</t>
        </is>
      </c>
      <c r="E1738" t="inlineStr">
        <is>
          <t>TIERP</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265-2021</t>
        </is>
      </c>
      <c r="B1739" s="1" t="n">
        <v>44200</v>
      </c>
      <c r="C1739" s="1" t="n">
        <v>45846</v>
      </c>
      <c r="D1739" t="inlineStr">
        <is>
          <t>UPPSALA LÄN</t>
        </is>
      </c>
      <c r="E1739" t="inlineStr">
        <is>
          <t>UPPSALA</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798-2021</t>
        </is>
      </c>
      <c r="B1740" s="1" t="n">
        <v>44204</v>
      </c>
      <c r="C1740" s="1" t="n">
        <v>45846</v>
      </c>
      <c r="D1740" t="inlineStr">
        <is>
          <t>UPPSALA LÄN</t>
        </is>
      </c>
      <c r="E1740" t="inlineStr">
        <is>
          <t>HEBY</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1020-2021</t>
        </is>
      </c>
      <c r="B1741" s="1" t="n">
        <v>44207</v>
      </c>
      <c r="C1741" s="1" t="n">
        <v>45846</v>
      </c>
      <c r="D1741" t="inlineStr">
        <is>
          <t>UPPSALA LÄN</t>
        </is>
      </c>
      <c r="E1741" t="inlineStr">
        <is>
          <t>UPPSALA</t>
        </is>
      </c>
      <c r="F1741" t="inlineStr">
        <is>
          <t>Holmen skog AB</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967-2021</t>
        </is>
      </c>
      <c r="B1742" s="1" t="n">
        <v>44207</v>
      </c>
      <c r="C1742" s="1" t="n">
        <v>45846</v>
      </c>
      <c r="D1742" t="inlineStr">
        <is>
          <t>UPPSALA LÄN</t>
        </is>
      </c>
      <c r="E1742" t="inlineStr">
        <is>
          <t>ÄLVKARLEBY</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1233-2021</t>
        </is>
      </c>
      <c r="B1743" s="1" t="n">
        <v>44208</v>
      </c>
      <c r="C1743" s="1" t="n">
        <v>45846</v>
      </c>
      <c r="D1743" t="inlineStr">
        <is>
          <t>UPPSALA LÄN</t>
        </is>
      </c>
      <c r="E1743" t="inlineStr">
        <is>
          <t>TIERP</t>
        </is>
      </c>
      <c r="F1743" t="inlineStr">
        <is>
          <t>Övriga Aktiebolag</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1227-2021</t>
        </is>
      </c>
      <c r="B1744" s="1" t="n">
        <v>44208</v>
      </c>
      <c r="C1744" s="1" t="n">
        <v>45846</v>
      </c>
      <c r="D1744" t="inlineStr">
        <is>
          <t>UPPSALA LÄN</t>
        </is>
      </c>
      <c r="E1744" t="inlineStr">
        <is>
          <t>TIERP</t>
        </is>
      </c>
      <c r="G1744" t="n">
        <v>7.3</v>
      </c>
      <c r="H1744" t="n">
        <v>0</v>
      </c>
      <c r="I1744" t="n">
        <v>0</v>
      </c>
      <c r="J1744" t="n">
        <v>0</v>
      </c>
      <c r="K1744" t="n">
        <v>0</v>
      </c>
      <c r="L1744" t="n">
        <v>0</v>
      </c>
      <c r="M1744" t="n">
        <v>0</v>
      </c>
      <c r="N1744" t="n">
        <v>0</v>
      </c>
      <c r="O1744" t="n">
        <v>0</v>
      </c>
      <c r="P1744" t="n">
        <v>0</v>
      </c>
      <c r="Q1744" t="n">
        <v>0</v>
      </c>
      <c r="R1744" s="2" t="inlineStr"/>
    </row>
    <row r="1745" ht="15" customHeight="1">
      <c r="A1745" t="inlineStr">
        <is>
          <t>A 1573-2021</t>
        </is>
      </c>
      <c r="B1745" s="1" t="n">
        <v>44209</v>
      </c>
      <c r="C1745" s="1" t="n">
        <v>45846</v>
      </c>
      <c r="D1745" t="inlineStr">
        <is>
          <t>UPPSALA LÄN</t>
        </is>
      </c>
      <c r="E1745" t="inlineStr">
        <is>
          <t>UPPSALA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1617-2021</t>
        </is>
      </c>
      <c r="B1746" s="1" t="n">
        <v>44209</v>
      </c>
      <c r="C1746" s="1" t="n">
        <v>45846</v>
      </c>
      <c r="D1746" t="inlineStr">
        <is>
          <t>UPPSALA LÄN</t>
        </is>
      </c>
      <c r="E1746" t="inlineStr">
        <is>
          <t>UPPSALA</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1855-2021</t>
        </is>
      </c>
      <c r="B1747" s="1" t="n">
        <v>44210</v>
      </c>
      <c r="C1747" s="1" t="n">
        <v>45846</v>
      </c>
      <c r="D1747" t="inlineStr">
        <is>
          <t>UPPSALA LÄN</t>
        </is>
      </c>
      <c r="E1747" t="inlineStr">
        <is>
          <t>UPPSALA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2157-2021</t>
        </is>
      </c>
      <c r="B1748" s="1" t="n">
        <v>44211</v>
      </c>
      <c r="C1748" s="1" t="n">
        <v>45846</v>
      </c>
      <c r="D1748" t="inlineStr">
        <is>
          <t>UPPSALA LÄN</t>
        </is>
      </c>
      <c r="E1748" t="inlineStr">
        <is>
          <t>TIERP</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2169-2021</t>
        </is>
      </c>
      <c r="B1749" s="1" t="n">
        <v>44211</v>
      </c>
      <c r="C1749" s="1" t="n">
        <v>45846</v>
      </c>
      <c r="D1749" t="inlineStr">
        <is>
          <t>UPPSALA LÄN</t>
        </is>
      </c>
      <c r="E1749" t="inlineStr">
        <is>
          <t>UPPSALA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2476-2021</t>
        </is>
      </c>
      <c r="B1750" s="1" t="n">
        <v>44214</v>
      </c>
      <c r="C1750" s="1" t="n">
        <v>45846</v>
      </c>
      <c r="D1750" t="inlineStr">
        <is>
          <t>UPPSALA LÄN</t>
        </is>
      </c>
      <c r="E1750" t="inlineStr">
        <is>
          <t>HÅBO</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2471-2021</t>
        </is>
      </c>
      <c r="B1751" s="1" t="n">
        <v>44214</v>
      </c>
      <c r="C1751" s="1" t="n">
        <v>45846</v>
      </c>
      <c r="D1751" t="inlineStr">
        <is>
          <t>UPPSALA LÄN</t>
        </is>
      </c>
      <c r="E1751" t="inlineStr">
        <is>
          <t>HÅBO</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2559-2021</t>
        </is>
      </c>
      <c r="B1752" s="1" t="n">
        <v>44214</v>
      </c>
      <c r="C1752" s="1" t="n">
        <v>45846</v>
      </c>
      <c r="D1752" t="inlineStr">
        <is>
          <t>UPPSALA LÄN</t>
        </is>
      </c>
      <c r="E1752" t="inlineStr">
        <is>
          <t>TIERP</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2810-2021</t>
        </is>
      </c>
      <c r="B1753" s="1" t="n">
        <v>44215</v>
      </c>
      <c r="C1753" s="1" t="n">
        <v>45846</v>
      </c>
      <c r="D1753" t="inlineStr">
        <is>
          <t>UPPSALA LÄN</t>
        </is>
      </c>
      <c r="E1753" t="inlineStr">
        <is>
          <t>TIERP</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3864-2021</t>
        </is>
      </c>
      <c r="B1754" s="1" t="n">
        <v>44216</v>
      </c>
      <c r="C1754" s="1" t="n">
        <v>45846</v>
      </c>
      <c r="D1754" t="inlineStr">
        <is>
          <t>UPPSALA LÄN</t>
        </is>
      </c>
      <c r="E1754" t="inlineStr">
        <is>
          <t>UPPSALA</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3874-2021</t>
        </is>
      </c>
      <c r="B1755" s="1" t="n">
        <v>44216</v>
      </c>
      <c r="C1755" s="1" t="n">
        <v>45846</v>
      </c>
      <c r="D1755" t="inlineStr">
        <is>
          <t>UPPSALA LÄN</t>
        </is>
      </c>
      <c r="E1755" t="inlineStr">
        <is>
          <t>UPPSALA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3903-2021</t>
        </is>
      </c>
      <c r="B1756" s="1" t="n">
        <v>44217</v>
      </c>
      <c r="C1756" s="1" t="n">
        <v>45846</v>
      </c>
      <c r="D1756" t="inlineStr">
        <is>
          <t>UPPSALA LÄN</t>
        </is>
      </c>
      <c r="E1756" t="inlineStr">
        <is>
          <t>ENKÖPING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3443-2021</t>
        </is>
      </c>
      <c r="B1757" s="1" t="n">
        <v>44218</v>
      </c>
      <c r="C1757" s="1" t="n">
        <v>45846</v>
      </c>
      <c r="D1757" t="inlineStr">
        <is>
          <t>UPPSALA LÄN</t>
        </is>
      </c>
      <c r="E1757" t="inlineStr">
        <is>
          <t>TIERP</t>
        </is>
      </c>
      <c r="G1757" t="n">
        <v>6.9</v>
      </c>
      <c r="H1757" t="n">
        <v>0</v>
      </c>
      <c r="I1757" t="n">
        <v>0</v>
      </c>
      <c r="J1757" t="n">
        <v>0</v>
      </c>
      <c r="K1757" t="n">
        <v>0</v>
      </c>
      <c r="L1757" t="n">
        <v>0</v>
      </c>
      <c r="M1757" t="n">
        <v>0</v>
      </c>
      <c r="N1757" t="n">
        <v>0</v>
      </c>
      <c r="O1757" t="n">
        <v>0</v>
      </c>
      <c r="P1757" t="n">
        <v>0</v>
      </c>
      <c r="Q1757" t="n">
        <v>0</v>
      </c>
      <c r="R1757" s="2" t="inlineStr"/>
    </row>
    <row r="1758" ht="15" customHeight="1">
      <c r="A1758" t="inlineStr">
        <is>
          <t>A 3693-2021</t>
        </is>
      </c>
      <c r="B1758" s="1" t="n">
        <v>44221</v>
      </c>
      <c r="C1758" s="1" t="n">
        <v>45846</v>
      </c>
      <c r="D1758" t="inlineStr">
        <is>
          <t>UPPSALA LÄN</t>
        </is>
      </c>
      <c r="E1758" t="inlineStr">
        <is>
          <t>ÖSTHAMMAR</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4151-2021</t>
        </is>
      </c>
      <c r="B1759" s="1" t="n">
        <v>44221</v>
      </c>
      <c r="C1759" s="1" t="n">
        <v>45846</v>
      </c>
      <c r="D1759" t="inlineStr">
        <is>
          <t>UPPSALA LÄN</t>
        </is>
      </c>
      <c r="E1759" t="inlineStr">
        <is>
          <t>ÖSTHAMMAR</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3955-2021</t>
        </is>
      </c>
      <c r="B1760" s="1" t="n">
        <v>44222</v>
      </c>
      <c r="C1760" s="1" t="n">
        <v>45846</v>
      </c>
      <c r="D1760" t="inlineStr">
        <is>
          <t>UPPSALA LÄN</t>
        </is>
      </c>
      <c r="E1760" t="inlineStr">
        <is>
          <t>UPPSALA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4203-2021</t>
        </is>
      </c>
      <c r="B1761" s="1" t="n">
        <v>44223</v>
      </c>
      <c r="C1761" s="1" t="n">
        <v>45846</v>
      </c>
      <c r="D1761" t="inlineStr">
        <is>
          <t>UPPSALA LÄN</t>
        </is>
      </c>
      <c r="E1761" t="inlineStr">
        <is>
          <t>ENKÖPING</t>
        </is>
      </c>
      <c r="G1761" t="n">
        <v>11.6</v>
      </c>
      <c r="H1761" t="n">
        <v>0</v>
      </c>
      <c r="I1761" t="n">
        <v>0</v>
      </c>
      <c r="J1761" t="n">
        <v>0</v>
      </c>
      <c r="K1761" t="n">
        <v>0</v>
      </c>
      <c r="L1761" t="n">
        <v>0</v>
      </c>
      <c r="M1761" t="n">
        <v>0</v>
      </c>
      <c r="N1761" t="n">
        <v>0</v>
      </c>
      <c r="O1761" t="n">
        <v>0</v>
      </c>
      <c r="P1761" t="n">
        <v>0</v>
      </c>
      <c r="Q1761" t="n">
        <v>0</v>
      </c>
      <c r="R1761" s="2" t="inlineStr"/>
    </row>
    <row r="1762" ht="15" customHeight="1">
      <c r="A1762" t="inlineStr">
        <is>
          <t>A 4875-2021</t>
        </is>
      </c>
      <c r="B1762" s="1" t="n">
        <v>44223</v>
      </c>
      <c r="C1762" s="1" t="n">
        <v>45846</v>
      </c>
      <c r="D1762" t="inlineStr">
        <is>
          <t>UPPSALA LÄN</t>
        </is>
      </c>
      <c r="E1762" t="inlineStr">
        <is>
          <t>UPPSALA</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4590-2021</t>
        </is>
      </c>
      <c r="B1763" s="1" t="n">
        <v>44224</v>
      </c>
      <c r="C1763" s="1" t="n">
        <v>45846</v>
      </c>
      <c r="D1763" t="inlineStr">
        <is>
          <t>UPPSALA LÄN</t>
        </is>
      </c>
      <c r="E1763" t="inlineStr">
        <is>
          <t>ÖSTHAMMAR</t>
        </is>
      </c>
      <c r="F1763" t="inlineStr">
        <is>
          <t>Bergvik skog öst AB</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4775-2021</t>
        </is>
      </c>
      <c r="B1764" s="1" t="n">
        <v>44225</v>
      </c>
      <c r="C1764" s="1" t="n">
        <v>45846</v>
      </c>
      <c r="D1764" t="inlineStr">
        <is>
          <t>UPPSALA LÄN</t>
        </is>
      </c>
      <c r="E1764" t="inlineStr">
        <is>
          <t>ENKÖPING</t>
        </is>
      </c>
      <c r="F1764" t="inlineStr">
        <is>
          <t>Allmännings- och besparingsskogar</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4821-2021</t>
        </is>
      </c>
      <c r="B1765" s="1" t="n">
        <v>44225</v>
      </c>
      <c r="C1765" s="1" t="n">
        <v>45846</v>
      </c>
      <c r="D1765" t="inlineStr">
        <is>
          <t>UPPSALA LÄN</t>
        </is>
      </c>
      <c r="E1765" t="inlineStr">
        <is>
          <t>HEBY</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5117-2021</t>
        </is>
      </c>
      <c r="B1766" s="1" t="n">
        <v>44228</v>
      </c>
      <c r="C1766" s="1" t="n">
        <v>45846</v>
      </c>
      <c r="D1766" t="inlineStr">
        <is>
          <t>UPPSALA LÄN</t>
        </is>
      </c>
      <c r="E1766" t="inlineStr">
        <is>
          <t>HEBY</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5663-2021</t>
        </is>
      </c>
      <c r="B1767" s="1" t="n">
        <v>44230</v>
      </c>
      <c r="C1767" s="1" t="n">
        <v>45846</v>
      </c>
      <c r="D1767" t="inlineStr">
        <is>
          <t>UPPSALA LÄN</t>
        </is>
      </c>
      <c r="E1767" t="inlineStr">
        <is>
          <t>UPPSALA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5857-2021</t>
        </is>
      </c>
      <c r="B1768" s="1" t="n">
        <v>44231</v>
      </c>
      <c r="C1768" s="1" t="n">
        <v>45846</v>
      </c>
      <c r="D1768" t="inlineStr">
        <is>
          <t>UPPSALA LÄN</t>
        </is>
      </c>
      <c r="E1768" t="inlineStr">
        <is>
          <t>TIERP</t>
        </is>
      </c>
      <c r="F1768" t="inlineStr">
        <is>
          <t>Bergvik skog väst AB</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5875-2021</t>
        </is>
      </c>
      <c r="B1769" s="1" t="n">
        <v>44231</v>
      </c>
      <c r="C1769" s="1" t="n">
        <v>45846</v>
      </c>
      <c r="D1769" t="inlineStr">
        <is>
          <t>UPPSALA LÄN</t>
        </is>
      </c>
      <c r="E1769" t="inlineStr">
        <is>
          <t>HEBY</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6142-2021</t>
        </is>
      </c>
      <c r="B1770" s="1" t="n">
        <v>44232</v>
      </c>
      <c r="C1770" s="1" t="n">
        <v>45846</v>
      </c>
      <c r="D1770" t="inlineStr">
        <is>
          <t>UPPSALA LÄN</t>
        </is>
      </c>
      <c r="E1770" t="inlineStr">
        <is>
          <t>HEBY</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6157-2021</t>
        </is>
      </c>
      <c r="B1771" s="1" t="n">
        <v>44232</v>
      </c>
      <c r="C1771" s="1" t="n">
        <v>45846</v>
      </c>
      <c r="D1771" t="inlineStr">
        <is>
          <t>UPPSALA LÄN</t>
        </is>
      </c>
      <c r="E1771" t="inlineStr">
        <is>
          <t>ENKÖPING</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6147-2021</t>
        </is>
      </c>
      <c r="B1772" s="1" t="n">
        <v>44232</v>
      </c>
      <c r="C1772" s="1" t="n">
        <v>45846</v>
      </c>
      <c r="D1772" t="inlineStr">
        <is>
          <t>UPPSALA LÄN</t>
        </is>
      </c>
      <c r="E1772" t="inlineStr">
        <is>
          <t>ENKÖPING</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6151-2021</t>
        </is>
      </c>
      <c r="B1773" s="1" t="n">
        <v>44232</v>
      </c>
      <c r="C1773" s="1" t="n">
        <v>45846</v>
      </c>
      <c r="D1773" t="inlineStr">
        <is>
          <t>UPPSALA LÄN</t>
        </is>
      </c>
      <c r="E1773" t="inlineStr">
        <is>
          <t>HEBY</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6186-2021</t>
        </is>
      </c>
      <c r="B1774" s="1" t="n">
        <v>44233</v>
      </c>
      <c r="C1774" s="1" t="n">
        <v>45846</v>
      </c>
      <c r="D1774" t="inlineStr">
        <is>
          <t>UPPSALA LÄN</t>
        </is>
      </c>
      <c r="E1774" t="inlineStr">
        <is>
          <t>HEBY</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6221-2021</t>
        </is>
      </c>
      <c r="B1775" s="1" t="n">
        <v>44235</v>
      </c>
      <c r="C1775" s="1" t="n">
        <v>45846</v>
      </c>
      <c r="D1775" t="inlineStr">
        <is>
          <t>UPPSALA LÄN</t>
        </is>
      </c>
      <c r="E1775" t="inlineStr">
        <is>
          <t>ÖSTHAMMAR</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6298-2021</t>
        </is>
      </c>
      <c r="B1776" s="1" t="n">
        <v>44235</v>
      </c>
      <c r="C1776" s="1" t="n">
        <v>45846</v>
      </c>
      <c r="D1776" t="inlineStr">
        <is>
          <t>UPPSALA LÄN</t>
        </is>
      </c>
      <c r="E1776" t="inlineStr">
        <is>
          <t>ENKÖPING</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6618-2021</t>
        </is>
      </c>
      <c r="B1777" s="1" t="n">
        <v>44235</v>
      </c>
      <c r="C1777" s="1" t="n">
        <v>45846</v>
      </c>
      <c r="D1777" t="inlineStr">
        <is>
          <t>UPPSALA LÄN</t>
        </is>
      </c>
      <c r="E1777" t="inlineStr">
        <is>
          <t>HEBY</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7036-2021</t>
        </is>
      </c>
      <c r="B1778" s="1" t="n">
        <v>44237</v>
      </c>
      <c r="C1778" s="1" t="n">
        <v>45846</v>
      </c>
      <c r="D1778" t="inlineStr">
        <is>
          <t>UPPSALA LÄN</t>
        </is>
      </c>
      <c r="E1778" t="inlineStr">
        <is>
          <t>TIERP</t>
        </is>
      </c>
      <c r="F1778" t="inlineStr">
        <is>
          <t>Bergvik skog väst AB</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7165-2021</t>
        </is>
      </c>
      <c r="B1779" s="1" t="n">
        <v>44238</v>
      </c>
      <c r="C1779" s="1" t="n">
        <v>45846</v>
      </c>
      <c r="D1779" t="inlineStr">
        <is>
          <t>UPPSALA LÄN</t>
        </is>
      </c>
      <c r="E1779" t="inlineStr">
        <is>
          <t>HEBY</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7195-2021</t>
        </is>
      </c>
      <c r="B1780" s="1" t="n">
        <v>44238</v>
      </c>
      <c r="C1780" s="1" t="n">
        <v>45846</v>
      </c>
      <c r="D1780" t="inlineStr">
        <is>
          <t>UPPSALA LÄN</t>
        </is>
      </c>
      <c r="E1780" t="inlineStr">
        <is>
          <t>HEBY</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7282-2021</t>
        </is>
      </c>
      <c r="B1781" s="1" t="n">
        <v>44238</v>
      </c>
      <c r="C1781" s="1" t="n">
        <v>45846</v>
      </c>
      <c r="D1781" t="inlineStr">
        <is>
          <t>UPPSALA LÄN</t>
        </is>
      </c>
      <c r="E1781" t="inlineStr">
        <is>
          <t>HEBY</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7113-2021</t>
        </is>
      </c>
      <c r="B1782" s="1" t="n">
        <v>44238</v>
      </c>
      <c r="C1782" s="1" t="n">
        <v>45846</v>
      </c>
      <c r="D1782" t="inlineStr">
        <is>
          <t>UPPSALA LÄN</t>
        </is>
      </c>
      <c r="E1782" t="inlineStr">
        <is>
          <t>ÖSTHAMMAR</t>
        </is>
      </c>
      <c r="F1782" t="inlineStr">
        <is>
          <t>Bergvik skog öst AB</t>
        </is>
      </c>
      <c r="G1782" t="n">
        <v>8.199999999999999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7803-2021</t>
        </is>
      </c>
      <c r="B1783" s="1" t="n">
        <v>44242</v>
      </c>
      <c r="C1783" s="1" t="n">
        <v>45846</v>
      </c>
      <c r="D1783" t="inlineStr">
        <is>
          <t>UPPSALA LÄN</t>
        </is>
      </c>
      <c r="E1783" t="inlineStr">
        <is>
          <t>HEBY</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8009-2021</t>
        </is>
      </c>
      <c r="B1784" s="1" t="n">
        <v>44243</v>
      </c>
      <c r="C1784" s="1" t="n">
        <v>45846</v>
      </c>
      <c r="D1784" t="inlineStr">
        <is>
          <t>UPPSALA LÄN</t>
        </is>
      </c>
      <c r="E1784" t="inlineStr">
        <is>
          <t>ÖSTHAMMAR</t>
        </is>
      </c>
      <c r="G1784" t="n">
        <v>9.9</v>
      </c>
      <c r="H1784" t="n">
        <v>0</v>
      </c>
      <c r="I1784" t="n">
        <v>0</v>
      </c>
      <c r="J1784" t="n">
        <v>0</v>
      </c>
      <c r="K1784" t="n">
        <v>0</v>
      </c>
      <c r="L1784" t="n">
        <v>0</v>
      </c>
      <c r="M1784" t="n">
        <v>0</v>
      </c>
      <c r="N1784" t="n">
        <v>0</v>
      </c>
      <c r="O1784" t="n">
        <v>0</v>
      </c>
      <c r="P1784" t="n">
        <v>0</v>
      </c>
      <c r="Q1784" t="n">
        <v>0</v>
      </c>
      <c r="R1784" s="2" t="inlineStr"/>
    </row>
    <row r="1785" ht="15" customHeight="1">
      <c r="A1785" t="inlineStr">
        <is>
          <t>A 8114-2021</t>
        </is>
      </c>
      <c r="B1785" s="1" t="n">
        <v>44243</v>
      </c>
      <c r="C1785" s="1" t="n">
        <v>45846</v>
      </c>
      <c r="D1785" t="inlineStr">
        <is>
          <t>UPPSALA LÄN</t>
        </is>
      </c>
      <c r="E1785" t="inlineStr">
        <is>
          <t>UPPSALA</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8306-2021</t>
        </is>
      </c>
      <c r="B1786" s="1" t="n">
        <v>44244</v>
      </c>
      <c r="C1786" s="1" t="n">
        <v>45846</v>
      </c>
      <c r="D1786" t="inlineStr">
        <is>
          <t>UPPSALA LÄN</t>
        </is>
      </c>
      <c r="E1786" t="inlineStr">
        <is>
          <t>ENKÖPING</t>
        </is>
      </c>
      <c r="G1786" t="n">
        <v>14.9</v>
      </c>
      <c r="H1786" t="n">
        <v>0</v>
      </c>
      <c r="I1786" t="n">
        <v>0</v>
      </c>
      <c r="J1786" t="n">
        <v>0</v>
      </c>
      <c r="K1786" t="n">
        <v>0</v>
      </c>
      <c r="L1786" t="n">
        <v>0</v>
      </c>
      <c r="M1786" t="n">
        <v>0</v>
      </c>
      <c r="N1786" t="n">
        <v>0</v>
      </c>
      <c r="O1786" t="n">
        <v>0</v>
      </c>
      <c r="P1786" t="n">
        <v>0</v>
      </c>
      <c r="Q1786" t="n">
        <v>0</v>
      </c>
      <c r="R1786" s="2" t="inlineStr"/>
    </row>
    <row r="1787" ht="15" customHeight="1">
      <c r="A1787" t="inlineStr">
        <is>
          <t>A 8494-2021</t>
        </is>
      </c>
      <c r="B1787" s="1" t="n">
        <v>44245</v>
      </c>
      <c r="C1787" s="1" t="n">
        <v>45846</v>
      </c>
      <c r="D1787" t="inlineStr">
        <is>
          <t>UPPSALA LÄN</t>
        </is>
      </c>
      <c r="E1787" t="inlineStr">
        <is>
          <t>UPPSALA</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9010-2021</t>
        </is>
      </c>
      <c r="B1788" s="1" t="n">
        <v>44249</v>
      </c>
      <c r="C1788" s="1" t="n">
        <v>45846</v>
      </c>
      <c r="D1788" t="inlineStr">
        <is>
          <t>UPPSALA LÄN</t>
        </is>
      </c>
      <c r="E1788" t="inlineStr">
        <is>
          <t>HEBY</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9230-2021</t>
        </is>
      </c>
      <c r="B1789" s="1" t="n">
        <v>44250</v>
      </c>
      <c r="C1789" s="1" t="n">
        <v>45846</v>
      </c>
      <c r="D1789" t="inlineStr">
        <is>
          <t>UPPSALA LÄN</t>
        </is>
      </c>
      <c r="E1789" t="inlineStr">
        <is>
          <t>HEBY</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9700-2021</t>
        </is>
      </c>
      <c r="B1790" s="1" t="n">
        <v>44252</v>
      </c>
      <c r="C1790" s="1" t="n">
        <v>45846</v>
      </c>
      <c r="D1790" t="inlineStr">
        <is>
          <t>UPPSALA LÄN</t>
        </is>
      </c>
      <c r="E1790" t="inlineStr">
        <is>
          <t>UPPSALA</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9725-2021</t>
        </is>
      </c>
      <c r="B1791" s="1" t="n">
        <v>44252</v>
      </c>
      <c r="C1791" s="1" t="n">
        <v>45846</v>
      </c>
      <c r="D1791" t="inlineStr">
        <is>
          <t>UPPSALA LÄN</t>
        </is>
      </c>
      <c r="E1791" t="inlineStr">
        <is>
          <t>KNIVSTA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9712-2021</t>
        </is>
      </c>
      <c r="B1792" s="1" t="n">
        <v>44252</v>
      </c>
      <c r="C1792" s="1" t="n">
        <v>45846</v>
      </c>
      <c r="D1792" t="inlineStr">
        <is>
          <t>UPPSALA LÄN</t>
        </is>
      </c>
      <c r="E1792" t="inlineStr">
        <is>
          <t>UPPSALA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10316-2021</t>
        </is>
      </c>
      <c r="B1793" s="1" t="n">
        <v>44257</v>
      </c>
      <c r="C1793" s="1" t="n">
        <v>45846</v>
      </c>
      <c r="D1793" t="inlineStr">
        <is>
          <t>UPPSALA LÄN</t>
        </is>
      </c>
      <c r="E1793" t="inlineStr">
        <is>
          <t>ÖSTHAMMAR</t>
        </is>
      </c>
      <c r="F1793" t="inlineStr">
        <is>
          <t>Övriga Aktiebolag</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10498-2021</t>
        </is>
      </c>
      <c r="B1794" s="1" t="n">
        <v>44258</v>
      </c>
      <c r="C1794" s="1" t="n">
        <v>45846</v>
      </c>
      <c r="D1794" t="inlineStr">
        <is>
          <t>UPPSALA LÄN</t>
        </is>
      </c>
      <c r="E1794" t="inlineStr">
        <is>
          <t>ÖSTHAMMAR</t>
        </is>
      </c>
      <c r="F1794" t="inlineStr">
        <is>
          <t>Övriga Aktiebolag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10734-2021</t>
        </is>
      </c>
      <c r="B1795" s="1" t="n">
        <v>44259</v>
      </c>
      <c r="C1795" s="1" t="n">
        <v>45846</v>
      </c>
      <c r="D1795" t="inlineStr">
        <is>
          <t>UPPSALA LÄN</t>
        </is>
      </c>
      <c r="E1795" t="inlineStr">
        <is>
          <t>HEBY</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10989-2021</t>
        </is>
      </c>
      <c r="B1796" s="1" t="n">
        <v>44260</v>
      </c>
      <c r="C1796" s="1" t="n">
        <v>45846</v>
      </c>
      <c r="D1796" t="inlineStr">
        <is>
          <t>UPPSALA LÄN</t>
        </is>
      </c>
      <c r="E1796" t="inlineStr">
        <is>
          <t>ENKÖPING</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11090-2021</t>
        </is>
      </c>
      <c r="B1797" s="1" t="n">
        <v>44260</v>
      </c>
      <c r="C1797" s="1" t="n">
        <v>45846</v>
      </c>
      <c r="D1797" t="inlineStr">
        <is>
          <t>UPPSALA LÄN</t>
        </is>
      </c>
      <c r="E1797" t="inlineStr">
        <is>
          <t>HEBY</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11314-2021</t>
        </is>
      </c>
      <c r="B1798" s="1" t="n">
        <v>44263</v>
      </c>
      <c r="C1798" s="1" t="n">
        <v>45846</v>
      </c>
      <c r="D1798" t="inlineStr">
        <is>
          <t>UPPSALA LÄN</t>
        </is>
      </c>
      <c r="E1798" t="inlineStr">
        <is>
          <t>HEBY</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11553-2021</t>
        </is>
      </c>
      <c r="B1799" s="1" t="n">
        <v>44264</v>
      </c>
      <c r="C1799" s="1" t="n">
        <v>45846</v>
      </c>
      <c r="D1799" t="inlineStr">
        <is>
          <t>UPPSALA LÄN</t>
        </is>
      </c>
      <c r="E1799" t="inlineStr">
        <is>
          <t>ÄLVKARLEBY</t>
        </is>
      </c>
      <c r="F1799" t="inlineStr">
        <is>
          <t>Bergvik skog väst AB</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11688-2021</t>
        </is>
      </c>
      <c r="B1800" s="1" t="n">
        <v>44264</v>
      </c>
      <c r="C1800" s="1" t="n">
        <v>45846</v>
      </c>
      <c r="D1800" t="inlineStr">
        <is>
          <t>UPPSALA LÄN</t>
        </is>
      </c>
      <c r="E1800" t="inlineStr">
        <is>
          <t>ENKÖPING</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11675-2021</t>
        </is>
      </c>
      <c r="B1801" s="1" t="n">
        <v>44264</v>
      </c>
      <c r="C1801" s="1" t="n">
        <v>45846</v>
      </c>
      <c r="D1801" t="inlineStr">
        <is>
          <t>UPPSALA LÄN</t>
        </is>
      </c>
      <c r="E1801" t="inlineStr">
        <is>
          <t>HEBY</t>
        </is>
      </c>
      <c r="F1801" t="inlineStr">
        <is>
          <t>Övriga Aktiebolag</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11729-2021</t>
        </is>
      </c>
      <c r="B1802" s="1" t="n">
        <v>44265</v>
      </c>
      <c r="C1802" s="1" t="n">
        <v>45846</v>
      </c>
      <c r="D1802" t="inlineStr">
        <is>
          <t>UPPSALA LÄN</t>
        </is>
      </c>
      <c r="E1802" t="inlineStr">
        <is>
          <t>HÅBO</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11725-2021</t>
        </is>
      </c>
      <c r="B1803" s="1" t="n">
        <v>44265</v>
      </c>
      <c r="C1803" s="1" t="n">
        <v>45846</v>
      </c>
      <c r="D1803" t="inlineStr">
        <is>
          <t>UPPSALA LÄN</t>
        </is>
      </c>
      <c r="E1803" t="inlineStr">
        <is>
          <t>HÅBO</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11937-2021</t>
        </is>
      </c>
      <c r="B1804" s="1" t="n">
        <v>44266</v>
      </c>
      <c r="C1804" s="1" t="n">
        <v>45846</v>
      </c>
      <c r="D1804" t="inlineStr">
        <is>
          <t>UPPSALA LÄN</t>
        </is>
      </c>
      <c r="E1804" t="inlineStr">
        <is>
          <t>TIERP</t>
        </is>
      </c>
      <c r="F1804" t="inlineStr">
        <is>
          <t>Bergvik skog öst AB</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11932-2021</t>
        </is>
      </c>
      <c r="B1805" s="1" t="n">
        <v>44266</v>
      </c>
      <c r="C1805" s="1" t="n">
        <v>45846</v>
      </c>
      <c r="D1805" t="inlineStr">
        <is>
          <t>UPPSALA LÄN</t>
        </is>
      </c>
      <c r="E1805" t="inlineStr">
        <is>
          <t>TIERP</t>
        </is>
      </c>
      <c r="F1805" t="inlineStr">
        <is>
          <t>Bergvik skog öst AB</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12225-2021</t>
        </is>
      </c>
      <c r="B1806" s="1" t="n">
        <v>44266</v>
      </c>
      <c r="C1806" s="1" t="n">
        <v>45846</v>
      </c>
      <c r="D1806" t="inlineStr">
        <is>
          <t>UPPSALA LÄN</t>
        </is>
      </c>
      <c r="E1806" t="inlineStr">
        <is>
          <t>UPPSALA</t>
        </is>
      </c>
      <c r="F1806" t="inlineStr">
        <is>
          <t>Bergvik skog öst AB</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12152-2021</t>
        </is>
      </c>
      <c r="B1807" s="1" t="n">
        <v>44266</v>
      </c>
      <c r="C1807" s="1" t="n">
        <v>45846</v>
      </c>
      <c r="D1807" t="inlineStr">
        <is>
          <t>UPPSALA LÄN</t>
        </is>
      </c>
      <c r="E1807" t="inlineStr">
        <is>
          <t>UPPSALA</t>
        </is>
      </c>
      <c r="F1807" t="inlineStr">
        <is>
          <t>Bergvik skog öst AB</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12172-2021</t>
        </is>
      </c>
      <c r="B1808" s="1" t="n">
        <v>44266</v>
      </c>
      <c r="C1808" s="1" t="n">
        <v>45846</v>
      </c>
      <c r="D1808" t="inlineStr">
        <is>
          <t>UPPSALA LÄN</t>
        </is>
      </c>
      <c r="E1808" t="inlineStr">
        <is>
          <t>UPPSALA</t>
        </is>
      </c>
      <c r="F1808" t="inlineStr">
        <is>
          <t>Bergvik skog öst AB</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12194-2021</t>
        </is>
      </c>
      <c r="B1809" s="1" t="n">
        <v>44266</v>
      </c>
      <c r="C1809" s="1" t="n">
        <v>45846</v>
      </c>
      <c r="D1809" t="inlineStr">
        <is>
          <t>UPPSALA LÄN</t>
        </is>
      </c>
      <c r="E1809" t="inlineStr">
        <is>
          <t>UPPSALA</t>
        </is>
      </c>
      <c r="F1809" t="inlineStr">
        <is>
          <t>Bergvik skog öst AB</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12313-2021</t>
        </is>
      </c>
      <c r="B1810" s="1" t="n">
        <v>44266</v>
      </c>
      <c r="C1810" s="1" t="n">
        <v>45846</v>
      </c>
      <c r="D1810" t="inlineStr">
        <is>
          <t>UPPSALA LÄN</t>
        </is>
      </c>
      <c r="E1810" t="inlineStr">
        <is>
          <t>UPPSALA</t>
        </is>
      </c>
      <c r="G1810" t="n">
        <v>23.6</v>
      </c>
      <c r="H1810" t="n">
        <v>0</v>
      </c>
      <c r="I1810" t="n">
        <v>0</v>
      </c>
      <c r="J1810" t="n">
        <v>0</v>
      </c>
      <c r="K1810" t="n">
        <v>0</v>
      </c>
      <c r="L1810" t="n">
        <v>0</v>
      </c>
      <c r="M1810" t="n">
        <v>0</v>
      </c>
      <c r="N1810" t="n">
        <v>0</v>
      </c>
      <c r="O1810" t="n">
        <v>0</v>
      </c>
      <c r="P1810" t="n">
        <v>0</v>
      </c>
      <c r="Q1810" t="n">
        <v>0</v>
      </c>
      <c r="R1810" s="2" t="inlineStr"/>
    </row>
    <row r="1811" ht="15" customHeight="1">
      <c r="A1811" t="inlineStr">
        <is>
          <t>A 12434-2021</t>
        </is>
      </c>
      <c r="B1811" s="1" t="n">
        <v>44267</v>
      </c>
      <c r="C1811" s="1" t="n">
        <v>45846</v>
      </c>
      <c r="D1811" t="inlineStr">
        <is>
          <t>UPPSALA LÄN</t>
        </is>
      </c>
      <c r="E1811" t="inlineStr">
        <is>
          <t>ENKÖPING</t>
        </is>
      </c>
      <c r="G1811" t="n">
        <v>5.3</v>
      </c>
      <c r="H1811" t="n">
        <v>0</v>
      </c>
      <c r="I1811" t="n">
        <v>0</v>
      </c>
      <c r="J1811" t="n">
        <v>0</v>
      </c>
      <c r="K1811" t="n">
        <v>0</v>
      </c>
      <c r="L1811" t="n">
        <v>0</v>
      </c>
      <c r="M1811" t="n">
        <v>0</v>
      </c>
      <c r="N1811" t="n">
        <v>0</v>
      </c>
      <c r="O1811" t="n">
        <v>0</v>
      </c>
      <c r="P1811" t="n">
        <v>0</v>
      </c>
      <c r="Q1811" t="n">
        <v>0</v>
      </c>
      <c r="R1811" s="2" t="inlineStr"/>
    </row>
    <row r="1812" ht="15" customHeight="1">
      <c r="A1812" t="inlineStr">
        <is>
          <t>A 12538-2021</t>
        </is>
      </c>
      <c r="B1812" s="1" t="n">
        <v>44269</v>
      </c>
      <c r="C1812" s="1" t="n">
        <v>45846</v>
      </c>
      <c r="D1812" t="inlineStr">
        <is>
          <t>UPPSALA LÄN</t>
        </is>
      </c>
      <c r="E1812" t="inlineStr">
        <is>
          <t>ENKÖPING</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12572-2021</t>
        </is>
      </c>
      <c r="B1813" s="1" t="n">
        <v>44270</v>
      </c>
      <c r="C1813" s="1" t="n">
        <v>45846</v>
      </c>
      <c r="D1813" t="inlineStr">
        <is>
          <t>UPPSALA LÄN</t>
        </is>
      </c>
      <c r="E1813" t="inlineStr">
        <is>
          <t>ENKÖPING</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12591-2021</t>
        </is>
      </c>
      <c r="B1814" s="1" t="n">
        <v>44270</v>
      </c>
      <c r="C1814" s="1" t="n">
        <v>45846</v>
      </c>
      <c r="D1814" t="inlineStr">
        <is>
          <t>UPPSALA LÄN</t>
        </is>
      </c>
      <c r="E1814" t="inlineStr">
        <is>
          <t>TIERP</t>
        </is>
      </c>
      <c r="G1814" t="n">
        <v>5.6</v>
      </c>
      <c r="H1814" t="n">
        <v>0</v>
      </c>
      <c r="I1814" t="n">
        <v>0</v>
      </c>
      <c r="J1814" t="n">
        <v>0</v>
      </c>
      <c r="K1814" t="n">
        <v>0</v>
      </c>
      <c r="L1814" t="n">
        <v>0</v>
      </c>
      <c r="M1814" t="n">
        <v>0</v>
      </c>
      <c r="N1814" t="n">
        <v>0</v>
      </c>
      <c r="O1814" t="n">
        <v>0</v>
      </c>
      <c r="P1814" t="n">
        <v>0</v>
      </c>
      <c r="Q1814" t="n">
        <v>0</v>
      </c>
      <c r="R1814" s="2" t="inlineStr"/>
    </row>
    <row r="1815" ht="15" customHeight="1">
      <c r="A1815" t="inlineStr">
        <is>
          <t>A 12729-2021</t>
        </is>
      </c>
      <c r="B1815" s="1" t="n">
        <v>44270</v>
      </c>
      <c r="C1815" s="1" t="n">
        <v>45846</v>
      </c>
      <c r="D1815" t="inlineStr">
        <is>
          <t>UPPSALA LÄN</t>
        </is>
      </c>
      <c r="E1815" t="inlineStr">
        <is>
          <t>ENKÖPING</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12727-2021</t>
        </is>
      </c>
      <c r="B1816" s="1" t="n">
        <v>44270</v>
      </c>
      <c r="C1816" s="1" t="n">
        <v>45846</v>
      </c>
      <c r="D1816" t="inlineStr">
        <is>
          <t>UPPSALA LÄN</t>
        </is>
      </c>
      <c r="E1816" t="inlineStr">
        <is>
          <t>ENKÖPING</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12732-2021</t>
        </is>
      </c>
      <c r="B1817" s="1" t="n">
        <v>44270</v>
      </c>
      <c r="C1817" s="1" t="n">
        <v>45846</v>
      </c>
      <c r="D1817" t="inlineStr">
        <is>
          <t>UPPSALA LÄN</t>
        </is>
      </c>
      <c r="E1817" t="inlineStr">
        <is>
          <t>ENKÖPING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12864-2021</t>
        </is>
      </c>
      <c r="B1818" s="1" t="n">
        <v>44271</v>
      </c>
      <c r="C1818" s="1" t="n">
        <v>45846</v>
      </c>
      <c r="D1818" t="inlineStr">
        <is>
          <t>UPPSALA LÄN</t>
        </is>
      </c>
      <c r="E1818" t="inlineStr">
        <is>
          <t>KNIVSTA</t>
        </is>
      </c>
      <c r="F1818" t="inlineStr">
        <is>
          <t>Kyrkan</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13010-2021</t>
        </is>
      </c>
      <c r="B1819" s="1" t="n">
        <v>44271</v>
      </c>
      <c r="C1819" s="1" t="n">
        <v>45846</v>
      </c>
      <c r="D1819" t="inlineStr">
        <is>
          <t>UPPSALA LÄN</t>
        </is>
      </c>
      <c r="E1819" t="inlineStr">
        <is>
          <t>UPPSALA</t>
        </is>
      </c>
      <c r="F1819" t="inlineStr">
        <is>
          <t>Bergvik skog öst AB</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13126-2021</t>
        </is>
      </c>
      <c r="B1820" s="1" t="n">
        <v>44272</v>
      </c>
      <c r="C1820" s="1" t="n">
        <v>45846</v>
      </c>
      <c r="D1820" t="inlineStr">
        <is>
          <t>UPPSALA LÄN</t>
        </is>
      </c>
      <c r="E1820" t="inlineStr">
        <is>
          <t>HEBY</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13157-2021</t>
        </is>
      </c>
      <c r="B1821" s="1" t="n">
        <v>44272</v>
      </c>
      <c r="C1821" s="1" t="n">
        <v>45846</v>
      </c>
      <c r="D1821" t="inlineStr">
        <is>
          <t>UPPSALA LÄN</t>
        </is>
      </c>
      <c r="E1821" t="inlineStr">
        <is>
          <t>TIERP</t>
        </is>
      </c>
      <c r="F1821" t="inlineStr">
        <is>
          <t>Bergvik skog öst AB</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13201-2021</t>
        </is>
      </c>
      <c r="B1822" s="1" t="n">
        <v>44272</v>
      </c>
      <c r="C1822" s="1" t="n">
        <v>45846</v>
      </c>
      <c r="D1822" t="inlineStr">
        <is>
          <t>UPPSALA LÄN</t>
        </is>
      </c>
      <c r="E1822" t="inlineStr">
        <is>
          <t>ENKÖPING</t>
        </is>
      </c>
      <c r="G1822" t="n">
        <v>0.1</v>
      </c>
      <c r="H1822" t="n">
        <v>0</v>
      </c>
      <c r="I1822" t="n">
        <v>0</v>
      </c>
      <c r="J1822" t="n">
        <v>0</v>
      </c>
      <c r="K1822" t="n">
        <v>0</v>
      </c>
      <c r="L1822" t="n">
        <v>0</v>
      </c>
      <c r="M1822" t="n">
        <v>0</v>
      </c>
      <c r="N1822" t="n">
        <v>0</v>
      </c>
      <c r="O1822" t="n">
        <v>0</v>
      </c>
      <c r="P1822" t="n">
        <v>0</v>
      </c>
      <c r="Q1822" t="n">
        <v>0</v>
      </c>
      <c r="R1822" s="2" t="inlineStr"/>
    </row>
    <row r="1823" ht="15" customHeight="1">
      <c r="A1823" t="inlineStr">
        <is>
          <t>A 13098-2021</t>
        </is>
      </c>
      <c r="B1823" s="1" t="n">
        <v>44272</v>
      </c>
      <c r="C1823" s="1" t="n">
        <v>45846</v>
      </c>
      <c r="D1823" t="inlineStr">
        <is>
          <t>UPPSALA LÄN</t>
        </is>
      </c>
      <c r="E1823" t="inlineStr">
        <is>
          <t>HEBY</t>
        </is>
      </c>
      <c r="G1823" t="n">
        <v>11.8</v>
      </c>
      <c r="H1823" t="n">
        <v>0</v>
      </c>
      <c r="I1823" t="n">
        <v>0</v>
      </c>
      <c r="J1823" t="n">
        <v>0</v>
      </c>
      <c r="K1823" t="n">
        <v>0</v>
      </c>
      <c r="L1823" t="n">
        <v>0</v>
      </c>
      <c r="M1823" t="n">
        <v>0</v>
      </c>
      <c r="N1823" t="n">
        <v>0</v>
      </c>
      <c r="O1823" t="n">
        <v>0</v>
      </c>
      <c r="P1823" t="n">
        <v>0</v>
      </c>
      <c r="Q1823" t="n">
        <v>0</v>
      </c>
      <c r="R1823" s="2" t="inlineStr"/>
    </row>
    <row r="1824" ht="15" customHeight="1">
      <c r="A1824" t="inlineStr">
        <is>
          <t>A 13131-2021</t>
        </is>
      </c>
      <c r="B1824" s="1" t="n">
        <v>44272</v>
      </c>
      <c r="C1824" s="1" t="n">
        <v>45846</v>
      </c>
      <c r="D1824" t="inlineStr">
        <is>
          <t>UPPSALA LÄN</t>
        </is>
      </c>
      <c r="E1824" t="inlineStr">
        <is>
          <t>HEBY</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13046-2021</t>
        </is>
      </c>
      <c r="B1825" s="1" t="n">
        <v>44272</v>
      </c>
      <c r="C1825" s="1" t="n">
        <v>45846</v>
      </c>
      <c r="D1825" t="inlineStr">
        <is>
          <t>UPPSALA LÄN</t>
        </is>
      </c>
      <c r="E1825" t="inlineStr">
        <is>
          <t>HEBY</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13476-2021</t>
        </is>
      </c>
      <c r="B1826" s="1" t="n">
        <v>44273</v>
      </c>
      <c r="C1826" s="1" t="n">
        <v>45846</v>
      </c>
      <c r="D1826" t="inlineStr">
        <is>
          <t>UPPSALA LÄN</t>
        </is>
      </c>
      <c r="E1826" t="inlineStr">
        <is>
          <t>ÄLVKARLEBY</t>
        </is>
      </c>
      <c r="F1826" t="inlineStr">
        <is>
          <t>Bergvik skog väst AB</t>
        </is>
      </c>
      <c r="G1826" t="n">
        <v>12.1</v>
      </c>
      <c r="H1826" t="n">
        <v>0</v>
      </c>
      <c r="I1826" t="n">
        <v>0</v>
      </c>
      <c r="J1826" t="n">
        <v>0</v>
      </c>
      <c r="K1826" t="n">
        <v>0</v>
      </c>
      <c r="L1826" t="n">
        <v>0</v>
      </c>
      <c r="M1826" t="n">
        <v>0</v>
      </c>
      <c r="N1826" t="n">
        <v>0</v>
      </c>
      <c r="O1826" t="n">
        <v>0</v>
      </c>
      <c r="P1826" t="n">
        <v>0</v>
      </c>
      <c r="Q1826" t="n">
        <v>0</v>
      </c>
      <c r="R1826" s="2" t="inlineStr"/>
    </row>
    <row r="1827" ht="15" customHeight="1">
      <c r="A1827" t="inlineStr">
        <is>
          <t>A 13420-2021</t>
        </is>
      </c>
      <c r="B1827" s="1" t="n">
        <v>44273</v>
      </c>
      <c r="C1827" s="1" t="n">
        <v>45846</v>
      </c>
      <c r="D1827" t="inlineStr">
        <is>
          <t>UPPSALA LÄN</t>
        </is>
      </c>
      <c r="E1827" t="inlineStr">
        <is>
          <t>UPPSALA</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13813-2021</t>
        </is>
      </c>
      <c r="B1828" s="1" t="n">
        <v>44276</v>
      </c>
      <c r="C1828" s="1" t="n">
        <v>45846</v>
      </c>
      <c r="D1828" t="inlineStr">
        <is>
          <t>UPPSALA LÄN</t>
        </is>
      </c>
      <c r="E1828" t="inlineStr">
        <is>
          <t>ENKÖPING</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13816-2021</t>
        </is>
      </c>
      <c r="B1829" s="1" t="n">
        <v>44276</v>
      </c>
      <c r="C1829" s="1" t="n">
        <v>45846</v>
      </c>
      <c r="D1829" t="inlineStr">
        <is>
          <t>UPPSALA LÄN</t>
        </is>
      </c>
      <c r="E1829" t="inlineStr">
        <is>
          <t>ENKÖPING</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14026-2021</t>
        </is>
      </c>
      <c r="B1830" s="1" t="n">
        <v>44277</v>
      </c>
      <c r="C1830" s="1" t="n">
        <v>45846</v>
      </c>
      <c r="D1830" t="inlineStr">
        <is>
          <t>UPPSALA LÄN</t>
        </is>
      </c>
      <c r="E1830" t="inlineStr">
        <is>
          <t>UPPSALA</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14022-2021</t>
        </is>
      </c>
      <c r="B1831" s="1" t="n">
        <v>44277</v>
      </c>
      <c r="C1831" s="1" t="n">
        <v>45846</v>
      </c>
      <c r="D1831" t="inlineStr">
        <is>
          <t>UPPSALA LÄN</t>
        </is>
      </c>
      <c r="E1831" t="inlineStr">
        <is>
          <t>UPPSALA</t>
        </is>
      </c>
      <c r="G1831" t="n">
        <v>11.1</v>
      </c>
      <c r="H1831" t="n">
        <v>0</v>
      </c>
      <c r="I1831" t="n">
        <v>0</v>
      </c>
      <c r="J1831" t="n">
        <v>0</v>
      </c>
      <c r="K1831" t="n">
        <v>0</v>
      </c>
      <c r="L1831" t="n">
        <v>0</v>
      </c>
      <c r="M1831" t="n">
        <v>0</v>
      </c>
      <c r="N1831" t="n">
        <v>0</v>
      </c>
      <c r="O1831" t="n">
        <v>0</v>
      </c>
      <c r="P1831" t="n">
        <v>0</v>
      </c>
      <c r="Q1831" t="n">
        <v>0</v>
      </c>
      <c r="R1831" s="2" t="inlineStr"/>
    </row>
    <row r="1832" ht="15" customHeight="1">
      <c r="A1832" t="inlineStr">
        <is>
          <t>A 14248-2021</t>
        </is>
      </c>
      <c r="B1832" s="1" t="n">
        <v>44278</v>
      </c>
      <c r="C1832" s="1" t="n">
        <v>45846</v>
      </c>
      <c r="D1832" t="inlineStr">
        <is>
          <t>UPPSALA LÄN</t>
        </is>
      </c>
      <c r="E1832" t="inlineStr">
        <is>
          <t>ÖSTHAMMAR</t>
        </is>
      </c>
      <c r="F1832" t="inlineStr">
        <is>
          <t>Övriga Aktiebolag</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14306-2021</t>
        </is>
      </c>
      <c r="B1833" s="1" t="n">
        <v>44278</v>
      </c>
      <c r="C1833" s="1" t="n">
        <v>45846</v>
      </c>
      <c r="D1833" t="inlineStr">
        <is>
          <t>UPPSALA LÄN</t>
        </is>
      </c>
      <c r="E1833" t="inlineStr">
        <is>
          <t>HEBY</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14341-2021</t>
        </is>
      </c>
      <c r="B1834" s="1" t="n">
        <v>44279</v>
      </c>
      <c r="C1834" s="1" t="n">
        <v>45846</v>
      </c>
      <c r="D1834" t="inlineStr">
        <is>
          <t>UPPSALA LÄN</t>
        </is>
      </c>
      <c r="E1834" t="inlineStr">
        <is>
          <t>UPPSALA</t>
        </is>
      </c>
      <c r="G1834" t="n">
        <v>8.9</v>
      </c>
      <c r="H1834" t="n">
        <v>0</v>
      </c>
      <c r="I1834" t="n">
        <v>0</v>
      </c>
      <c r="J1834" t="n">
        <v>0</v>
      </c>
      <c r="K1834" t="n">
        <v>0</v>
      </c>
      <c r="L1834" t="n">
        <v>0</v>
      </c>
      <c r="M1834" t="n">
        <v>0</v>
      </c>
      <c r="N1834" t="n">
        <v>0</v>
      </c>
      <c r="O1834" t="n">
        <v>0</v>
      </c>
      <c r="P1834" t="n">
        <v>0</v>
      </c>
      <c r="Q1834" t="n">
        <v>0</v>
      </c>
      <c r="R1834" s="2" t="inlineStr"/>
    </row>
    <row r="1835" ht="15" customHeight="1">
      <c r="A1835" t="inlineStr">
        <is>
          <t>A 14386-2021</t>
        </is>
      </c>
      <c r="B1835" s="1" t="n">
        <v>44279</v>
      </c>
      <c r="C1835" s="1" t="n">
        <v>45846</v>
      </c>
      <c r="D1835" t="inlineStr">
        <is>
          <t>UPPSALA LÄN</t>
        </is>
      </c>
      <c r="E1835" t="inlineStr">
        <is>
          <t>HEBY</t>
        </is>
      </c>
      <c r="F1835" t="inlineStr">
        <is>
          <t>Sveaskog</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14525-2021</t>
        </is>
      </c>
      <c r="B1836" s="1" t="n">
        <v>44279</v>
      </c>
      <c r="C1836" s="1" t="n">
        <v>45846</v>
      </c>
      <c r="D1836" t="inlineStr">
        <is>
          <t>UPPSALA LÄN</t>
        </is>
      </c>
      <c r="E1836" t="inlineStr">
        <is>
          <t>ÖSTHAMMAR</t>
        </is>
      </c>
      <c r="F1836" t="inlineStr">
        <is>
          <t>Bergvik skog öst AB</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14840-2021</t>
        </is>
      </c>
      <c r="B1837" s="1" t="n">
        <v>44280</v>
      </c>
      <c r="C1837" s="1" t="n">
        <v>45846</v>
      </c>
      <c r="D1837" t="inlineStr">
        <is>
          <t>UPPSALA LÄN</t>
        </is>
      </c>
      <c r="E1837" t="inlineStr">
        <is>
          <t>ENKÖPING</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14841-2021</t>
        </is>
      </c>
      <c r="B1838" s="1" t="n">
        <v>44280</v>
      </c>
      <c r="C1838" s="1" t="n">
        <v>45846</v>
      </c>
      <c r="D1838" t="inlineStr">
        <is>
          <t>UPPSALA LÄN</t>
        </is>
      </c>
      <c r="E1838" t="inlineStr">
        <is>
          <t>ENKÖPING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14843-2021</t>
        </is>
      </c>
      <c r="B1839" s="1" t="n">
        <v>44280</v>
      </c>
      <c r="C1839" s="1" t="n">
        <v>45846</v>
      </c>
      <c r="D1839" t="inlineStr">
        <is>
          <t>UPPSALA LÄN</t>
        </is>
      </c>
      <c r="E1839" t="inlineStr">
        <is>
          <t>HEBY</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14839-2021</t>
        </is>
      </c>
      <c r="B1840" s="1" t="n">
        <v>44280</v>
      </c>
      <c r="C1840" s="1" t="n">
        <v>45846</v>
      </c>
      <c r="D1840" t="inlineStr">
        <is>
          <t>UPPSALA LÄN</t>
        </is>
      </c>
      <c r="E1840" t="inlineStr">
        <is>
          <t>ENKÖPING</t>
        </is>
      </c>
      <c r="G1840" t="n">
        <v>11.4</v>
      </c>
      <c r="H1840" t="n">
        <v>0</v>
      </c>
      <c r="I1840" t="n">
        <v>0</v>
      </c>
      <c r="J1840" t="n">
        <v>0</v>
      </c>
      <c r="K1840" t="n">
        <v>0</v>
      </c>
      <c r="L1840" t="n">
        <v>0</v>
      </c>
      <c r="M1840" t="n">
        <v>0</v>
      </c>
      <c r="N1840" t="n">
        <v>0</v>
      </c>
      <c r="O1840" t="n">
        <v>0</v>
      </c>
      <c r="P1840" t="n">
        <v>0</v>
      </c>
      <c r="Q1840" t="n">
        <v>0</v>
      </c>
      <c r="R1840" s="2" t="inlineStr"/>
    </row>
    <row r="1841" ht="15" customHeight="1">
      <c r="A1841" t="inlineStr">
        <is>
          <t>A 14934-2021</t>
        </is>
      </c>
      <c r="B1841" s="1" t="n">
        <v>44281</v>
      </c>
      <c r="C1841" s="1" t="n">
        <v>45846</v>
      </c>
      <c r="D1841" t="inlineStr">
        <is>
          <t>UPPSALA LÄN</t>
        </is>
      </c>
      <c r="E1841" t="inlineStr">
        <is>
          <t>TIERP</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14941-2021</t>
        </is>
      </c>
      <c r="B1842" s="1" t="n">
        <v>44281</v>
      </c>
      <c r="C1842" s="1" t="n">
        <v>45846</v>
      </c>
      <c r="D1842" t="inlineStr">
        <is>
          <t>UPPSALA LÄN</t>
        </is>
      </c>
      <c r="E1842" t="inlineStr">
        <is>
          <t>UPPSALA</t>
        </is>
      </c>
      <c r="F1842" t="inlineStr">
        <is>
          <t>Holmen skog AB</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15298-2021</t>
        </is>
      </c>
      <c r="B1843" s="1" t="n">
        <v>44284</v>
      </c>
      <c r="C1843" s="1" t="n">
        <v>45846</v>
      </c>
      <c r="D1843" t="inlineStr">
        <is>
          <t>UPPSALA LÄN</t>
        </is>
      </c>
      <c r="E1843" t="inlineStr">
        <is>
          <t>ENKÖPING</t>
        </is>
      </c>
      <c r="G1843" t="n">
        <v>6</v>
      </c>
      <c r="H1843" t="n">
        <v>0</v>
      </c>
      <c r="I1843" t="n">
        <v>0</v>
      </c>
      <c r="J1843" t="n">
        <v>0</v>
      </c>
      <c r="K1843" t="n">
        <v>0</v>
      </c>
      <c r="L1843" t="n">
        <v>0</v>
      </c>
      <c r="M1843" t="n">
        <v>0</v>
      </c>
      <c r="N1843" t="n">
        <v>0</v>
      </c>
      <c r="O1843" t="n">
        <v>0</v>
      </c>
      <c r="P1843" t="n">
        <v>0</v>
      </c>
      <c r="Q1843" t="n">
        <v>0</v>
      </c>
      <c r="R1843" s="2" t="inlineStr"/>
    </row>
    <row r="1844" ht="15" customHeight="1">
      <c r="A1844" t="inlineStr">
        <is>
          <t>A 15481-2021</t>
        </is>
      </c>
      <c r="B1844" s="1" t="n">
        <v>44285</v>
      </c>
      <c r="C1844" s="1" t="n">
        <v>45846</v>
      </c>
      <c r="D1844" t="inlineStr">
        <is>
          <t>UPPSALA LÄN</t>
        </is>
      </c>
      <c r="E1844" t="inlineStr">
        <is>
          <t>HEBY</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15485-2021</t>
        </is>
      </c>
      <c r="B1845" s="1" t="n">
        <v>44285</v>
      </c>
      <c r="C1845" s="1" t="n">
        <v>45846</v>
      </c>
      <c r="D1845" t="inlineStr">
        <is>
          <t>UPPSALA LÄN</t>
        </is>
      </c>
      <c r="E1845" t="inlineStr">
        <is>
          <t>HEBY</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15587-2021</t>
        </is>
      </c>
      <c r="B1846" s="1" t="n">
        <v>44285</v>
      </c>
      <c r="C1846" s="1" t="n">
        <v>45846</v>
      </c>
      <c r="D1846" t="inlineStr">
        <is>
          <t>UPPSALA LÄN</t>
        </is>
      </c>
      <c r="E1846" t="inlineStr">
        <is>
          <t>TIERP</t>
        </is>
      </c>
      <c r="F1846" t="inlineStr">
        <is>
          <t>Bergvik skog väst AB</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15816-2021</t>
        </is>
      </c>
      <c r="B1847" s="1" t="n">
        <v>44286</v>
      </c>
      <c r="C1847" s="1" t="n">
        <v>45846</v>
      </c>
      <c r="D1847" t="inlineStr">
        <is>
          <t>UPPSALA LÄN</t>
        </is>
      </c>
      <c r="E1847" t="inlineStr">
        <is>
          <t>UPPSALA</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15677-2021</t>
        </is>
      </c>
      <c r="B1848" s="1" t="n">
        <v>44286</v>
      </c>
      <c r="C1848" s="1" t="n">
        <v>45846</v>
      </c>
      <c r="D1848" t="inlineStr">
        <is>
          <t>UPPSALA LÄN</t>
        </is>
      </c>
      <c r="E1848" t="inlineStr">
        <is>
          <t>TIERP</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15728-2021</t>
        </is>
      </c>
      <c r="B1849" s="1" t="n">
        <v>44286</v>
      </c>
      <c r="C1849" s="1" t="n">
        <v>45846</v>
      </c>
      <c r="D1849" t="inlineStr">
        <is>
          <t>UPPSALA LÄN</t>
        </is>
      </c>
      <c r="E1849" t="inlineStr">
        <is>
          <t>TIERP</t>
        </is>
      </c>
      <c r="F1849" t="inlineStr">
        <is>
          <t>Bergvik skog öst AB</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15820-2021</t>
        </is>
      </c>
      <c r="B1850" s="1" t="n">
        <v>44286</v>
      </c>
      <c r="C1850" s="1" t="n">
        <v>45846</v>
      </c>
      <c r="D1850" t="inlineStr">
        <is>
          <t>UPPSALA LÄN</t>
        </is>
      </c>
      <c r="E1850" t="inlineStr">
        <is>
          <t>UPPSALA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15997-2021</t>
        </is>
      </c>
      <c r="B1851" s="1" t="n">
        <v>44287</v>
      </c>
      <c r="C1851" s="1" t="n">
        <v>45846</v>
      </c>
      <c r="D1851" t="inlineStr">
        <is>
          <t>UPPSALA LÄN</t>
        </is>
      </c>
      <c r="E1851" t="inlineStr">
        <is>
          <t>ENKÖPING</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16043-2021</t>
        </is>
      </c>
      <c r="B1852" s="1" t="n">
        <v>44287</v>
      </c>
      <c r="C1852" s="1" t="n">
        <v>45846</v>
      </c>
      <c r="D1852" t="inlineStr">
        <is>
          <t>UPPSALA LÄN</t>
        </is>
      </c>
      <c r="E1852" t="inlineStr">
        <is>
          <t>HEBY</t>
        </is>
      </c>
      <c r="G1852" t="n">
        <v>0.1</v>
      </c>
      <c r="H1852" t="n">
        <v>0</v>
      </c>
      <c r="I1852" t="n">
        <v>0</v>
      </c>
      <c r="J1852" t="n">
        <v>0</v>
      </c>
      <c r="K1852" t="n">
        <v>0</v>
      </c>
      <c r="L1852" t="n">
        <v>0</v>
      </c>
      <c r="M1852" t="n">
        <v>0</v>
      </c>
      <c r="N1852" t="n">
        <v>0</v>
      </c>
      <c r="O1852" t="n">
        <v>0</v>
      </c>
      <c r="P1852" t="n">
        <v>0</v>
      </c>
      <c r="Q1852" t="n">
        <v>0</v>
      </c>
      <c r="R1852" s="2" t="inlineStr"/>
    </row>
    <row r="1853" ht="15" customHeight="1">
      <c r="A1853" t="inlineStr">
        <is>
          <t>A 16212-2021</t>
        </is>
      </c>
      <c r="B1853" s="1" t="n">
        <v>44287</v>
      </c>
      <c r="C1853" s="1" t="n">
        <v>45846</v>
      </c>
      <c r="D1853" t="inlineStr">
        <is>
          <t>UPPSALA LÄN</t>
        </is>
      </c>
      <c r="E1853" t="inlineStr">
        <is>
          <t>ÖSTHAMMAR</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16209-2021</t>
        </is>
      </c>
      <c r="B1854" s="1" t="n">
        <v>44287</v>
      </c>
      <c r="C1854" s="1" t="n">
        <v>45846</v>
      </c>
      <c r="D1854" t="inlineStr">
        <is>
          <t>UPPSALA LÄN</t>
        </is>
      </c>
      <c r="E1854" t="inlineStr">
        <is>
          <t>ÖSTHAMMAR</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16106-2021</t>
        </is>
      </c>
      <c r="B1855" s="1" t="n">
        <v>44290</v>
      </c>
      <c r="C1855" s="1" t="n">
        <v>45846</v>
      </c>
      <c r="D1855" t="inlineStr">
        <is>
          <t>UPPSALA LÄN</t>
        </is>
      </c>
      <c r="E1855" t="inlineStr">
        <is>
          <t>TIERP</t>
        </is>
      </c>
      <c r="F1855" t="inlineStr">
        <is>
          <t>Bergvik skog väst AB</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16124-2021</t>
        </is>
      </c>
      <c r="B1856" s="1" t="n">
        <v>44291</v>
      </c>
      <c r="C1856" s="1" t="n">
        <v>45846</v>
      </c>
      <c r="D1856" t="inlineStr">
        <is>
          <t>UPPSALA LÄN</t>
        </is>
      </c>
      <c r="E1856" t="inlineStr">
        <is>
          <t>TIERP</t>
        </is>
      </c>
      <c r="F1856" t="inlineStr">
        <is>
          <t>Bergvik skog väst AB</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16463-2021</t>
        </is>
      </c>
      <c r="B1857" s="1" t="n">
        <v>44292</v>
      </c>
      <c r="C1857" s="1" t="n">
        <v>45846</v>
      </c>
      <c r="D1857" t="inlineStr">
        <is>
          <t>UPPSALA LÄN</t>
        </is>
      </c>
      <c r="E1857" t="inlineStr">
        <is>
          <t>HEBY</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16309-2021</t>
        </is>
      </c>
      <c r="B1858" s="1" t="n">
        <v>44292</v>
      </c>
      <c r="C1858" s="1" t="n">
        <v>45846</v>
      </c>
      <c r="D1858" t="inlineStr">
        <is>
          <t>UPPSALA LÄN</t>
        </is>
      </c>
      <c r="E1858" t="inlineStr">
        <is>
          <t>ENKÖPING</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16498-2021</t>
        </is>
      </c>
      <c r="B1859" s="1" t="n">
        <v>44293</v>
      </c>
      <c r="C1859" s="1" t="n">
        <v>45846</v>
      </c>
      <c r="D1859" t="inlineStr">
        <is>
          <t>UPPSALA LÄN</t>
        </is>
      </c>
      <c r="E1859" t="inlineStr">
        <is>
          <t>ENKÖPING</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16494-2021</t>
        </is>
      </c>
      <c r="B1860" s="1" t="n">
        <v>44293</v>
      </c>
      <c r="C1860" s="1" t="n">
        <v>45846</v>
      </c>
      <c r="D1860" t="inlineStr">
        <is>
          <t>UPPSALA LÄN</t>
        </is>
      </c>
      <c r="E1860" t="inlineStr">
        <is>
          <t>HEBY</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16592-2021</t>
        </is>
      </c>
      <c r="B1861" s="1" t="n">
        <v>44294</v>
      </c>
      <c r="C1861" s="1" t="n">
        <v>45846</v>
      </c>
      <c r="D1861" t="inlineStr">
        <is>
          <t>UPPSALA LÄN</t>
        </is>
      </c>
      <c r="E1861" t="inlineStr">
        <is>
          <t>UPPSALA</t>
        </is>
      </c>
      <c r="F1861" t="inlineStr">
        <is>
          <t>Övriga Aktiebolag</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16615-2021</t>
        </is>
      </c>
      <c r="B1862" s="1" t="n">
        <v>44294</v>
      </c>
      <c r="C1862" s="1" t="n">
        <v>45846</v>
      </c>
      <c r="D1862" t="inlineStr">
        <is>
          <t>UPPSALA LÄN</t>
        </is>
      </c>
      <c r="E1862" t="inlineStr">
        <is>
          <t>UPPSALA</t>
        </is>
      </c>
      <c r="F1862" t="inlineStr">
        <is>
          <t>Övriga Aktiebolag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16683-2021</t>
        </is>
      </c>
      <c r="B1863" s="1" t="n">
        <v>44294</v>
      </c>
      <c r="C1863" s="1" t="n">
        <v>45846</v>
      </c>
      <c r="D1863" t="inlineStr">
        <is>
          <t>UPPSALA LÄN</t>
        </is>
      </c>
      <c r="E1863" t="inlineStr">
        <is>
          <t>ENKÖPING</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16684-2021</t>
        </is>
      </c>
      <c r="B1864" s="1" t="n">
        <v>44294</v>
      </c>
      <c r="C1864" s="1" t="n">
        <v>45846</v>
      </c>
      <c r="D1864" t="inlineStr">
        <is>
          <t>UPPSALA LÄN</t>
        </is>
      </c>
      <c r="E1864" t="inlineStr">
        <is>
          <t>UPPSALA</t>
        </is>
      </c>
      <c r="F1864" t="inlineStr">
        <is>
          <t>Övriga Aktiebolag</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17009-2021</t>
        </is>
      </c>
      <c r="B1865" s="1" t="n">
        <v>44295</v>
      </c>
      <c r="C1865" s="1" t="n">
        <v>45846</v>
      </c>
      <c r="D1865" t="inlineStr">
        <is>
          <t>UPPSALA LÄN</t>
        </is>
      </c>
      <c r="E1865" t="inlineStr">
        <is>
          <t>ÖSTHAMMAR</t>
        </is>
      </c>
      <c r="F1865" t="inlineStr">
        <is>
          <t>Bergvik skog öst AB</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17022-2021</t>
        </is>
      </c>
      <c r="B1866" s="1" t="n">
        <v>44295</v>
      </c>
      <c r="C1866" s="1" t="n">
        <v>45846</v>
      </c>
      <c r="D1866" t="inlineStr">
        <is>
          <t>UPPSALA LÄN</t>
        </is>
      </c>
      <c r="E1866" t="inlineStr">
        <is>
          <t>ÖSTHAMMAR</t>
        </is>
      </c>
      <c r="F1866" t="inlineStr">
        <is>
          <t>Bergvik skog öst AB</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17033-2021</t>
        </is>
      </c>
      <c r="B1867" s="1" t="n">
        <v>44295</v>
      </c>
      <c r="C1867" s="1" t="n">
        <v>45846</v>
      </c>
      <c r="D1867" t="inlineStr">
        <is>
          <t>UPPSALA LÄN</t>
        </is>
      </c>
      <c r="E1867" t="inlineStr">
        <is>
          <t>ÖSTHAMMAR</t>
        </is>
      </c>
      <c r="F1867" t="inlineStr">
        <is>
          <t>Bergvik skog öst AB</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17262-2021</t>
        </is>
      </c>
      <c r="B1868" s="1" t="n">
        <v>44297</v>
      </c>
      <c r="C1868" s="1" t="n">
        <v>45846</v>
      </c>
      <c r="D1868" t="inlineStr">
        <is>
          <t>UPPSALA LÄN</t>
        </is>
      </c>
      <c r="E1868" t="inlineStr">
        <is>
          <t>UPPSALA</t>
        </is>
      </c>
      <c r="F1868" t="inlineStr">
        <is>
          <t>Allmännings- och besparingsskogar</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17250-2021</t>
        </is>
      </c>
      <c r="B1869" s="1" t="n">
        <v>44297</v>
      </c>
      <c r="C1869" s="1" t="n">
        <v>45846</v>
      </c>
      <c r="D1869" t="inlineStr">
        <is>
          <t>UPPSALA LÄN</t>
        </is>
      </c>
      <c r="E1869" t="inlineStr">
        <is>
          <t>UPPSALA</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17264-2021</t>
        </is>
      </c>
      <c r="B1870" s="1" t="n">
        <v>44298</v>
      </c>
      <c r="C1870" s="1" t="n">
        <v>45846</v>
      </c>
      <c r="D1870" t="inlineStr">
        <is>
          <t>UPPSALA LÄN</t>
        </is>
      </c>
      <c r="E1870" t="inlineStr">
        <is>
          <t>ENKÖPING</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17268-2021</t>
        </is>
      </c>
      <c r="B1871" s="1" t="n">
        <v>44298</v>
      </c>
      <c r="C1871" s="1" t="n">
        <v>45846</v>
      </c>
      <c r="D1871" t="inlineStr">
        <is>
          <t>UPPSALA LÄN</t>
        </is>
      </c>
      <c r="E1871" t="inlineStr">
        <is>
          <t>ENKÖPING</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17349-2021</t>
        </is>
      </c>
      <c r="B1872" s="1" t="n">
        <v>44298</v>
      </c>
      <c r="C1872" s="1" t="n">
        <v>45846</v>
      </c>
      <c r="D1872" t="inlineStr">
        <is>
          <t>UPPSALA LÄN</t>
        </is>
      </c>
      <c r="E1872" t="inlineStr">
        <is>
          <t>ÖSTHAMMAR</t>
        </is>
      </c>
      <c r="F1872" t="inlineStr">
        <is>
          <t>Bergvik skog öst AB</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17536-2021</t>
        </is>
      </c>
      <c r="B1873" s="1" t="n">
        <v>44299</v>
      </c>
      <c r="C1873" s="1" t="n">
        <v>45846</v>
      </c>
      <c r="D1873" t="inlineStr">
        <is>
          <t>UPPSALA LÄN</t>
        </is>
      </c>
      <c r="E1873" t="inlineStr">
        <is>
          <t>UPPSALA</t>
        </is>
      </c>
      <c r="F1873" t="inlineStr">
        <is>
          <t>Holmen skog AB</t>
        </is>
      </c>
      <c r="G1873" t="n">
        <v>7.6</v>
      </c>
      <c r="H1873" t="n">
        <v>0</v>
      </c>
      <c r="I1873" t="n">
        <v>0</v>
      </c>
      <c r="J1873" t="n">
        <v>0</v>
      </c>
      <c r="K1873" t="n">
        <v>0</v>
      </c>
      <c r="L1873" t="n">
        <v>0</v>
      </c>
      <c r="M1873" t="n">
        <v>0</v>
      </c>
      <c r="N1873" t="n">
        <v>0</v>
      </c>
      <c r="O1873" t="n">
        <v>0</v>
      </c>
      <c r="P1873" t="n">
        <v>0</v>
      </c>
      <c r="Q1873" t="n">
        <v>0</v>
      </c>
      <c r="R1873" s="2" t="inlineStr"/>
    </row>
    <row r="1874" ht="15" customHeight="1">
      <c r="A1874" t="inlineStr">
        <is>
          <t>A 17580-2021</t>
        </is>
      </c>
      <c r="B1874" s="1" t="n">
        <v>44299</v>
      </c>
      <c r="C1874" s="1" t="n">
        <v>45846</v>
      </c>
      <c r="D1874" t="inlineStr">
        <is>
          <t>UPPSALA LÄN</t>
        </is>
      </c>
      <c r="E1874" t="inlineStr">
        <is>
          <t>HEBY</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17747-2021</t>
        </is>
      </c>
      <c r="B1875" s="1" t="n">
        <v>44300</v>
      </c>
      <c r="C1875" s="1" t="n">
        <v>45846</v>
      </c>
      <c r="D1875" t="inlineStr">
        <is>
          <t>UPPSALA LÄN</t>
        </is>
      </c>
      <c r="E1875" t="inlineStr">
        <is>
          <t>HEBY</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18328-2021</t>
        </is>
      </c>
      <c r="B1876" s="1" t="n">
        <v>44305</v>
      </c>
      <c r="C1876" s="1" t="n">
        <v>45846</v>
      </c>
      <c r="D1876" t="inlineStr">
        <is>
          <t>UPPSALA LÄN</t>
        </is>
      </c>
      <c r="E1876" t="inlineStr">
        <is>
          <t>ENKÖPING</t>
        </is>
      </c>
      <c r="G1876" t="n">
        <v>9.4</v>
      </c>
      <c r="H1876" t="n">
        <v>0</v>
      </c>
      <c r="I1876" t="n">
        <v>0</v>
      </c>
      <c r="J1876" t="n">
        <v>0</v>
      </c>
      <c r="K1876" t="n">
        <v>0</v>
      </c>
      <c r="L1876" t="n">
        <v>0</v>
      </c>
      <c r="M1876" t="n">
        <v>0</v>
      </c>
      <c r="N1876" t="n">
        <v>0</v>
      </c>
      <c r="O1876" t="n">
        <v>0</v>
      </c>
      <c r="P1876" t="n">
        <v>0</v>
      </c>
      <c r="Q1876" t="n">
        <v>0</v>
      </c>
      <c r="R1876" s="2" t="inlineStr"/>
    </row>
    <row r="1877" ht="15" customHeight="1">
      <c r="A1877" t="inlineStr">
        <is>
          <t>A 18584-2021</t>
        </is>
      </c>
      <c r="B1877" s="1" t="n">
        <v>44306</v>
      </c>
      <c r="C1877" s="1" t="n">
        <v>45846</v>
      </c>
      <c r="D1877" t="inlineStr">
        <is>
          <t>UPPSALA LÄN</t>
        </is>
      </c>
      <c r="E1877" t="inlineStr">
        <is>
          <t>ENKÖPING</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18592-2021</t>
        </is>
      </c>
      <c r="B1878" s="1" t="n">
        <v>44306</v>
      </c>
      <c r="C1878" s="1" t="n">
        <v>45846</v>
      </c>
      <c r="D1878" t="inlineStr">
        <is>
          <t>UPPSALA LÄN</t>
        </is>
      </c>
      <c r="E1878" t="inlineStr">
        <is>
          <t>ENKÖPING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18583-2021</t>
        </is>
      </c>
      <c r="B1879" s="1" t="n">
        <v>44306</v>
      </c>
      <c r="C1879" s="1" t="n">
        <v>45846</v>
      </c>
      <c r="D1879" t="inlineStr">
        <is>
          <t>UPPSALA LÄN</t>
        </is>
      </c>
      <c r="E1879" t="inlineStr">
        <is>
          <t>ENKÖPING</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18897-2021</t>
        </is>
      </c>
      <c r="B1880" s="1" t="n">
        <v>44308</v>
      </c>
      <c r="C1880" s="1" t="n">
        <v>45846</v>
      </c>
      <c r="D1880" t="inlineStr">
        <is>
          <t>UPPSALA LÄN</t>
        </is>
      </c>
      <c r="E1880" t="inlineStr">
        <is>
          <t>KNIVSTA</t>
        </is>
      </c>
      <c r="F1880" t="inlineStr">
        <is>
          <t>Holmen skog AB</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18906-2021</t>
        </is>
      </c>
      <c r="B1881" s="1" t="n">
        <v>44308</v>
      </c>
      <c r="C1881" s="1" t="n">
        <v>45846</v>
      </c>
      <c r="D1881" t="inlineStr">
        <is>
          <t>UPPSALA LÄN</t>
        </is>
      </c>
      <c r="E1881" t="inlineStr">
        <is>
          <t>UPPSALA</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18944-2021</t>
        </is>
      </c>
      <c r="B1882" s="1" t="n">
        <v>44308</v>
      </c>
      <c r="C1882" s="1" t="n">
        <v>45846</v>
      </c>
      <c r="D1882" t="inlineStr">
        <is>
          <t>UPPSALA LÄN</t>
        </is>
      </c>
      <c r="E1882" t="inlineStr">
        <is>
          <t>ÖSTHAMMAR</t>
        </is>
      </c>
      <c r="F1882" t="inlineStr">
        <is>
          <t>Bergvik skog öst AB</t>
        </is>
      </c>
      <c r="G1882" t="n">
        <v>12.5</v>
      </c>
      <c r="H1882" t="n">
        <v>0</v>
      </c>
      <c r="I1882" t="n">
        <v>0</v>
      </c>
      <c r="J1882" t="n">
        <v>0</v>
      </c>
      <c r="K1882" t="n">
        <v>0</v>
      </c>
      <c r="L1882" t="n">
        <v>0</v>
      </c>
      <c r="M1882" t="n">
        <v>0</v>
      </c>
      <c r="N1882" t="n">
        <v>0</v>
      </c>
      <c r="O1882" t="n">
        <v>0</v>
      </c>
      <c r="P1882" t="n">
        <v>0</v>
      </c>
      <c r="Q1882" t="n">
        <v>0</v>
      </c>
      <c r="R1882" s="2" t="inlineStr"/>
    </row>
    <row r="1883" ht="15" customHeight="1">
      <c r="A1883" t="inlineStr">
        <is>
          <t>A 18982-2021</t>
        </is>
      </c>
      <c r="B1883" s="1" t="n">
        <v>44308</v>
      </c>
      <c r="C1883" s="1" t="n">
        <v>45846</v>
      </c>
      <c r="D1883" t="inlineStr">
        <is>
          <t>UPPSALA LÄN</t>
        </is>
      </c>
      <c r="E1883" t="inlineStr">
        <is>
          <t>HEBY</t>
        </is>
      </c>
      <c r="F1883" t="inlineStr">
        <is>
          <t>Kommuner</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18996-2021</t>
        </is>
      </c>
      <c r="B1884" s="1" t="n">
        <v>44308</v>
      </c>
      <c r="C1884" s="1" t="n">
        <v>45846</v>
      </c>
      <c r="D1884" t="inlineStr">
        <is>
          <t>UPPSALA LÄN</t>
        </is>
      </c>
      <c r="E1884" t="inlineStr">
        <is>
          <t>TIERP</t>
        </is>
      </c>
      <c r="F1884" t="inlineStr">
        <is>
          <t>Bergvik skog väst AB</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20326-2021</t>
        </is>
      </c>
      <c r="B1885" s="1" t="n">
        <v>44308</v>
      </c>
      <c r="C1885" s="1" t="n">
        <v>45846</v>
      </c>
      <c r="D1885" t="inlineStr">
        <is>
          <t>UPPSALA LÄN</t>
        </is>
      </c>
      <c r="E1885" t="inlineStr">
        <is>
          <t>ÖSTHAMMAR</t>
        </is>
      </c>
      <c r="G1885" t="n">
        <v>7.8</v>
      </c>
      <c r="H1885" t="n">
        <v>0</v>
      </c>
      <c r="I1885" t="n">
        <v>0</v>
      </c>
      <c r="J1885" t="n">
        <v>0</v>
      </c>
      <c r="K1885" t="n">
        <v>0</v>
      </c>
      <c r="L1885" t="n">
        <v>0</v>
      </c>
      <c r="M1885" t="n">
        <v>0</v>
      </c>
      <c r="N1885" t="n">
        <v>0</v>
      </c>
      <c r="O1885" t="n">
        <v>0</v>
      </c>
      <c r="P1885" t="n">
        <v>0</v>
      </c>
      <c r="Q1885" t="n">
        <v>0</v>
      </c>
      <c r="R1885" s="2" t="inlineStr"/>
    </row>
    <row r="1886" ht="15" customHeight="1">
      <c r="A1886" t="inlineStr">
        <is>
          <t>A 20325-2021</t>
        </is>
      </c>
      <c r="B1886" s="1" t="n">
        <v>44308</v>
      </c>
      <c r="C1886" s="1" t="n">
        <v>45846</v>
      </c>
      <c r="D1886" t="inlineStr">
        <is>
          <t>UPPSALA LÄN</t>
        </is>
      </c>
      <c r="E1886" t="inlineStr">
        <is>
          <t>ÖSTHAMMAR</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20324-2021</t>
        </is>
      </c>
      <c r="B1887" s="1" t="n">
        <v>44308</v>
      </c>
      <c r="C1887" s="1" t="n">
        <v>45846</v>
      </c>
      <c r="D1887" t="inlineStr">
        <is>
          <t>UPPSALA LÄN</t>
        </is>
      </c>
      <c r="E1887" t="inlineStr">
        <is>
          <t>ÖSTHAMMAR</t>
        </is>
      </c>
      <c r="G1887" t="n">
        <v>8.800000000000001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19214-2021</t>
        </is>
      </c>
      <c r="B1888" s="1" t="n">
        <v>44309</v>
      </c>
      <c r="C1888" s="1" t="n">
        <v>45846</v>
      </c>
      <c r="D1888" t="inlineStr">
        <is>
          <t>UPPSALA LÄN</t>
        </is>
      </c>
      <c r="E1888" t="inlineStr">
        <is>
          <t>ÖSTHAMMAR</t>
        </is>
      </c>
      <c r="F1888" t="inlineStr">
        <is>
          <t>Bergvik skog öst AB</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19268-2021</t>
        </is>
      </c>
      <c r="B1889" s="1" t="n">
        <v>44309</v>
      </c>
      <c r="C1889" s="1" t="n">
        <v>45846</v>
      </c>
      <c r="D1889" t="inlineStr">
        <is>
          <t>UPPSALA LÄN</t>
        </is>
      </c>
      <c r="E1889" t="inlineStr">
        <is>
          <t>HEBY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19630-2021</t>
        </is>
      </c>
      <c r="B1890" s="1" t="n">
        <v>44312</v>
      </c>
      <c r="C1890" s="1" t="n">
        <v>45846</v>
      </c>
      <c r="D1890" t="inlineStr">
        <is>
          <t>UPPSALA LÄN</t>
        </is>
      </c>
      <c r="E1890" t="inlineStr">
        <is>
          <t>ENKÖPING</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19552-2021</t>
        </is>
      </c>
      <c r="B1891" s="1" t="n">
        <v>44312</v>
      </c>
      <c r="C1891" s="1" t="n">
        <v>45846</v>
      </c>
      <c r="D1891" t="inlineStr">
        <is>
          <t>UPPSALA LÄN</t>
        </is>
      </c>
      <c r="E1891" t="inlineStr">
        <is>
          <t>ÖSTHAMMAR</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19927-2021</t>
        </is>
      </c>
      <c r="B1892" s="1" t="n">
        <v>44313</v>
      </c>
      <c r="C1892" s="1" t="n">
        <v>45846</v>
      </c>
      <c r="D1892" t="inlineStr">
        <is>
          <t>UPPSALA LÄN</t>
        </is>
      </c>
      <c r="E1892" t="inlineStr">
        <is>
          <t>UPPSALA</t>
        </is>
      </c>
      <c r="F1892" t="inlineStr">
        <is>
          <t>Bergvik skog öst AB</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19796-2021</t>
        </is>
      </c>
      <c r="B1893" s="1" t="n">
        <v>44313</v>
      </c>
      <c r="C1893" s="1" t="n">
        <v>45846</v>
      </c>
      <c r="D1893" t="inlineStr">
        <is>
          <t>UPPSALA LÄN</t>
        </is>
      </c>
      <c r="E1893" t="inlineStr">
        <is>
          <t>KNIVSTA</t>
        </is>
      </c>
      <c r="G1893" t="n">
        <v>14.6</v>
      </c>
      <c r="H1893" t="n">
        <v>0</v>
      </c>
      <c r="I1893" t="n">
        <v>0</v>
      </c>
      <c r="J1893" t="n">
        <v>0</v>
      </c>
      <c r="K1893" t="n">
        <v>0</v>
      </c>
      <c r="L1893" t="n">
        <v>0</v>
      </c>
      <c r="M1893" t="n">
        <v>0</v>
      </c>
      <c r="N1893" t="n">
        <v>0</v>
      </c>
      <c r="O1893" t="n">
        <v>0</v>
      </c>
      <c r="P1893" t="n">
        <v>0</v>
      </c>
      <c r="Q1893" t="n">
        <v>0</v>
      </c>
      <c r="R1893" s="2" t="inlineStr"/>
    </row>
    <row r="1894" ht="15" customHeight="1">
      <c r="A1894" t="inlineStr">
        <is>
          <t>A 19947-2021</t>
        </is>
      </c>
      <c r="B1894" s="1" t="n">
        <v>44313</v>
      </c>
      <c r="C1894" s="1" t="n">
        <v>45846</v>
      </c>
      <c r="D1894" t="inlineStr">
        <is>
          <t>UPPSALA LÄN</t>
        </is>
      </c>
      <c r="E1894" t="inlineStr">
        <is>
          <t>UPPSALA</t>
        </is>
      </c>
      <c r="F1894" t="inlineStr">
        <is>
          <t>Bergvik skog öst AB</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20505-2021</t>
        </is>
      </c>
      <c r="B1895" s="1" t="n">
        <v>44313</v>
      </c>
      <c r="C1895" s="1" t="n">
        <v>45846</v>
      </c>
      <c r="D1895" t="inlineStr">
        <is>
          <t>UPPSALA LÄN</t>
        </is>
      </c>
      <c r="E1895" t="inlineStr">
        <is>
          <t>KNIVSTA</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20024-2021</t>
        </is>
      </c>
      <c r="B1896" s="1" t="n">
        <v>44314</v>
      </c>
      <c r="C1896" s="1" t="n">
        <v>45846</v>
      </c>
      <c r="D1896" t="inlineStr">
        <is>
          <t>UPPSALA LÄN</t>
        </is>
      </c>
      <c r="E1896" t="inlineStr">
        <is>
          <t>HEBY</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20067-2021</t>
        </is>
      </c>
      <c r="B1897" s="1" t="n">
        <v>44314</v>
      </c>
      <c r="C1897" s="1" t="n">
        <v>45846</v>
      </c>
      <c r="D1897" t="inlineStr">
        <is>
          <t>UPPSALA LÄN</t>
        </is>
      </c>
      <c r="E1897" t="inlineStr">
        <is>
          <t>ENKÖPING</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20276-2021</t>
        </is>
      </c>
      <c r="B1898" s="1" t="n">
        <v>44314</v>
      </c>
      <c r="C1898" s="1" t="n">
        <v>45846</v>
      </c>
      <c r="D1898" t="inlineStr">
        <is>
          <t>UPPSALA LÄN</t>
        </is>
      </c>
      <c r="E1898" t="inlineStr">
        <is>
          <t>UPPSALA</t>
        </is>
      </c>
      <c r="F1898" t="inlineStr">
        <is>
          <t>Bergvik skog öst AB</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20271-2021</t>
        </is>
      </c>
      <c r="B1899" s="1" t="n">
        <v>44314</v>
      </c>
      <c r="C1899" s="1" t="n">
        <v>45846</v>
      </c>
      <c r="D1899" t="inlineStr">
        <is>
          <t>UPPSALA LÄN</t>
        </is>
      </c>
      <c r="E1899" t="inlineStr">
        <is>
          <t>UPPSALA</t>
        </is>
      </c>
      <c r="F1899" t="inlineStr">
        <is>
          <t>Bergvik skog öst AB</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20230-2021</t>
        </is>
      </c>
      <c r="B1900" s="1" t="n">
        <v>44314</v>
      </c>
      <c r="C1900" s="1" t="n">
        <v>45846</v>
      </c>
      <c r="D1900" t="inlineStr">
        <is>
          <t>UPPSALA LÄN</t>
        </is>
      </c>
      <c r="E1900" t="inlineStr">
        <is>
          <t>HEBY</t>
        </is>
      </c>
      <c r="F1900" t="inlineStr">
        <is>
          <t>Sveaskog</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20301-2021</t>
        </is>
      </c>
      <c r="B1901" s="1" t="n">
        <v>44315</v>
      </c>
      <c r="C1901" s="1" t="n">
        <v>45846</v>
      </c>
      <c r="D1901" t="inlineStr">
        <is>
          <t>UPPSALA LÄN</t>
        </is>
      </c>
      <c r="E1901" t="inlineStr">
        <is>
          <t>HEBY</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20609-2021</t>
        </is>
      </c>
      <c r="B1902" s="1" t="n">
        <v>44316</v>
      </c>
      <c r="C1902" s="1" t="n">
        <v>45846</v>
      </c>
      <c r="D1902" t="inlineStr">
        <is>
          <t>UPPSALA LÄN</t>
        </is>
      </c>
      <c r="E1902" t="inlineStr">
        <is>
          <t>UPPSALA</t>
        </is>
      </c>
      <c r="F1902" t="inlineStr">
        <is>
          <t>Holmen skog AB</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20827-2021</t>
        </is>
      </c>
      <c r="B1903" s="1" t="n">
        <v>44318</v>
      </c>
      <c r="C1903" s="1" t="n">
        <v>45846</v>
      </c>
      <c r="D1903" t="inlineStr">
        <is>
          <t>UPPSALA LÄN</t>
        </is>
      </c>
      <c r="E1903" t="inlineStr">
        <is>
          <t>KNIVSTA</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22057-2021</t>
        </is>
      </c>
      <c r="B1904" s="1" t="n">
        <v>44323</v>
      </c>
      <c r="C1904" s="1" t="n">
        <v>45846</v>
      </c>
      <c r="D1904" t="inlineStr">
        <is>
          <t>UPPSALA LÄN</t>
        </is>
      </c>
      <c r="E1904" t="inlineStr">
        <is>
          <t>ENKÖPING</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22070-2021</t>
        </is>
      </c>
      <c r="B1905" s="1" t="n">
        <v>44323</v>
      </c>
      <c r="C1905" s="1" t="n">
        <v>45846</v>
      </c>
      <c r="D1905" t="inlineStr">
        <is>
          <t>UPPSALA LÄN</t>
        </is>
      </c>
      <c r="E1905" t="inlineStr">
        <is>
          <t>UPPSALA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21967-2021</t>
        </is>
      </c>
      <c r="B1906" s="1" t="n">
        <v>44323</v>
      </c>
      <c r="C1906" s="1" t="n">
        <v>45846</v>
      </c>
      <c r="D1906" t="inlineStr">
        <is>
          <t>UPPSALA LÄN</t>
        </is>
      </c>
      <c r="E1906" t="inlineStr">
        <is>
          <t>TIERP</t>
        </is>
      </c>
      <c r="F1906" t="inlineStr">
        <is>
          <t>Bergvik skog väst AB</t>
        </is>
      </c>
      <c r="G1906" t="n">
        <v>5.3</v>
      </c>
      <c r="H1906" t="n">
        <v>0</v>
      </c>
      <c r="I1906" t="n">
        <v>0</v>
      </c>
      <c r="J1906" t="n">
        <v>0</v>
      </c>
      <c r="K1906" t="n">
        <v>0</v>
      </c>
      <c r="L1906" t="n">
        <v>0</v>
      </c>
      <c r="M1906" t="n">
        <v>0</v>
      </c>
      <c r="N1906" t="n">
        <v>0</v>
      </c>
      <c r="O1906" t="n">
        <v>0</v>
      </c>
      <c r="P1906" t="n">
        <v>0</v>
      </c>
      <c r="Q1906" t="n">
        <v>0</v>
      </c>
      <c r="R1906" s="2" t="inlineStr"/>
    </row>
    <row r="1907" ht="15" customHeight="1">
      <c r="A1907" t="inlineStr">
        <is>
          <t>A 22058-2021</t>
        </is>
      </c>
      <c r="B1907" s="1" t="n">
        <v>44323</v>
      </c>
      <c r="C1907" s="1" t="n">
        <v>45846</v>
      </c>
      <c r="D1907" t="inlineStr">
        <is>
          <t>UPPSALA LÄN</t>
        </is>
      </c>
      <c r="E1907" t="inlineStr">
        <is>
          <t>ENKÖPING</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22709-2021</t>
        </is>
      </c>
      <c r="B1908" s="1" t="n">
        <v>44327</v>
      </c>
      <c r="C1908" s="1" t="n">
        <v>45846</v>
      </c>
      <c r="D1908" t="inlineStr">
        <is>
          <t>UPPSALA LÄN</t>
        </is>
      </c>
      <c r="E1908" t="inlineStr">
        <is>
          <t>ÖSTHAMMAR</t>
        </is>
      </c>
      <c r="F1908" t="inlineStr">
        <is>
          <t>Bergvik skog öst AB</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22946-2021</t>
        </is>
      </c>
      <c r="B1909" s="1" t="n">
        <v>44328</v>
      </c>
      <c r="C1909" s="1" t="n">
        <v>45846</v>
      </c>
      <c r="D1909" t="inlineStr">
        <is>
          <t>UPPSALA LÄN</t>
        </is>
      </c>
      <c r="E1909" t="inlineStr">
        <is>
          <t>UPPSALA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23120-2021</t>
        </is>
      </c>
      <c r="B1910" s="1" t="n">
        <v>44330</v>
      </c>
      <c r="C1910" s="1" t="n">
        <v>45846</v>
      </c>
      <c r="D1910" t="inlineStr">
        <is>
          <t>UPPSALA LÄN</t>
        </is>
      </c>
      <c r="E1910" t="inlineStr">
        <is>
          <t>ÖSTHAMMAR</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23380-2021</t>
        </is>
      </c>
      <c r="B1911" s="1" t="n">
        <v>44333</v>
      </c>
      <c r="C1911" s="1" t="n">
        <v>45846</v>
      </c>
      <c r="D1911" t="inlineStr">
        <is>
          <t>UPPSALA LÄN</t>
        </is>
      </c>
      <c r="E1911" t="inlineStr">
        <is>
          <t>TIERP</t>
        </is>
      </c>
      <c r="F1911" t="inlineStr">
        <is>
          <t>Bergvik skog väst AB</t>
        </is>
      </c>
      <c r="G1911" t="n">
        <v>6.2</v>
      </c>
      <c r="H1911" t="n">
        <v>0</v>
      </c>
      <c r="I1911" t="n">
        <v>0</v>
      </c>
      <c r="J1911" t="n">
        <v>0</v>
      </c>
      <c r="K1911" t="n">
        <v>0</v>
      </c>
      <c r="L1911" t="n">
        <v>0</v>
      </c>
      <c r="M1911" t="n">
        <v>0</v>
      </c>
      <c r="N1911" t="n">
        <v>0</v>
      </c>
      <c r="O1911" t="n">
        <v>0</v>
      </c>
      <c r="P1911" t="n">
        <v>0</v>
      </c>
      <c r="Q1911" t="n">
        <v>0</v>
      </c>
      <c r="R1911" s="2" t="inlineStr"/>
    </row>
    <row r="1912" ht="15" customHeight="1">
      <c r="A1912" t="inlineStr">
        <is>
          <t>A 23637-2021</t>
        </is>
      </c>
      <c r="B1912" s="1" t="n">
        <v>44334</v>
      </c>
      <c r="C1912" s="1" t="n">
        <v>45846</v>
      </c>
      <c r="D1912" t="inlineStr">
        <is>
          <t>UPPSALA LÄN</t>
        </is>
      </c>
      <c r="E1912" t="inlineStr">
        <is>
          <t>HEBY</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23828-2021</t>
        </is>
      </c>
      <c r="B1913" s="1" t="n">
        <v>44335</v>
      </c>
      <c r="C1913" s="1" t="n">
        <v>45846</v>
      </c>
      <c r="D1913" t="inlineStr">
        <is>
          <t>UPPSALA LÄN</t>
        </is>
      </c>
      <c r="E1913" t="inlineStr">
        <is>
          <t>TIERP</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23835-2021</t>
        </is>
      </c>
      <c r="B1914" s="1" t="n">
        <v>44335</v>
      </c>
      <c r="C1914" s="1" t="n">
        <v>45846</v>
      </c>
      <c r="D1914" t="inlineStr">
        <is>
          <t>UPPSALA LÄN</t>
        </is>
      </c>
      <c r="E1914" t="inlineStr">
        <is>
          <t>TIERP</t>
        </is>
      </c>
      <c r="F1914" t="inlineStr">
        <is>
          <t>Bergvik skog väst AB</t>
        </is>
      </c>
      <c r="G1914" t="n">
        <v>6.2</v>
      </c>
      <c r="H1914" t="n">
        <v>0</v>
      </c>
      <c r="I1914" t="n">
        <v>0</v>
      </c>
      <c r="J1914" t="n">
        <v>0</v>
      </c>
      <c r="K1914" t="n">
        <v>0</v>
      </c>
      <c r="L1914" t="n">
        <v>0</v>
      </c>
      <c r="M1914" t="n">
        <v>0</v>
      </c>
      <c r="N1914" t="n">
        <v>0</v>
      </c>
      <c r="O1914" t="n">
        <v>0</v>
      </c>
      <c r="P1914" t="n">
        <v>0</v>
      </c>
      <c r="Q1914" t="n">
        <v>0</v>
      </c>
      <c r="R1914" s="2" t="inlineStr"/>
    </row>
    <row r="1915" ht="15" customHeight="1">
      <c r="A1915" t="inlineStr">
        <is>
          <t>A 23877-2021</t>
        </is>
      </c>
      <c r="B1915" s="1" t="n">
        <v>44335</v>
      </c>
      <c r="C1915" s="1" t="n">
        <v>45846</v>
      </c>
      <c r="D1915" t="inlineStr">
        <is>
          <t>UPPSALA LÄN</t>
        </is>
      </c>
      <c r="E1915" t="inlineStr">
        <is>
          <t>UPPSALA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24062-2021</t>
        </is>
      </c>
      <c r="B1916" s="1" t="n">
        <v>44336</v>
      </c>
      <c r="C1916" s="1" t="n">
        <v>45846</v>
      </c>
      <c r="D1916" t="inlineStr">
        <is>
          <t>UPPSALA LÄN</t>
        </is>
      </c>
      <c r="E1916" t="inlineStr">
        <is>
          <t>ÖSTHAMMAR</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24278-2021</t>
        </is>
      </c>
      <c r="B1917" s="1" t="n">
        <v>44337</v>
      </c>
      <c r="C1917" s="1" t="n">
        <v>45846</v>
      </c>
      <c r="D1917" t="inlineStr">
        <is>
          <t>UPPSALA LÄN</t>
        </is>
      </c>
      <c r="E1917" t="inlineStr">
        <is>
          <t>TIERP</t>
        </is>
      </c>
      <c r="F1917" t="inlineStr">
        <is>
          <t>Bergvik skog väst AB</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24276-2021</t>
        </is>
      </c>
      <c r="B1918" s="1" t="n">
        <v>44337</v>
      </c>
      <c r="C1918" s="1" t="n">
        <v>45846</v>
      </c>
      <c r="D1918" t="inlineStr">
        <is>
          <t>UPPSALA LÄN</t>
        </is>
      </c>
      <c r="E1918" t="inlineStr">
        <is>
          <t>TIERP</t>
        </is>
      </c>
      <c r="F1918" t="inlineStr">
        <is>
          <t>Bergvik skog väst AB</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24316-2021</t>
        </is>
      </c>
      <c r="B1919" s="1" t="n">
        <v>44337</v>
      </c>
      <c r="C1919" s="1" t="n">
        <v>45846</v>
      </c>
      <c r="D1919" t="inlineStr">
        <is>
          <t>UPPSALA LÄN</t>
        </is>
      </c>
      <c r="E1919" t="inlineStr">
        <is>
          <t>ÖSTHAMMAR</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24431-2021</t>
        </is>
      </c>
      <c r="B1920" s="1" t="n">
        <v>44337</v>
      </c>
      <c r="C1920" s="1" t="n">
        <v>45846</v>
      </c>
      <c r="D1920" t="inlineStr">
        <is>
          <t>UPPSALA LÄN</t>
        </is>
      </c>
      <c r="E1920" t="inlineStr">
        <is>
          <t>TIERP</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24399-2021</t>
        </is>
      </c>
      <c r="B1921" s="1" t="n">
        <v>44337</v>
      </c>
      <c r="C1921" s="1" t="n">
        <v>45846</v>
      </c>
      <c r="D1921" t="inlineStr">
        <is>
          <t>UPPSALA LÄN</t>
        </is>
      </c>
      <c r="E1921" t="inlineStr">
        <is>
          <t>ENKÖPING</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25033-2021</t>
        </is>
      </c>
      <c r="B1922" s="1" t="n">
        <v>44341</v>
      </c>
      <c r="C1922" s="1" t="n">
        <v>45846</v>
      </c>
      <c r="D1922" t="inlineStr">
        <is>
          <t>UPPSALA LÄN</t>
        </is>
      </c>
      <c r="E1922" t="inlineStr">
        <is>
          <t>ÖSTHAMMAR</t>
        </is>
      </c>
      <c r="F1922" t="inlineStr">
        <is>
          <t>Bergvik skog öst AB</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25378-2021</t>
        </is>
      </c>
      <c r="B1923" s="1" t="n">
        <v>44342</v>
      </c>
      <c r="C1923" s="1" t="n">
        <v>45846</v>
      </c>
      <c r="D1923" t="inlineStr">
        <is>
          <t>UPPSALA LÄN</t>
        </is>
      </c>
      <c r="E1923" t="inlineStr">
        <is>
          <t>ÖSTHAMMAR</t>
        </is>
      </c>
      <c r="F1923" t="inlineStr">
        <is>
          <t>Övriga Aktiebolag</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25203-2021</t>
        </is>
      </c>
      <c r="B1924" s="1" t="n">
        <v>44342</v>
      </c>
      <c r="C1924" s="1" t="n">
        <v>45846</v>
      </c>
      <c r="D1924" t="inlineStr">
        <is>
          <t>UPPSALA LÄN</t>
        </is>
      </c>
      <c r="E1924" t="inlineStr">
        <is>
          <t>HEBY</t>
        </is>
      </c>
      <c r="F1924" t="inlineStr">
        <is>
          <t>Sveaskog</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25259-2021</t>
        </is>
      </c>
      <c r="B1925" s="1" t="n">
        <v>44342</v>
      </c>
      <c r="C1925" s="1" t="n">
        <v>45846</v>
      </c>
      <c r="D1925" t="inlineStr">
        <is>
          <t>UPPSALA LÄN</t>
        </is>
      </c>
      <c r="E1925" t="inlineStr">
        <is>
          <t>KNIVSTA</t>
        </is>
      </c>
      <c r="F1925" t="inlineStr">
        <is>
          <t>Holmen skog AB</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25359-2021</t>
        </is>
      </c>
      <c r="B1926" s="1" t="n">
        <v>44342</v>
      </c>
      <c r="C1926" s="1" t="n">
        <v>45846</v>
      </c>
      <c r="D1926" t="inlineStr">
        <is>
          <t>UPPSALA LÄN</t>
        </is>
      </c>
      <c r="E1926" t="inlineStr">
        <is>
          <t>KNIVSTA</t>
        </is>
      </c>
      <c r="F1926" t="inlineStr">
        <is>
          <t>Holmen skog AB</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25395-2021</t>
        </is>
      </c>
      <c r="B1927" s="1" t="n">
        <v>44342</v>
      </c>
      <c r="C1927" s="1" t="n">
        <v>45846</v>
      </c>
      <c r="D1927" t="inlineStr">
        <is>
          <t>UPPSALA LÄN</t>
        </is>
      </c>
      <c r="E1927" t="inlineStr">
        <is>
          <t>ÖSTHAMMAR</t>
        </is>
      </c>
      <c r="F1927" t="inlineStr">
        <is>
          <t>Övriga Aktiebolag</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25613-2021</t>
        </is>
      </c>
      <c r="B1928" s="1" t="n">
        <v>44343</v>
      </c>
      <c r="C1928" s="1" t="n">
        <v>45846</v>
      </c>
      <c r="D1928" t="inlineStr">
        <is>
          <t>UPPSALA LÄN</t>
        </is>
      </c>
      <c r="E1928" t="inlineStr">
        <is>
          <t>UPPSALA</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25598-2021</t>
        </is>
      </c>
      <c r="B1929" s="1" t="n">
        <v>44343</v>
      </c>
      <c r="C1929" s="1" t="n">
        <v>45846</v>
      </c>
      <c r="D1929" t="inlineStr">
        <is>
          <t>UPPSALA LÄN</t>
        </is>
      </c>
      <c r="E1929" t="inlineStr">
        <is>
          <t>ENKÖPING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26301-2021</t>
        </is>
      </c>
      <c r="B1930" s="1" t="n">
        <v>44347</v>
      </c>
      <c r="C1930" s="1" t="n">
        <v>45846</v>
      </c>
      <c r="D1930" t="inlineStr">
        <is>
          <t>UPPSALA LÄN</t>
        </is>
      </c>
      <c r="E1930" t="inlineStr">
        <is>
          <t>TIERP</t>
        </is>
      </c>
      <c r="F1930" t="inlineStr">
        <is>
          <t>Bergvik skog väst AB</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26257-2021</t>
        </is>
      </c>
      <c r="B1931" s="1" t="n">
        <v>44347</v>
      </c>
      <c r="C1931" s="1" t="n">
        <v>45846</v>
      </c>
      <c r="D1931" t="inlineStr">
        <is>
          <t>UPPSALA LÄN</t>
        </is>
      </c>
      <c r="E1931" t="inlineStr">
        <is>
          <t>ÖSTHAMMAR</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26785-2021</t>
        </is>
      </c>
      <c r="B1932" s="1" t="n">
        <v>44349</v>
      </c>
      <c r="C1932" s="1" t="n">
        <v>45846</v>
      </c>
      <c r="D1932" t="inlineStr">
        <is>
          <t>UPPSALA LÄN</t>
        </is>
      </c>
      <c r="E1932" t="inlineStr">
        <is>
          <t>UPPSALA</t>
        </is>
      </c>
      <c r="F1932" t="inlineStr">
        <is>
          <t>Bergvik skog öst AB</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26789-2021</t>
        </is>
      </c>
      <c r="B1933" s="1" t="n">
        <v>44349</v>
      </c>
      <c r="C1933" s="1" t="n">
        <v>45846</v>
      </c>
      <c r="D1933" t="inlineStr">
        <is>
          <t>UPPSALA LÄN</t>
        </is>
      </c>
      <c r="E1933" t="inlineStr">
        <is>
          <t>HEBY</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27365-2021</t>
        </is>
      </c>
      <c r="B1934" s="1" t="n">
        <v>44351</v>
      </c>
      <c r="C1934" s="1" t="n">
        <v>45846</v>
      </c>
      <c r="D1934" t="inlineStr">
        <is>
          <t>UPPSALA LÄN</t>
        </is>
      </c>
      <c r="E1934" t="inlineStr">
        <is>
          <t>UPPSALA</t>
        </is>
      </c>
      <c r="F1934" t="inlineStr">
        <is>
          <t>Allmännings- och besparingsskogar</t>
        </is>
      </c>
      <c r="G1934" t="n">
        <v>20.5</v>
      </c>
      <c r="H1934" t="n">
        <v>0</v>
      </c>
      <c r="I1934" t="n">
        <v>0</v>
      </c>
      <c r="J1934" t="n">
        <v>0</v>
      </c>
      <c r="K1934" t="n">
        <v>0</v>
      </c>
      <c r="L1934" t="n">
        <v>0</v>
      </c>
      <c r="M1934" t="n">
        <v>0</v>
      </c>
      <c r="N1934" t="n">
        <v>0</v>
      </c>
      <c r="O1934" t="n">
        <v>0</v>
      </c>
      <c r="P1934" t="n">
        <v>0</v>
      </c>
      <c r="Q1934" t="n">
        <v>0</v>
      </c>
      <c r="R1934" s="2" t="inlineStr"/>
    </row>
    <row r="1935" ht="15" customHeight="1">
      <c r="A1935" t="inlineStr">
        <is>
          <t>A 27295-2021</t>
        </is>
      </c>
      <c r="B1935" s="1" t="n">
        <v>44351</v>
      </c>
      <c r="C1935" s="1" t="n">
        <v>45846</v>
      </c>
      <c r="D1935" t="inlineStr">
        <is>
          <t>UPPSALA LÄN</t>
        </is>
      </c>
      <c r="E1935" t="inlineStr">
        <is>
          <t>HEBY</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27676-2021</t>
        </is>
      </c>
      <c r="B1936" s="1" t="n">
        <v>44353</v>
      </c>
      <c r="C1936" s="1" t="n">
        <v>45846</v>
      </c>
      <c r="D1936" t="inlineStr">
        <is>
          <t>UPPSALA LÄN</t>
        </is>
      </c>
      <c r="E1936" t="inlineStr">
        <is>
          <t>ENKÖPING</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27650-2021</t>
        </is>
      </c>
      <c r="B1937" s="1" t="n">
        <v>44354</v>
      </c>
      <c r="C1937" s="1" t="n">
        <v>45846</v>
      </c>
      <c r="D1937" t="inlineStr">
        <is>
          <t>UPPSALA LÄN</t>
        </is>
      </c>
      <c r="E1937" t="inlineStr">
        <is>
          <t>HEBY</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27939-2021</t>
        </is>
      </c>
      <c r="B1938" s="1" t="n">
        <v>44354</v>
      </c>
      <c r="C1938" s="1" t="n">
        <v>45846</v>
      </c>
      <c r="D1938" t="inlineStr">
        <is>
          <t>UPPSALA LÄN</t>
        </is>
      </c>
      <c r="E1938" t="inlineStr">
        <is>
          <t>ÖSTHAMMAR</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27940-2021</t>
        </is>
      </c>
      <c r="B1939" s="1" t="n">
        <v>44354</v>
      </c>
      <c r="C1939" s="1" t="n">
        <v>45846</v>
      </c>
      <c r="D1939" t="inlineStr">
        <is>
          <t>UPPSALA LÄN</t>
        </is>
      </c>
      <c r="E1939" t="inlineStr">
        <is>
          <t>ÖSTHAMMAR</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28468-2021</t>
        </is>
      </c>
      <c r="B1940" s="1" t="n">
        <v>44356</v>
      </c>
      <c r="C1940" s="1" t="n">
        <v>45846</v>
      </c>
      <c r="D1940" t="inlineStr">
        <is>
          <t>UPPSALA LÄN</t>
        </is>
      </c>
      <c r="E1940" t="inlineStr">
        <is>
          <t>KNIVSTA</t>
        </is>
      </c>
      <c r="F1940" t="inlineStr">
        <is>
          <t>Holmen skog AB</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28368-2021</t>
        </is>
      </c>
      <c r="B1941" s="1" t="n">
        <v>44356</v>
      </c>
      <c r="C1941" s="1" t="n">
        <v>45846</v>
      </c>
      <c r="D1941" t="inlineStr">
        <is>
          <t>UPPSALA LÄN</t>
        </is>
      </c>
      <c r="E1941" t="inlineStr">
        <is>
          <t>ENKÖPING</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28694-2021</t>
        </is>
      </c>
      <c r="B1942" s="1" t="n">
        <v>44357</v>
      </c>
      <c r="C1942" s="1" t="n">
        <v>45846</v>
      </c>
      <c r="D1942" t="inlineStr">
        <is>
          <t>UPPSALA LÄN</t>
        </is>
      </c>
      <c r="E1942" t="inlineStr">
        <is>
          <t>UPPSALA</t>
        </is>
      </c>
      <c r="F1942" t="inlineStr">
        <is>
          <t>Holmen skog AB</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28777-2021</t>
        </is>
      </c>
      <c r="B1943" s="1" t="n">
        <v>44357</v>
      </c>
      <c r="C1943" s="1" t="n">
        <v>45846</v>
      </c>
      <c r="D1943" t="inlineStr">
        <is>
          <t>UPPSALA LÄN</t>
        </is>
      </c>
      <c r="E1943" t="inlineStr">
        <is>
          <t>HEBY</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28795-2021</t>
        </is>
      </c>
      <c r="B1944" s="1" t="n">
        <v>44357</v>
      </c>
      <c r="C1944" s="1" t="n">
        <v>45846</v>
      </c>
      <c r="D1944" t="inlineStr">
        <is>
          <t>UPPSALA LÄN</t>
        </is>
      </c>
      <c r="E1944" t="inlineStr">
        <is>
          <t>ENKÖPING</t>
        </is>
      </c>
      <c r="F1944" t="inlineStr">
        <is>
          <t>Allmännings- och besparingsskogar</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28834-2021</t>
        </is>
      </c>
      <c r="B1945" s="1" t="n">
        <v>44357</v>
      </c>
      <c r="C1945" s="1" t="n">
        <v>45846</v>
      </c>
      <c r="D1945" t="inlineStr">
        <is>
          <t>UPPSALA LÄN</t>
        </is>
      </c>
      <c r="E1945" t="inlineStr">
        <is>
          <t>TIERP</t>
        </is>
      </c>
      <c r="F1945" t="inlineStr">
        <is>
          <t>Bergvik skog väst AB</t>
        </is>
      </c>
      <c r="G1945" t="n">
        <v>6.1</v>
      </c>
      <c r="H1945" t="n">
        <v>0</v>
      </c>
      <c r="I1945" t="n">
        <v>0</v>
      </c>
      <c r="J1945" t="n">
        <v>0</v>
      </c>
      <c r="K1945" t="n">
        <v>0</v>
      </c>
      <c r="L1945" t="n">
        <v>0</v>
      </c>
      <c r="M1945" t="n">
        <v>0</v>
      </c>
      <c r="N1945" t="n">
        <v>0</v>
      </c>
      <c r="O1945" t="n">
        <v>0</v>
      </c>
      <c r="P1945" t="n">
        <v>0</v>
      </c>
      <c r="Q1945" t="n">
        <v>0</v>
      </c>
      <c r="R1945" s="2" t="inlineStr"/>
    </row>
    <row r="1946" ht="15" customHeight="1">
      <c r="A1946" t="inlineStr">
        <is>
          <t>A 29082-2021</t>
        </is>
      </c>
      <c r="B1946" s="1" t="n">
        <v>44358</v>
      </c>
      <c r="C1946" s="1" t="n">
        <v>45846</v>
      </c>
      <c r="D1946" t="inlineStr">
        <is>
          <t>UPPSALA LÄN</t>
        </is>
      </c>
      <c r="E1946" t="inlineStr">
        <is>
          <t>TIERP</t>
        </is>
      </c>
      <c r="F1946" t="inlineStr">
        <is>
          <t>Bergvik skog väst AB</t>
        </is>
      </c>
      <c r="G1946" t="n">
        <v>6.9</v>
      </c>
      <c r="H1946" t="n">
        <v>0</v>
      </c>
      <c r="I1946" t="n">
        <v>0</v>
      </c>
      <c r="J1946" t="n">
        <v>0</v>
      </c>
      <c r="K1946" t="n">
        <v>0</v>
      </c>
      <c r="L1946" t="n">
        <v>0</v>
      </c>
      <c r="M1946" t="n">
        <v>0</v>
      </c>
      <c r="N1946" t="n">
        <v>0</v>
      </c>
      <c r="O1946" t="n">
        <v>0</v>
      </c>
      <c r="P1946" t="n">
        <v>0</v>
      </c>
      <c r="Q1946" t="n">
        <v>0</v>
      </c>
      <c r="R1946" s="2" t="inlineStr"/>
    </row>
    <row r="1947" ht="15" customHeight="1">
      <c r="A1947" t="inlineStr">
        <is>
          <t>A 29089-2021</t>
        </is>
      </c>
      <c r="B1947" s="1" t="n">
        <v>44358</v>
      </c>
      <c r="C1947" s="1" t="n">
        <v>45846</v>
      </c>
      <c r="D1947" t="inlineStr">
        <is>
          <t>UPPSALA LÄN</t>
        </is>
      </c>
      <c r="E1947" t="inlineStr">
        <is>
          <t>TIERP</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29145-2021</t>
        </is>
      </c>
      <c r="B1948" s="1" t="n">
        <v>44358</v>
      </c>
      <c r="C1948" s="1" t="n">
        <v>45846</v>
      </c>
      <c r="D1948" t="inlineStr">
        <is>
          <t>UPPSALA LÄN</t>
        </is>
      </c>
      <c r="E1948" t="inlineStr">
        <is>
          <t>UPPSALA</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29231-2021</t>
        </is>
      </c>
      <c r="B1949" s="1" t="n">
        <v>44360</v>
      </c>
      <c r="C1949" s="1" t="n">
        <v>45846</v>
      </c>
      <c r="D1949" t="inlineStr">
        <is>
          <t>UPPSALA LÄN</t>
        </is>
      </c>
      <c r="E1949" t="inlineStr">
        <is>
          <t>HEBY</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29282-2021</t>
        </is>
      </c>
      <c r="B1950" s="1" t="n">
        <v>44361</v>
      </c>
      <c r="C1950" s="1" t="n">
        <v>45846</v>
      </c>
      <c r="D1950" t="inlineStr">
        <is>
          <t>UPPSALA LÄN</t>
        </is>
      </c>
      <c r="E1950" t="inlineStr">
        <is>
          <t>ÖSTHAMMAR</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29777-2021</t>
        </is>
      </c>
      <c r="B1951" s="1" t="n">
        <v>44362</v>
      </c>
      <c r="C1951" s="1" t="n">
        <v>45846</v>
      </c>
      <c r="D1951" t="inlineStr">
        <is>
          <t>UPPSALA LÄN</t>
        </is>
      </c>
      <c r="E1951" t="inlineStr">
        <is>
          <t>HEBY</t>
        </is>
      </c>
      <c r="F1951" t="inlineStr">
        <is>
          <t>Bergvik skog väst AB</t>
        </is>
      </c>
      <c r="G1951" t="n">
        <v>6.6</v>
      </c>
      <c r="H1951" t="n">
        <v>0</v>
      </c>
      <c r="I1951" t="n">
        <v>0</v>
      </c>
      <c r="J1951" t="n">
        <v>0</v>
      </c>
      <c r="K1951" t="n">
        <v>0</v>
      </c>
      <c r="L1951" t="n">
        <v>0</v>
      </c>
      <c r="M1951" t="n">
        <v>0</v>
      </c>
      <c r="N1951" t="n">
        <v>0</v>
      </c>
      <c r="O1951" t="n">
        <v>0</v>
      </c>
      <c r="P1951" t="n">
        <v>0</v>
      </c>
      <c r="Q1951" t="n">
        <v>0</v>
      </c>
      <c r="R1951" s="2" t="inlineStr"/>
    </row>
    <row r="1952" ht="15" customHeight="1">
      <c r="A1952" t="inlineStr">
        <is>
          <t>A 29983-2021</t>
        </is>
      </c>
      <c r="B1952" s="1" t="n">
        <v>44363</v>
      </c>
      <c r="C1952" s="1" t="n">
        <v>45846</v>
      </c>
      <c r="D1952" t="inlineStr">
        <is>
          <t>UPPSALA LÄN</t>
        </is>
      </c>
      <c r="E1952" t="inlineStr">
        <is>
          <t>ENKÖPING</t>
        </is>
      </c>
      <c r="F1952" t="inlineStr">
        <is>
          <t>Kommuner</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30304-2021</t>
        </is>
      </c>
      <c r="B1953" s="1" t="n">
        <v>44364</v>
      </c>
      <c r="C1953" s="1" t="n">
        <v>45846</v>
      </c>
      <c r="D1953" t="inlineStr">
        <is>
          <t>UPPSALA LÄN</t>
        </is>
      </c>
      <c r="E1953" t="inlineStr">
        <is>
          <t>HEBY</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30297-2021</t>
        </is>
      </c>
      <c r="B1954" s="1" t="n">
        <v>44364</v>
      </c>
      <c r="C1954" s="1" t="n">
        <v>45846</v>
      </c>
      <c r="D1954" t="inlineStr">
        <is>
          <t>UPPSALA LÄN</t>
        </is>
      </c>
      <c r="E1954" t="inlineStr">
        <is>
          <t>HEBY</t>
        </is>
      </c>
      <c r="F1954" t="inlineStr">
        <is>
          <t>Övriga Aktiebolag</t>
        </is>
      </c>
      <c r="G1954" t="n">
        <v>7.8</v>
      </c>
      <c r="H1954" t="n">
        <v>0</v>
      </c>
      <c r="I1954" t="n">
        <v>0</v>
      </c>
      <c r="J1954" t="n">
        <v>0</v>
      </c>
      <c r="K1954" t="n">
        <v>0</v>
      </c>
      <c r="L1954" t="n">
        <v>0</v>
      </c>
      <c r="M1954" t="n">
        <v>0</v>
      </c>
      <c r="N1954" t="n">
        <v>0</v>
      </c>
      <c r="O1954" t="n">
        <v>0</v>
      </c>
      <c r="P1954" t="n">
        <v>0</v>
      </c>
      <c r="Q1954" t="n">
        <v>0</v>
      </c>
      <c r="R1954" s="2" t="inlineStr"/>
    </row>
    <row r="1955" ht="15" customHeight="1">
      <c r="A1955" t="inlineStr">
        <is>
          <t>A 30293-2021</t>
        </is>
      </c>
      <c r="B1955" s="1" t="n">
        <v>44364</v>
      </c>
      <c r="C1955" s="1" t="n">
        <v>45846</v>
      </c>
      <c r="D1955" t="inlineStr">
        <is>
          <t>UPPSALA LÄN</t>
        </is>
      </c>
      <c r="E1955" t="inlineStr">
        <is>
          <t>HEBY</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30514-2021</t>
        </is>
      </c>
      <c r="B1956" s="1" t="n">
        <v>44364</v>
      </c>
      <c r="C1956" s="1" t="n">
        <v>45846</v>
      </c>
      <c r="D1956" t="inlineStr">
        <is>
          <t>UPPSALA LÄN</t>
        </is>
      </c>
      <c r="E1956" t="inlineStr">
        <is>
          <t>ENKÖPING</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30655-2021</t>
        </is>
      </c>
      <c r="B1957" s="1" t="n">
        <v>44365</v>
      </c>
      <c r="C1957" s="1" t="n">
        <v>45846</v>
      </c>
      <c r="D1957" t="inlineStr">
        <is>
          <t>UPPSALA LÄN</t>
        </is>
      </c>
      <c r="E1957" t="inlineStr">
        <is>
          <t>UPPSALA</t>
        </is>
      </c>
      <c r="F1957" t="inlineStr">
        <is>
          <t>Holmen skog AB</t>
        </is>
      </c>
      <c r="G1957" t="n">
        <v>5.8</v>
      </c>
      <c r="H1957" t="n">
        <v>0</v>
      </c>
      <c r="I1957" t="n">
        <v>0</v>
      </c>
      <c r="J1957" t="n">
        <v>0</v>
      </c>
      <c r="K1957" t="n">
        <v>0</v>
      </c>
      <c r="L1957" t="n">
        <v>0</v>
      </c>
      <c r="M1957" t="n">
        <v>0</v>
      </c>
      <c r="N1957" t="n">
        <v>0</v>
      </c>
      <c r="O1957" t="n">
        <v>0</v>
      </c>
      <c r="P1957" t="n">
        <v>0</v>
      </c>
      <c r="Q1957" t="n">
        <v>0</v>
      </c>
      <c r="R1957" s="2" t="inlineStr"/>
    </row>
    <row r="1958" ht="15" customHeight="1">
      <c r="A1958" t="inlineStr">
        <is>
          <t>A 30656-2021</t>
        </is>
      </c>
      <c r="B1958" s="1" t="n">
        <v>44365</v>
      </c>
      <c r="C1958" s="1" t="n">
        <v>45846</v>
      </c>
      <c r="D1958" t="inlineStr">
        <is>
          <t>UPPSALA LÄN</t>
        </is>
      </c>
      <c r="E1958" t="inlineStr">
        <is>
          <t>UPPSALA</t>
        </is>
      </c>
      <c r="G1958" t="n">
        <v>6.7</v>
      </c>
      <c r="H1958" t="n">
        <v>0</v>
      </c>
      <c r="I1958" t="n">
        <v>0</v>
      </c>
      <c r="J1958" t="n">
        <v>0</v>
      </c>
      <c r="K1958" t="n">
        <v>0</v>
      </c>
      <c r="L1958" t="n">
        <v>0</v>
      </c>
      <c r="M1958" t="n">
        <v>0</v>
      </c>
      <c r="N1958" t="n">
        <v>0</v>
      </c>
      <c r="O1958" t="n">
        <v>0</v>
      </c>
      <c r="P1958" t="n">
        <v>0</v>
      </c>
      <c r="Q1958" t="n">
        <v>0</v>
      </c>
      <c r="R1958" s="2" t="inlineStr"/>
    </row>
    <row r="1959" ht="15" customHeight="1">
      <c r="A1959" t="inlineStr">
        <is>
          <t>A 30742-2021</t>
        </is>
      </c>
      <c r="B1959" s="1" t="n">
        <v>44365</v>
      </c>
      <c r="C1959" s="1" t="n">
        <v>45846</v>
      </c>
      <c r="D1959" t="inlineStr">
        <is>
          <t>UPPSALA LÄN</t>
        </is>
      </c>
      <c r="E1959" t="inlineStr">
        <is>
          <t>TIERP</t>
        </is>
      </c>
      <c r="F1959" t="inlineStr">
        <is>
          <t>Bergvik skog väst AB</t>
        </is>
      </c>
      <c r="G1959" t="n">
        <v>6.5</v>
      </c>
      <c r="H1959" t="n">
        <v>0</v>
      </c>
      <c r="I1959" t="n">
        <v>0</v>
      </c>
      <c r="J1959" t="n">
        <v>0</v>
      </c>
      <c r="K1959" t="n">
        <v>0</v>
      </c>
      <c r="L1959" t="n">
        <v>0</v>
      </c>
      <c r="M1959" t="n">
        <v>0</v>
      </c>
      <c r="N1959" t="n">
        <v>0</v>
      </c>
      <c r="O1959" t="n">
        <v>0</v>
      </c>
      <c r="P1959" t="n">
        <v>0</v>
      </c>
      <c r="Q1959" t="n">
        <v>0</v>
      </c>
      <c r="R1959" s="2" t="inlineStr"/>
    </row>
    <row r="1960" ht="15" customHeight="1">
      <c r="A1960" t="inlineStr">
        <is>
          <t>A 30927-2021</t>
        </is>
      </c>
      <c r="B1960" s="1" t="n">
        <v>44365</v>
      </c>
      <c r="C1960" s="1" t="n">
        <v>45846</v>
      </c>
      <c r="D1960" t="inlineStr">
        <is>
          <t>UPPSALA LÄN</t>
        </is>
      </c>
      <c r="E1960" t="inlineStr">
        <is>
          <t>ÖSTHAMMAR</t>
        </is>
      </c>
      <c r="F1960" t="inlineStr">
        <is>
          <t>Bergvik skog öst AB</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30931-2021</t>
        </is>
      </c>
      <c r="B1961" s="1" t="n">
        <v>44365</v>
      </c>
      <c r="C1961" s="1" t="n">
        <v>45846</v>
      </c>
      <c r="D1961" t="inlineStr">
        <is>
          <t>UPPSALA LÄN</t>
        </is>
      </c>
      <c r="E1961" t="inlineStr">
        <is>
          <t>ÖSTHAMMAR</t>
        </is>
      </c>
      <c r="F1961" t="inlineStr">
        <is>
          <t>Bergvik skog öst AB</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31108-2021</t>
        </is>
      </c>
      <c r="B1962" s="1" t="n">
        <v>44368</v>
      </c>
      <c r="C1962" s="1" t="n">
        <v>45846</v>
      </c>
      <c r="D1962" t="inlineStr">
        <is>
          <t>UPPSALA LÄN</t>
        </is>
      </c>
      <c r="E1962" t="inlineStr">
        <is>
          <t>HEBY</t>
        </is>
      </c>
      <c r="F1962" t="inlineStr">
        <is>
          <t>Bergvik skog öst AB</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31143-2021</t>
        </is>
      </c>
      <c r="B1963" s="1" t="n">
        <v>44368</v>
      </c>
      <c r="C1963" s="1" t="n">
        <v>45846</v>
      </c>
      <c r="D1963" t="inlineStr">
        <is>
          <t>UPPSALA LÄN</t>
        </is>
      </c>
      <c r="E1963" t="inlineStr">
        <is>
          <t>KNIVSTA</t>
        </is>
      </c>
      <c r="G1963" t="n">
        <v>13.1</v>
      </c>
      <c r="H1963" t="n">
        <v>0</v>
      </c>
      <c r="I1963" t="n">
        <v>0</v>
      </c>
      <c r="J1963" t="n">
        <v>0</v>
      </c>
      <c r="K1963" t="n">
        <v>0</v>
      </c>
      <c r="L1963" t="n">
        <v>0</v>
      </c>
      <c r="M1963" t="n">
        <v>0</v>
      </c>
      <c r="N1963" t="n">
        <v>0</v>
      </c>
      <c r="O1963" t="n">
        <v>0</v>
      </c>
      <c r="P1963" t="n">
        <v>0</v>
      </c>
      <c r="Q1963" t="n">
        <v>0</v>
      </c>
      <c r="R1963" s="2" t="inlineStr"/>
    </row>
    <row r="1964" ht="15" customHeight="1">
      <c r="A1964" t="inlineStr">
        <is>
          <t>A 31113-2021</t>
        </is>
      </c>
      <c r="B1964" s="1" t="n">
        <v>44368</v>
      </c>
      <c r="C1964" s="1" t="n">
        <v>45846</v>
      </c>
      <c r="D1964" t="inlineStr">
        <is>
          <t>UPPSALA LÄN</t>
        </is>
      </c>
      <c r="E1964" t="inlineStr">
        <is>
          <t>HEBY</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31099-2021</t>
        </is>
      </c>
      <c r="B1965" s="1" t="n">
        <v>44368</v>
      </c>
      <c r="C1965" s="1" t="n">
        <v>45846</v>
      </c>
      <c r="D1965" t="inlineStr">
        <is>
          <t>UPPSALA LÄN</t>
        </is>
      </c>
      <c r="E1965" t="inlineStr">
        <is>
          <t>TIERP</t>
        </is>
      </c>
      <c r="F1965" t="inlineStr">
        <is>
          <t>Bergvik skog öst AB</t>
        </is>
      </c>
      <c r="G1965" t="n">
        <v>12.6</v>
      </c>
      <c r="H1965" t="n">
        <v>0</v>
      </c>
      <c r="I1965" t="n">
        <v>0</v>
      </c>
      <c r="J1965" t="n">
        <v>0</v>
      </c>
      <c r="K1965" t="n">
        <v>0</v>
      </c>
      <c r="L1965" t="n">
        <v>0</v>
      </c>
      <c r="M1965" t="n">
        <v>0</v>
      </c>
      <c r="N1965" t="n">
        <v>0</v>
      </c>
      <c r="O1965" t="n">
        <v>0</v>
      </c>
      <c r="P1965" t="n">
        <v>0</v>
      </c>
      <c r="Q1965" t="n">
        <v>0</v>
      </c>
      <c r="R1965" s="2" t="inlineStr"/>
    </row>
    <row r="1966" ht="15" customHeight="1">
      <c r="A1966" t="inlineStr">
        <is>
          <t>A 31112-2021</t>
        </is>
      </c>
      <c r="B1966" s="1" t="n">
        <v>44368</v>
      </c>
      <c r="C1966" s="1" t="n">
        <v>45846</v>
      </c>
      <c r="D1966" t="inlineStr">
        <is>
          <t>UPPSALA LÄN</t>
        </is>
      </c>
      <c r="E1966" t="inlineStr">
        <is>
          <t>ENKÖPING</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31263-2021</t>
        </is>
      </c>
      <c r="B1967" s="1" t="n">
        <v>44368</v>
      </c>
      <c r="C1967" s="1" t="n">
        <v>45846</v>
      </c>
      <c r="D1967" t="inlineStr">
        <is>
          <t>UPPSALA LÄN</t>
        </is>
      </c>
      <c r="E1967" t="inlineStr">
        <is>
          <t>ÖSTHAMMAR</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31283-2021</t>
        </is>
      </c>
      <c r="B1968" s="1" t="n">
        <v>44368</v>
      </c>
      <c r="C1968" s="1" t="n">
        <v>45846</v>
      </c>
      <c r="D1968" t="inlineStr">
        <is>
          <t>UPPSALA LÄN</t>
        </is>
      </c>
      <c r="E1968" t="inlineStr">
        <is>
          <t>HEBY</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31646-2021</t>
        </is>
      </c>
      <c r="B1969" s="1" t="n">
        <v>44369</v>
      </c>
      <c r="C1969" s="1" t="n">
        <v>45846</v>
      </c>
      <c r="D1969" t="inlineStr">
        <is>
          <t>UPPSALA LÄN</t>
        </is>
      </c>
      <c r="E1969" t="inlineStr">
        <is>
          <t>UPPSALA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31662-2021</t>
        </is>
      </c>
      <c r="B1970" s="1" t="n">
        <v>44369</v>
      </c>
      <c r="C1970" s="1" t="n">
        <v>45846</v>
      </c>
      <c r="D1970" t="inlineStr">
        <is>
          <t>UPPSALA LÄN</t>
        </is>
      </c>
      <c r="E1970" t="inlineStr">
        <is>
          <t>UPPSALA</t>
        </is>
      </c>
      <c r="F1970" t="inlineStr">
        <is>
          <t>Bergvik skog öst AB</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31829-2021</t>
        </is>
      </c>
      <c r="B1971" s="1" t="n">
        <v>44370</v>
      </c>
      <c r="C1971" s="1" t="n">
        <v>45846</v>
      </c>
      <c r="D1971" t="inlineStr">
        <is>
          <t>UPPSALA LÄN</t>
        </is>
      </c>
      <c r="E1971" t="inlineStr">
        <is>
          <t>UPPSALA</t>
        </is>
      </c>
      <c r="F1971" t="inlineStr">
        <is>
          <t>Bergvik skog öst AB</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31965-2021</t>
        </is>
      </c>
      <c r="B1972" s="1" t="n">
        <v>44370</v>
      </c>
      <c r="C1972" s="1" t="n">
        <v>45846</v>
      </c>
      <c r="D1972" t="inlineStr">
        <is>
          <t>UPPSALA LÄN</t>
        </is>
      </c>
      <c r="E1972" t="inlineStr">
        <is>
          <t>ENKÖPING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32207-2021</t>
        </is>
      </c>
      <c r="B1973" s="1" t="n">
        <v>44371</v>
      </c>
      <c r="C1973" s="1" t="n">
        <v>45846</v>
      </c>
      <c r="D1973" t="inlineStr">
        <is>
          <t>UPPSALA LÄN</t>
        </is>
      </c>
      <c r="E1973" t="inlineStr">
        <is>
          <t>TIERP</t>
        </is>
      </c>
      <c r="F1973" t="inlineStr">
        <is>
          <t>Bergvik skog väst AB</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32276-2021</t>
        </is>
      </c>
      <c r="B1974" s="1" t="n">
        <v>44371</v>
      </c>
      <c r="C1974" s="1" t="n">
        <v>45846</v>
      </c>
      <c r="D1974" t="inlineStr">
        <is>
          <t>UPPSALA LÄN</t>
        </is>
      </c>
      <c r="E1974" t="inlineStr">
        <is>
          <t>UPPSALA</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32221-2021</t>
        </is>
      </c>
      <c r="B1975" s="1" t="n">
        <v>44371</v>
      </c>
      <c r="C1975" s="1" t="n">
        <v>45846</v>
      </c>
      <c r="D1975" t="inlineStr">
        <is>
          <t>UPPSALA LÄN</t>
        </is>
      </c>
      <c r="E1975" t="inlineStr">
        <is>
          <t>HEBY</t>
        </is>
      </c>
      <c r="F1975" t="inlineStr">
        <is>
          <t>Bergvik skog väst AB</t>
        </is>
      </c>
      <c r="G1975" t="n">
        <v>8.300000000000001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32244-2021</t>
        </is>
      </c>
      <c r="B1976" s="1" t="n">
        <v>44371</v>
      </c>
      <c r="C1976" s="1" t="n">
        <v>45846</v>
      </c>
      <c r="D1976" t="inlineStr">
        <is>
          <t>UPPSALA LÄN</t>
        </is>
      </c>
      <c r="E1976" t="inlineStr">
        <is>
          <t>ÖSTHAMMAR</t>
        </is>
      </c>
      <c r="F1976" t="inlineStr">
        <is>
          <t>Bergvik skog öst AB</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32428-2021</t>
        </is>
      </c>
      <c r="B1977" s="1" t="n">
        <v>44371</v>
      </c>
      <c r="C1977" s="1" t="n">
        <v>45846</v>
      </c>
      <c r="D1977" t="inlineStr">
        <is>
          <t>UPPSALA LÄN</t>
        </is>
      </c>
      <c r="E1977" t="inlineStr">
        <is>
          <t>UPPSALA</t>
        </is>
      </c>
      <c r="F1977" t="inlineStr">
        <is>
          <t>Bergvik skog öst AB</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32939-2021</t>
        </is>
      </c>
      <c r="B1978" s="1" t="n">
        <v>44376</v>
      </c>
      <c r="C1978" s="1" t="n">
        <v>45846</v>
      </c>
      <c r="D1978" t="inlineStr">
        <is>
          <t>UPPSALA LÄN</t>
        </is>
      </c>
      <c r="E1978" t="inlineStr">
        <is>
          <t>ÖSTHAMMAR</t>
        </is>
      </c>
      <c r="F1978" t="inlineStr">
        <is>
          <t>Bergvik skog öst AB</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32948-2021</t>
        </is>
      </c>
      <c r="B1979" s="1" t="n">
        <v>44376</v>
      </c>
      <c r="C1979" s="1" t="n">
        <v>45846</v>
      </c>
      <c r="D1979" t="inlineStr">
        <is>
          <t>UPPSALA LÄN</t>
        </is>
      </c>
      <c r="E1979" t="inlineStr">
        <is>
          <t>ÖSTHAMMAR</t>
        </is>
      </c>
      <c r="F1979" t="inlineStr">
        <is>
          <t>Bergvik skog öst AB</t>
        </is>
      </c>
      <c r="G1979" t="n">
        <v>13.5</v>
      </c>
      <c r="H1979" t="n">
        <v>0</v>
      </c>
      <c r="I1979" t="n">
        <v>0</v>
      </c>
      <c r="J1979" t="n">
        <v>0</v>
      </c>
      <c r="K1979" t="n">
        <v>0</v>
      </c>
      <c r="L1979" t="n">
        <v>0</v>
      </c>
      <c r="M1979" t="n">
        <v>0</v>
      </c>
      <c r="N1979" t="n">
        <v>0</v>
      </c>
      <c r="O1979" t="n">
        <v>0</v>
      </c>
      <c r="P1979" t="n">
        <v>0</v>
      </c>
      <c r="Q1979" t="n">
        <v>0</v>
      </c>
      <c r="R1979" s="2" t="inlineStr"/>
    </row>
    <row r="1980" ht="15" customHeight="1">
      <c r="A1980" t="inlineStr">
        <is>
          <t>A 32955-2021</t>
        </is>
      </c>
      <c r="B1980" s="1" t="n">
        <v>44376</v>
      </c>
      <c r="C1980" s="1" t="n">
        <v>45846</v>
      </c>
      <c r="D1980" t="inlineStr">
        <is>
          <t>UPPSALA LÄN</t>
        </is>
      </c>
      <c r="E1980" t="inlineStr">
        <is>
          <t>UPPSALA</t>
        </is>
      </c>
      <c r="F1980" t="inlineStr">
        <is>
          <t>Bergvik skog öst AB</t>
        </is>
      </c>
      <c r="G1980" t="n">
        <v>10</v>
      </c>
      <c r="H1980" t="n">
        <v>0</v>
      </c>
      <c r="I1980" t="n">
        <v>0</v>
      </c>
      <c r="J1980" t="n">
        <v>0</v>
      </c>
      <c r="K1980" t="n">
        <v>0</v>
      </c>
      <c r="L1980" t="n">
        <v>0</v>
      </c>
      <c r="M1980" t="n">
        <v>0</v>
      </c>
      <c r="N1980" t="n">
        <v>0</v>
      </c>
      <c r="O1980" t="n">
        <v>0</v>
      </c>
      <c r="P1980" t="n">
        <v>0</v>
      </c>
      <c r="Q1980" t="n">
        <v>0</v>
      </c>
      <c r="R1980" s="2" t="inlineStr"/>
    </row>
    <row r="1981" ht="15" customHeight="1">
      <c r="A1981" t="inlineStr">
        <is>
          <t>A 33062-2021</t>
        </is>
      </c>
      <c r="B1981" s="1" t="n">
        <v>44376</v>
      </c>
      <c r="C1981" s="1" t="n">
        <v>45846</v>
      </c>
      <c r="D1981" t="inlineStr">
        <is>
          <t>UPPSALA LÄN</t>
        </is>
      </c>
      <c r="E1981" t="inlineStr">
        <is>
          <t>ÖSTHAMMAR</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32975-2021</t>
        </is>
      </c>
      <c r="B1982" s="1" t="n">
        <v>44376</v>
      </c>
      <c r="C1982" s="1" t="n">
        <v>45846</v>
      </c>
      <c r="D1982" t="inlineStr">
        <is>
          <t>UPPSALA LÄN</t>
        </is>
      </c>
      <c r="E1982" t="inlineStr">
        <is>
          <t>KNIVSTA</t>
        </is>
      </c>
      <c r="G1982" t="n">
        <v>6.1</v>
      </c>
      <c r="H1982" t="n">
        <v>0</v>
      </c>
      <c r="I1982" t="n">
        <v>0</v>
      </c>
      <c r="J1982" t="n">
        <v>0</v>
      </c>
      <c r="K1982" t="n">
        <v>0</v>
      </c>
      <c r="L1982" t="n">
        <v>0</v>
      </c>
      <c r="M1982" t="n">
        <v>0</v>
      </c>
      <c r="N1982" t="n">
        <v>0</v>
      </c>
      <c r="O1982" t="n">
        <v>0</v>
      </c>
      <c r="P1982" t="n">
        <v>0</v>
      </c>
      <c r="Q1982" t="n">
        <v>0</v>
      </c>
      <c r="R1982" s="2" t="inlineStr"/>
    </row>
    <row r="1983" ht="15" customHeight="1">
      <c r="A1983" t="inlineStr">
        <is>
          <t>A 32995-2021</t>
        </is>
      </c>
      <c r="B1983" s="1" t="n">
        <v>44376</v>
      </c>
      <c r="C1983" s="1" t="n">
        <v>45846</v>
      </c>
      <c r="D1983" t="inlineStr">
        <is>
          <t>UPPSALA LÄN</t>
        </is>
      </c>
      <c r="E1983" t="inlineStr">
        <is>
          <t>TIERP</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33056-2021</t>
        </is>
      </c>
      <c r="B1984" s="1" t="n">
        <v>44376</v>
      </c>
      <c r="C1984" s="1" t="n">
        <v>45846</v>
      </c>
      <c r="D1984" t="inlineStr">
        <is>
          <t>UPPSALA LÄN</t>
        </is>
      </c>
      <c r="E1984" t="inlineStr">
        <is>
          <t>ÖSTHAMMAR</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33271-2021</t>
        </is>
      </c>
      <c r="B1985" s="1" t="n">
        <v>44377</v>
      </c>
      <c r="C1985" s="1" t="n">
        <v>45846</v>
      </c>
      <c r="D1985" t="inlineStr">
        <is>
          <t>UPPSALA LÄN</t>
        </is>
      </c>
      <c r="E1985" t="inlineStr">
        <is>
          <t>ÖSTHAMMAR</t>
        </is>
      </c>
      <c r="F1985" t="inlineStr">
        <is>
          <t>Bergvik skog öst AB</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33797-2021</t>
        </is>
      </c>
      <c r="B1986" s="1" t="n">
        <v>44378</v>
      </c>
      <c r="C1986" s="1" t="n">
        <v>45846</v>
      </c>
      <c r="D1986" t="inlineStr">
        <is>
          <t>UPPSALA LÄN</t>
        </is>
      </c>
      <c r="E1986" t="inlineStr">
        <is>
          <t>UPPSALA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33920-2021</t>
        </is>
      </c>
      <c r="B1987" s="1" t="n">
        <v>44378</v>
      </c>
      <c r="C1987" s="1" t="n">
        <v>45846</v>
      </c>
      <c r="D1987" t="inlineStr">
        <is>
          <t>UPPSALA LÄN</t>
        </is>
      </c>
      <c r="E1987" t="inlineStr">
        <is>
          <t>UPPSALA</t>
        </is>
      </c>
      <c r="F1987" t="inlineStr">
        <is>
          <t>Bergvik skog öst AB</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34039-2021</t>
        </is>
      </c>
      <c r="B1988" s="1" t="n">
        <v>44379</v>
      </c>
      <c r="C1988" s="1" t="n">
        <v>45846</v>
      </c>
      <c r="D1988" t="inlineStr">
        <is>
          <t>UPPSALA LÄN</t>
        </is>
      </c>
      <c r="E1988" t="inlineStr">
        <is>
          <t>UPPSALA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34043-2021</t>
        </is>
      </c>
      <c r="B1989" s="1" t="n">
        <v>44379</v>
      </c>
      <c r="C1989" s="1" t="n">
        <v>45846</v>
      </c>
      <c r="D1989" t="inlineStr">
        <is>
          <t>UPPSALA LÄN</t>
        </is>
      </c>
      <c r="E1989" t="inlineStr">
        <is>
          <t>UPPSALA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34265-2021</t>
        </is>
      </c>
      <c r="B1990" s="1" t="n">
        <v>44379</v>
      </c>
      <c r="C1990" s="1" t="n">
        <v>45846</v>
      </c>
      <c r="D1990" t="inlineStr">
        <is>
          <t>UPPSALA LÄN</t>
        </is>
      </c>
      <c r="E1990" t="inlineStr">
        <is>
          <t>UPPSALA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34249-2021</t>
        </is>
      </c>
      <c r="B1991" s="1" t="n">
        <v>44379</v>
      </c>
      <c r="C1991" s="1" t="n">
        <v>45846</v>
      </c>
      <c r="D1991" t="inlineStr">
        <is>
          <t>UPPSALA LÄN</t>
        </is>
      </c>
      <c r="E1991" t="inlineStr">
        <is>
          <t>UPPSALA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34243-2021</t>
        </is>
      </c>
      <c r="B1992" s="1" t="n">
        <v>44379</v>
      </c>
      <c r="C1992" s="1" t="n">
        <v>45846</v>
      </c>
      <c r="D1992" t="inlineStr">
        <is>
          <t>UPPSALA LÄN</t>
        </is>
      </c>
      <c r="E1992" t="inlineStr">
        <is>
          <t>UPPSALA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34263-2021</t>
        </is>
      </c>
      <c r="B1993" s="1" t="n">
        <v>44379</v>
      </c>
      <c r="C1993" s="1" t="n">
        <v>45846</v>
      </c>
      <c r="D1993" t="inlineStr">
        <is>
          <t>UPPSALA LÄN</t>
        </is>
      </c>
      <c r="E1993" t="inlineStr">
        <is>
          <t>UPPSALA</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34124-2021</t>
        </is>
      </c>
      <c r="B1994" s="1" t="n">
        <v>44379</v>
      </c>
      <c r="C1994" s="1" t="n">
        <v>45846</v>
      </c>
      <c r="D1994" t="inlineStr">
        <is>
          <t>UPPSALA LÄN</t>
        </is>
      </c>
      <c r="E1994" t="inlineStr">
        <is>
          <t>ENKÖPING</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34494-2021</t>
        </is>
      </c>
      <c r="B1995" s="1" t="n">
        <v>44382</v>
      </c>
      <c r="C1995" s="1" t="n">
        <v>45846</v>
      </c>
      <c r="D1995" t="inlineStr">
        <is>
          <t>UPPSALA LÄN</t>
        </is>
      </c>
      <c r="E1995" t="inlineStr">
        <is>
          <t>HEBY</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34648-2021</t>
        </is>
      </c>
      <c r="B1996" s="1" t="n">
        <v>44382</v>
      </c>
      <c r="C1996" s="1" t="n">
        <v>45846</v>
      </c>
      <c r="D1996" t="inlineStr">
        <is>
          <t>UPPSALA LÄN</t>
        </is>
      </c>
      <c r="E1996" t="inlineStr">
        <is>
          <t>TIERP</t>
        </is>
      </c>
      <c r="F1996" t="inlineStr">
        <is>
          <t>Bergvik skog väst AB</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34838-2021</t>
        </is>
      </c>
      <c r="B1997" s="1" t="n">
        <v>44383</v>
      </c>
      <c r="C1997" s="1" t="n">
        <v>45846</v>
      </c>
      <c r="D1997" t="inlineStr">
        <is>
          <t>UPPSALA LÄN</t>
        </is>
      </c>
      <c r="E1997" t="inlineStr">
        <is>
          <t>UPPSALA</t>
        </is>
      </c>
      <c r="F1997" t="inlineStr">
        <is>
          <t>Bergvik skog öst AB</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34825-2021</t>
        </is>
      </c>
      <c r="B1998" s="1" t="n">
        <v>44383</v>
      </c>
      <c r="C1998" s="1" t="n">
        <v>45846</v>
      </c>
      <c r="D1998" t="inlineStr">
        <is>
          <t>UPPSALA LÄN</t>
        </is>
      </c>
      <c r="E1998" t="inlineStr">
        <is>
          <t>UPPSALA</t>
        </is>
      </c>
      <c r="F1998" t="inlineStr">
        <is>
          <t>Bergvik skog öst AB</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35232-2021</t>
        </is>
      </c>
      <c r="B1999" s="1" t="n">
        <v>44384</v>
      </c>
      <c r="C1999" s="1" t="n">
        <v>45846</v>
      </c>
      <c r="D1999" t="inlineStr">
        <is>
          <t>UPPSALA LÄN</t>
        </is>
      </c>
      <c r="E1999" t="inlineStr">
        <is>
          <t>KNIVSTA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35645-2021</t>
        </is>
      </c>
      <c r="B2000" s="1" t="n">
        <v>44386</v>
      </c>
      <c r="C2000" s="1" t="n">
        <v>45846</v>
      </c>
      <c r="D2000" t="inlineStr">
        <is>
          <t>UPPSALA LÄN</t>
        </is>
      </c>
      <c r="E2000" t="inlineStr">
        <is>
          <t>ENKÖPING</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35643-2021</t>
        </is>
      </c>
      <c r="B2001" s="1" t="n">
        <v>44386</v>
      </c>
      <c r="C2001" s="1" t="n">
        <v>45846</v>
      </c>
      <c r="D2001" t="inlineStr">
        <is>
          <t>UPPSALA LÄN</t>
        </is>
      </c>
      <c r="E2001" t="inlineStr">
        <is>
          <t>ENKÖPING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35638-2021</t>
        </is>
      </c>
      <c r="B2002" s="1" t="n">
        <v>44386</v>
      </c>
      <c r="C2002" s="1" t="n">
        <v>45846</v>
      </c>
      <c r="D2002" t="inlineStr">
        <is>
          <t>UPPSALA LÄN</t>
        </is>
      </c>
      <c r="E2002" t="inlineStr">
        <is>
          <t>ENKÖPING</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35647-2021</t>
        </is>
      </c>
      <c r="B2003" s="1" t="n">
        <v>44386</v>
      </c>
      <c r="C2003" s="1" t="n">
        <v>45846</v>
      </c>
      <c r="D2003" t="inlineStr">
        <is>
          <t>UPPSALA LÄN</t>
        </is>
      </c>
      <c r="E2003" t="inlineStr">
        <is>
          <t>ENKÖPING</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35630-2021</t>
        </is>
      </c>
      <c r="B2004" s="1" t="n">
        <v>44386</v>
      </c>
      <c r="C2004" s="1" t="n">
        <v>45846</v>
      </c>
      <c r="D2004" t="inlineStr">
        <is>
          <t>UPPSALA LÄN</t>
        </is>
      </c>
      <c r="E2004" t="inlineStr">
        <is>
          <t>UPPSALA</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35641-2021</t>
        </is>
      </c>
      <c r="B2005" s="1" t="n">
        <v>44386</v>
      </c>
      <c r="C2005" s="1" t="n">
        <v>45846</v>
      </c>
      <c r="D2005" t="inlineStr">
        <is>
          <t>UPPSALA LÄN</t>
        </is>
      </c>
      <c r="E2005" t="inlineStr">
        <is>
          <t>ENKÖPING</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35632-2021</t>
        </is>
      </c>
      <c r="B2006" s="1" t="n">
        <v>44386</v>
      </c>
      <c r="C2006" s="1" t="n">
        <v>45846</v>
      </c>
      <c r="D2006" t="inlineStr">
        <is>
          <t>UPPSALA LÄN</t>
        </is>
      </c>
      <c r="E2006" t="inlineStr">
        <is>
          <t>ENKÖPING</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36069-2021</t>
        </is>
      </c>
      <c r="B2007" s="1" t="n">
        <v>44389</v>
      </c>
      <c r="C2007" s="1" t="n">
        <v>45846</v>
      </c>
      <c r="D2007" t="inlineStr">
        <is>
          <t>UPPSALA LÄN</t>
        </is>
      </c>
      <c r="E2007" t="inlineStr">
        <is>
          <t>TIERP</t>
        </is>
      </c>
      <c r="F2007" t="inlineStr">
        <is>
          <t>Övriga Aktiebolag</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36150-2021</t>
        </is>
      </c>
      <c r="B2008" s="1" t="n">
        <v>44389</v>
      </c>
      <c r="C2008" s="1" t="n">
        <v>45846</v>
      </c>
      <c r="D2008" t="inlineStr">
        <is>
          <t>UPPSALA LÄN</t>
        </is>
      </c>
      <c r="E2008" t="inlineStr">
        <is>
          <t>TIERP</t>
        </is>
      </c>
      <c r="F2008" t="inlineStr">
        <is>
          <t>Bergvik skog öst AB</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36085-2021</t>
        </is>
      </c>
      <c r="B2009" s="1" t="n">
        <v>44389</v>
      </c>
      <c r="C2009" s="1" t="n">
        <v>45846</v>
      </c>
      <c r="D2009" t="inlineStr">
        <is>
          <t>UPPSALA LÄN</t>
        </is>
      </c>
      <c r="E2009" t="inlineStr">
        <is>
          <t>HEBY</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36475-2021</t>
        </is>
      </c>
      <c r="B2010" s="1" t="n">
        <v>44390</v>
      </c>
      <c r="C2010" s="1" t="n">
        <v>45846</v>
      </c>
      <c r="D2010" t="inlineStr">
        <is>
          <t>UPPSALA LÄN</t>
        </is>
      </c>
      <c r="E2010" t="inlineStr">
        <is>
          <t>HEBY</t>
        </is>
      </c>
      <c r="F2010" t="inlineStr">
        <is>
          <t>Bergvik skog väst AB</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36304-2021</t>
        </is>
      </c>
      <c r="B2011" s="1" t="n">
        <v>44390</v>
      </c>
      <c r="C2011" s="1" t="n">
        <v>45846</v>
      </c>
      <c r="D2011" t="inlineStr">
        <is>
          <t>UPPSALA LÄN</t>
        </is>
      </c>
      <c r="E2011" t="inlineStr">
        <is>
          <t>UPPSALA</t>
        </is>
      </c>
      <c r="G2011" t="n">
        <v>7.4</v>
      </c>
      <c r="H2011" t="n">
        <v>0</v>
      </c>
      <c r="I2011" t="n">
        <v>0</v>
      </c>
      <c r="J2011" t="n">
        <v>0</v>
      </c>
      <c r="K2011" t="n">
        <v>0</v>
      </c>
      <c r="L2011" t="n">
        <v>0</v>
      </c>
      <c r="M2011" t="n">
        <v>0</v>
      </c>
      <c r="N2011" t="n">
        <v>0</v>
      </c>
      <c r="O2011" t="n">
        <v>0</v>
      </c>
      <c r="P2011" t="n">
        <v>0</v>
      </c>
      <c r="Q2011" t="n">
        <v>0</v>
      </c>
      <c r="R2011" s="2" t="inlineStr"/>
    </row>
    <row r="2012" ht="15" customHeight="1">
      <c r="A2012" t="inlineStr">
        <is>
          <t>A 36494-2021</t>
        </is>
      </c>
      <c r="B2012" s="1" t="n">
        <v>44391</v>
      </c>
      <c r="C2012" s="1" t="n">
        <v>45846</v>
      </c>
      <c r="D2012" t="inlineStr">
        <is>
          <t>UPPSALA LÄN</t>
        </is>
      </c>
      <c r="E2012" t="inlineStr">
        <is>
          <t>HEBY</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36721-2021</t>
        </is>
      </c>
      <c r="B2013" s="1" t="n">
        <v>44392</v>
      </c>
      <c r="C2013" s="1" t="n">
        <v>45846</v>
      </c>
      <c r="D2013" t="inlineStr">
        <is>
          <t>UPPSALA LÄN</t>
        </is>
      </c>
      <c r="E2013" t="inlineStr">
        <is>
          <t>UPPSALA</t>
        </is>
      </c>
      <c r="F2013" t="inlineStr">
        <is>
          <t>Bergvik skog öst AB</t>
        </is>
      </c>
      <c r="G2013" t="n">
        <v>5.8</v>
      </c>
      <c r="H2013" t="n">
        <v>0</v>
      </c>
      <c r="I2013" t="n">
        <v>0</v>
      </c>
      <c r="J2013" t="n">
        <v>0</v>
      </c>
      <c r="K2013" t="n">
        <v>0</v>
      </c>
      <c r="L2013" t="n">
        <v>0</v>
      </c>
      <c r="M2013" t="n">
        <v>0</v>
      </c>
      <c r="N2013" t="n">
        <v>0</v>
      </c>
      <c r="O2013" t="n">
        <v>0</v>
      </c>
      <c r="P2013" t="n">
        <v>0</v>
      </c>
      <c r="Q2013" t="n">
        <v>0</v>
      </c>
      <c r="R2013" s="2" t="inlineStr"/>
    </row>
    <row r="2014" ht="15" customHeight="1">
      <c r="A2014" t="inlineStr">
        <is>
          <t>A 36998-2021</t>
        </is>
      </c>
      <c r="B2014" s="1" t="n">
        <v>44393</v>
      </c>
      <c r="C2014" s="1" t="n">
        <v>45846</v>
      </c>
      <c r="D2014" t="inlineStr">
        <is>
          <t>UPPSALA LÄN</t>
        </is>
      </c>
      <c r="E2014" t="inlineStr">
        <is>
          <t>UPPSALA</t>
        </is>
      </c>
      <c r="F2014" t="inlineStr">
        <is>
          <t>Bergvik skog öst AB</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37162-2021</t>
        </is>
      </c>
      <c r="B2015" s="1" t="n">
        <v>44395</v>
      </c>
      <c r="C2015" s="1" t="n">
        <v>45846</v>
      </c>
      <c r="D2015" t="inlineStr">
        <is>
          <t>UPPSALA LÄN</t>
        </is>
      </c>
      <c r="E2015" t="inlineStr">
        <is>
          <t>UPPSALA</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37170-2021</t>
        </is>
      </c>
      <c r="B2016" s="1" t="n">
        <v>44395</v>
      </c>
      <c r="C2016" s="1" t="n">
        <v>45846</v>
      </c>
      <c r="D2016" t="inlineStr">
        <is>
          <t>UPPSALA LÄN</t>
        </is>
      </c>
      <c r="E2016" t="inlineStr">
        <is>
          <t>ENKÖPING</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37563-2021</t>
        </is>
      </c>
      <c r="B2017" s="1" t="n">
        <v>44399</v>
      </c>
      <c r="C2017" s="1" t="n">
        <v>45846</v>
      </c>
      <c r="D2017" t="inlineStr">
        <is>
          <t>UPPSALA LÄN</t>
        </is>
      </c>
      <c r="E2017" t="inlineStr">
        <is>
          <t>ENKÖPING</t>
        </is>
      </c>
      <c r="G2017" t="n">
        <v>5.1</v>
      </c>
      <c r="H2017" t="n">
        <v>0</v>
      </c>
      <c r="I2017" t="n">
        <v>0</v>
      </c>
      <c r="J2017" t="n">
        <v>0</v>
      </c>
      <c r="K2017" t="n">
        <v>0</v>
      </c>
      <c r="L2017" t="n">
        <v>0</v>
      </c>
      <c r="M2017" t="n">
        <v>0</v>
      </c>
      <c r="N2017" t="n">
        <v>0</v>
      </c>
      <c r="O2017" t="n">
        <v>0</v>
      </c>
      <c r="P2017" t="n">
        <v>0</v>
      </c>
      <c r="Q2017" t="n">
        <v>0</v>
      </c>
      <c r="R2017" s="2" t="inlineStr"/>
    </row>
    <row r="2018" ht="15" customHeight="1">
      <c r="A2018" t="inlineStr">
        <is>
          <t>A 37570-2021</t>
        </is>
      </c>
      <c r="B2018" s="1" t="n">
        <v>44399</v>
      </c>
      <c r="C2018" s="1" t="n">
        <v>45846</v>
      </c>
      <c r="D2018" t="inlineStr">
        <is>
          <t>UPPSALA LÄN</t>
        </is>
      </c>
      <c r="E2018" t="inlineStr">
        <is>
          <t>ENKÖPING</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37573-2021</t>
        </is>
      </c>
      <c r="B2019" s="1" t="n">
        <v>44399</v>
      </c>
      <c r="C2019" s="1" t="n">
        <v>45846</v>
      </c>
      <c r="D2019" t="inlineStr">
        <is>
          <t>UPPSALA LÄN</t>
        </is>
      </c>
      <c r="E2019" t="inlineStr">
        <is>
          <t>ENKÖPING</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37568-2021</t>
        </is>
      </c>
      <c r="B2020" s="1" t="n">
        <v>44399</v>
      </c>
      <c r="C2020" s="1" t="n">
        <v>45846</v>
      </c>
      <c r="D2020" t="inlineStr">
        <is>
          <t>UPPSALA LÄN</t>
        </is>
      </c>
      <c r="E2020" t="inlineStr">
        <is>
          <t>ENKÖPING</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37564-2021</t>
        </is>
      </c>
      <c r="B2021" s="1" t="n">
        <v>44399</v>
      </c>
      <c r="C2021" s="1" t="n">
        <v>45846</v>
      </c>
      <c r="D2021" t="inlineStr">
        <is>
          <t>UPPSALA LÄN</t>
        </is>
      </c>
      <c r="E2021" t="inlineStr">
        <is>
          <t>ENKÖPING</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37571-2021</t>
        </is>
      </c>
      <c r="B2022" s="1" t="n">
        <v>44399</v>
      </c>
      <c r="C2022" s="1" t="n">
        <v>45846</v>
      </c>
      <c r="D2022" t="inlineStr">
        <is>
          <t>UPPSALA LÄN</t>
        </is>
      </c>
      <c r="E2022" t="inlineStr">
        <is>
          <t>ENKÖPING</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37763-2021</t>
        </is>
      </c>
      <c r="B2023" s="1" t="n">
        <v>44400</v>
      </c>
      <c r="C2023" s="1" t="n">
        <v>45846</v>
      </c>
      <c r="D2023" t="inlineStr">
        <is>
          <t>UPPSALA LÄN</t>
        </is>
      </c>
      <c r="E2023" t="inlineStr">
        <is>
          <t>UPPSALA</t>
        </is>
      </c>
      <c r="F2023" t="inlineStr">
        <is>
          <t>Bergvik skog öst AB</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37819-2021</t>
        </is>
      </c>
      <c r="B2024" s="1" t="n">
        <v>44403</v>
      </c>
      <c r="C2024" s="1" t="n">
        <v>45846</v>
      </c>
      <c r="D2024" t="inlineStr">
        <is>
          <t>UPPSALA LÄN</t>
        </is>
      </c>
      <c r="E2024" t="inlineStr">
        <is>
          <t>UPPSALA</t>
        </is>
      </c>
      <c r="F2024" t="inlineStr">
        <is>
          <t>Bergvik skog öst AB</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37820-2021</t>
        </is>
      </c>
      <c r="B2025" s="1" t="n">
        <v>44403</v>
      </c>
      <c r="C2025" s="1" t="n">
        <v>45846</v>
      </c>
      <c r="D2025" t="inlineStr">
        <is>
          <t>UPPSALA LÄN</t>
        </is>
      </c>
      <c r="E2025" t="inlineStr">
        <is>
          <t>UPPSALA</t>
        </is>
      </c>
      <c r="F2025" t="inlineStr">
        <is>
          <t>Bergvik skog öst AB</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38050-2021</t>
        </is>
      </c>
      <c r="B2026" s="1" t="n">
        <v>44404</v>
      </c>
      <c r="C2026" s="1" t="n">
        <v>45846</v>
      </c>
      <c r="D2026" t="inlineStr">
        <is>
          <t>UPPSALA LÄN</t>
        </is>
      </c>
      <c r="E2026" t="inlineStr">
        <is>
          <t>HEBY</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38051-2021</t>
        </is>
      </c>
      <c r="B2027" s="1" t="n">
        <v>44404</v>
      </c>
      <c r="C2027" s="1" t="n">
        <v>45846</v>
      </c>
      <c r="D2027" t="inlineStr">
        <is>
          <t>UPPSALA LÄN</t>
        </is>
      </c>
      <c r="E2027" t="inlineStr">
        <is>
          <t>HEBY</t>
        </is>
      </c>
      <c r="G2027" t="n">
        <v>7.6</v>
      </c>
      <c r="H2027" t="n">
        <v>0</v>
      </c>
      <c r="I2027" t="n">
        <v>0</v>
      </c>
      <c r="J2027" t="n">
        <v>0</v>
      </c>
      <c r="K2027" t="n">
        <v>0</v>
      </c>
      <c r="L2027" t="n">
        <v>0</v>
      </c>
      <c r="M2027" t="n">
        <v>0</v>
      </c>
      <c r="N2027" t="n">
        <v>0</v>
      </c>
      <c r="O2027" t="n">
        <v>0</v>
      </c>
      <c r="P2027" t="n">
        <v>0</v>
      </c>
      <c r="Q2027" t="n">
        <v>0</v>
      </c>
      <c r="R2027" s="2" t="inlineStr"/>
    </row>
    <row r="2028" ht="15" customHeight="1">
      <c r="A2028" t="inlineStr">
        <is>
          <t>A 37980-2021</t>
        </is>
      </c>
      <c r="B2028" s="1" t="n">
        <v>44404</v>
      </c>
      <c r="C2028" s="1" t="n">
        <v>45846</v>
      </c>
      <c r="D2028" t="inlineStr">
        <is>
          <t>UPPSALA LÄN</t>
        </is>
      </c>
      <c r="E2028" t="inlineStr">
        <is>
          <t>HEBY</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38049-2021</t>
        </is>
      </c>
      <c r="B2029" s="1" t="n">
        <v>44404</v>
      </c>
      <c r="C2029" s="1" t="n">
        <v>45846</v>
      </c>
      <c r="D2029" t="inlineStr">
        <is>
          <t>UPPSALA LÄN</t>
        </is>
      </c>
      <c r="E2029" t="inlineStr">
        <is>
          <t>HEBY</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38203-2021</t>
        </is>
      </c>
      <c r="B2030" s="1" t="n">
        <v>44405</v>
      </c>
      <c r="C2030" s="1" t="n">
        <v>45846</v>
      </c>
      <c r="D2030" t="inlineStr">
        <is>
          <t>UPPSALA LÄN</t>
        </is>
      </c>
      <c r="E2030" t="inlineStr">
        <is>
          <t>HEBY</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38411-2021</t>
        </is>
      </c>
      <c r="B2031" s="1" t="n">
        <v>44406</v>
      </c>
      <c r="C2031" s="1" t="n">
        <v>45846</v>
      </c>
      <c r="D2031" t="inlineStr">
        <is>
          <t>UPPSALA LÄN</t>
        </is>
      </c>
      <c r="E2031" t="inlineStr">
        <is>
          <t>ÖSTHAMMAR</t>
        </is>
      </c>
      <c r="F2031" t="inlineStr">
        <is>
          <t>Bergvik skog öst AB</t>
        </is>
      </c>
      <c r="G2031" t="n">
        <v>20.6</v>
      </c>
      <c r="H2031" t="n">
        <v>0</v>
      </c>
      <c r="I2031" t="n">
        <v>0</v>
      </c>
      <c r="J2031" t="n">
        <v>0</v>
      </c>
      <c r="K2031" t="n">
        <v>0</v>
      </c>
      <c r="L2031" t="n">
        <v>0</v>
      </c>
      <c r="M2031" t="n">
        <v>0</v>
      </c>
      <c r="N2031" t="n">
        <v>0</v>
      </c>
      <c r="O2031" t="n">
        <v>0</v>
      </c>
      <c r="P2031" t="n">
        <v>0</v>
      </c>
      <c r="Q2031" t="n">
        <v>0</v>
      </c>
      <c r="R2031" s="2" t="inlineStr"/>
    </row>
    <row r="2032" ht="15" customHeight="1">
      <c r="A2032" t="inlineStr">
        <is>
          <t>A 38469-2021</t>
        </is>
      </c>
      <c r="B2032" s="1" t="n">
        <v>44407</v>
      </c>
      <c r="C2032" s="1" t="n">
        <v>45846</v>
      </c>
      <c r="D2032" t="inlineStr">
        <is>
          <t>UPPSALA LÄN</t>
        </is>
      </c>
      <c r="E2032" t="inlineStr">
        <is>
          <t>UPPSALA</t>
        </is>
      </c>
      <c r="F2032" t="inlineStr">
        <is>
          <t>Bergvik skog öst AB</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38463-2021</t>
        </is>
      </c>
      <c r="B2033" s="1" t="n">
        <v>44407</v>
      </c>
      <c r="C2033" s="1" t="n">
        <v>45846</v>
      </c>
      <c r="D2033" t="inlineStr">
        <is>
          <t>UPPSALA LÄN</t>
        </is>
      </c>
      <c r="E2033" t="inlineStr">
        <is>
          <t>UPPSALA</t>
        </is>
      </c>
      <c r="F2033" t="inlineStr">
        <is>
          <t>Bergvik skog öst AB</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38859-2021</t>
        </is>
      </c>
      <c r="B2034" s="1" t="n">
        <v>44411</v>
      </c>
      <c r="C2034" s="1" t="n">
        <v>45846</v>
      </c>
      <c r="D2034" t="inlineStr">
        <is>
          <t>UPPSALA LÄN</t>
        </is>
      </c>
      <c r="E2034" t="inlineStr">
        <is>
          <t>HEBY</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39791-2021</t>
        </is>
      </c>
      <c r="B2035" s="1" t="n">
        <v>44417</v>
      </c>
      <c r="C2035" s="1" t="n">
        <v>45846</v>
      </c>
      <c r="D2035" t="inlineStr">
        <is>
          <t>UPPSALA LÄN</t>
        </is>
      </c>
      <c r="E2035" t="inlineStr">
        <is>
          <t>ÄLVKARLEBY</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39838-2021</t>
        </is>
      </c>
      <c r="B2036" s="1" t="n">
        <v>44417</v>
      </c>
      <c r="C2036" s="1" t="n">
        <v>45846</v>
      </c>
      <c r="D2036" t="inlineStr">
        <is>
          <t>UPPSALA LÄN</t>
        </is>
      </c>
      <c r="E2036" t="inlineStr">
        <is>
          <t>TIERP</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40011-2021</t>
        </is>
      </c>
      <c r="B2037" s="1" t="n">
        <v>44418</v>
      </c>
      <c r="C2037" s="1" t="n">
        <v>45846</v>
      </c>
      <c r="D2037" t="inlineStr">
        <is>
          <t>UPPSALA LÄN</t>
        </is>
      </c>
      <c r="E2037" t="inlineStr">
        <is>
          <t>TIERP</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40184-2021</t>
        </is>
      </c>
      <c r="B2038" s="1" t="n">
        <v>44418</v>
      </c>
      <c r="C2038" s="1" t="n">
        <v>45846</v>
      </c>
      <c r="D2038" t="inlineStr">
        <is>
          <t>UPPSALA LÄN</t>
        </is>
      </c>
      <c r="E2038" t="inlineStr">
        <is>
          <t>HEBY</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40256-2021</t>
        </is>
      </c>
      <c r="B2039" s="1" t="n">
        <v>44419</v>
      </c>
      <c r="C2039" s="1" t="n">
        <v>45846</v>
      </c>
      <c r="D2039" t="inlineStr">
        <is>
          <t>UPPSALA LÄN</t>
        </is>
      </c>
      <c r="E2039" t="inlineStr">
        <is>
          <t>HÅBO</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40606-2021</t>
        </is>
      </c>
      <c r="B2040" s="1" t="n">
        <v>44420</v>
      </c>
      <c r="C2040" s="1" t="n">
        <v>45846</v>
      </c>
      <c r="D2040" t="inlineStr">
        <is>
          <t>UPPSALA LÄN</t>
        </is>
      </c>
      <c r="E2040" t="inlineStr">
        <is>
          <t>ÖSTHAMMAR</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40500-2021</t>
        </is>
      </c>
      <c r="B2041" s="1" t="n">
        <v>44420</v>
      </c>
      <c r="C2041" s="1" t="n">
        <v>45846</v>
      </c>
      <c r="D2041" t="inlineStr">
        <is>
          <t>UPPSALA LÄN</t>
        </is>
      </c>
      <c r="E2041" t="inlineStr">
        <is>
          <t>UPPSALA</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40507-2021</t>
        </is>
      </c>
      <c r="B2042" s="1" t="n">
        <v>44420</v>
      </c>
      <c r="C2042" s="1" t="n">
        <v>45846</v>
      </c>
      <c r="D2042" t="inlineStr">
        <is>
          <t>UPPSALA LÄN</t>
        </is>
      </c>
      <c r="E2042" t="inlineStr">
        <is>
          <t>UPPSALA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40804-2021</t>
        </is>
      </c>
      <c r="B2043" s="1" t="n">
        <v>44421</v>
      </c>
      <c r="C2043" s="1" t="n">
        <v>45846</v>
      </c>
      <c r="D2043" t="inlineStr">
        <is>
          <t>UPPSALA LÄN</t>
        </is>
      </c>
      <c r="E2043" t="inlineStr">
        <is>
          <t>TIERP</t>
        </is>
      </c>
      <c r="F2043" t="inlineStr">
        <is>
          <t>Kyrkan</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40793-2021</t>
        </is>
      </c>
      <c r="B2044" s="1" t="n">
        <v>44421</v>
      </c>
      <c r="C2044" s="1" t="n">
        <v>45846</v>
      </c>
      <c r="D2044" t="inlineStr">
        <is>
          <t>UPPSALA LÄN</t>
        </is>
      </c>
      <c r="E2044" t="inlineStr">
        <is>
          <t>TIERP</t>
        </is>
      </c>
      <c r="F2044" t="inlineStr">
        <is>
          <t>Kyrkan</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41531-2021</t>
        </is>
      </c>
      <c r="B2045" s="1" t="n">
        <v>44425</v>
      </c>
      <c r="C2045" s="1" t="n">
        <v>45846</v>
      </c>
      <c r="D2045" t="inlineStr">
        <is>
          <t>UPPSALA LÄN</t>
        </is>
      </c>
      <c r="E2045" t="inlineStr">
        <is>
          <t>ÖSTHAMMAR</t>
        </is>
      </c>
      <c r="F2045" t="inlineStr">
        <is>
          <t>Bergvik skog öst AB</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41558-2021</t>
        </is>
      </c>
      <c r="B2046" s="1" t="n">
        <v>44425</v>
      </c>
      <c r="C2046" s="1" t="n">
        <v>45846</v>
      </c>
      <c r="D2046" t="inlineStr">
        <is>
          <t>UPPSALA LÄN</t>
        </is>
      </c>
      <c r="E2046" t="inlineStr">
        <is>
          <t>ÖSTHAMMAR</t>
        </is>
      </c>
      <c r="F2046" t="inlineStr">
        <is>
          <t>Bergvik skog öst AB</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41538-2021</t>
        </is>
      </c>
      <c r="B2047" s="1" t="n">
        <v>44425</v>
      </c>
      <c r="C2047" s="1" t="n">
        <v>45846</v>
      </c>
      <c r="D2047" t="inlineStr">
        <is>
          <t>UPPSALA LÄN</t>
        </is>
      </c>
      <c r="E2047" t="inlineStr">
        <is>
          <t>ÖSTHAMMAR</t>
        </is>
      </c>
      <c r="F2047" t="inlineStr">
        <is>
          <t>Bergvik skog öst AB</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41744-2021</t>
        </is>
      </c>
      <c r="B2048" s="1" t="n">
        <v>44425</v>
      </c>
      <c r="C2048" s="1" t="n">
        <v>45846</v>
      </c>
      <c r="D2048" t="inlineStr">
        <is>
          <t>UPPSALA LÄN</t>
        </is>
      </c>
      <c r="E2048" t="inlineStr">
        <is>
          <t>ÖSTHAMMAR</t>
        </is>
      </c>
      <c r="F2048" t="inlineStr">
        <is>
          <t>Bergvik skog öst AB</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42021-2021</t>
        </is>
      </c>
      <c r="B2049" s="1" t="n">
        <v>44426</v>
      </c>
      <c r="C2049" s="1" t="n">
        <v>45846</v>
      </c>
      <c r="D2049" t="inlineStr">
        <is>
          <t>UPPSALA LÄN</t>
        </is>
      </c>
      <c r="E2049" t="inlineStr">
        <is>
          <t>ENKÖPING</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42029-2021</t>
        </is>
      </c>
      <c r="B2050" s="1" t="n">
        <v>44426</v>
      </c>
      <c r="C2050" s="1" t="n">
        <v>45846</v>
      </c>
      <c r="D2050" t="inlineStr">
        <is>
          <t>UPPSALA LÄN</t>
        </is>
      </c>
      <c r="E2050" t="inlineStr">
        <is>
          <t>ENKÖPING</t>
        </is>
      </c>
      <c r="G2050" t="n">
        <v>5.3</v>
      </c>
      <c r="H2050" t="n">
        <v>0</v>
      </c>
      <c r="I2050" t="n">
        <v>0</v>
      </c>
      <c r="J2050" t="n">
        <v>0</v>
      </c>
      <c r="K2050" t="n">
        <v>0</v>
      </c>
      <c r="L2050" t="n">
        <v>0</v>
      </c>
      <c r="M2050" t="n">
        <v>0</v>
      </c>
      <c r="N2050" t="n">
        <v>0</v>
      </c>
      <c r="O2050" t="n">
        <v>0</v>
      </c>
      <c r="P2050" t="n">
        <v>0</v>
      </c>
      <c r="Q2050" t="n">
        <v>0</v>
      </c>
      <c r="R2050" s="2" t="inlineStr"/>
    </row>
    <row r="2051" ht="15" customHeight="1">
      <c r="A2051" t="inlineStr">
        <is>
          <t>A 42124-2021</t>
        </is>
      </c>
      <c r="B2051" s="1" t="n">
        <v>44426</v>
      </c>
      <c r="C2051" s="1" t="n">
        <v>45846</v>
      </c>
      <c r="D2051" t="inlineStr">
        <is>
          <t>UPPSALA LÄN</t>
        </is>
      </c>
      <c r="E2051" t="inlineStr">
        <is>
          <t>UPPSALA</t>
        </is>
      </c>
      <c r="G2051" t="n">
        <v>6.3</v>
      </c>
      <c r="H2051" t="n">
        <v>0</v>
      </c>
      <c r="I2051" t="n">
        <v>0</v>
      </c>
      <c r="J2051" t="n">
        <v>0</v>
      </c>
      <c r="K2051" t="n">
        <v>0</v>
      </c>
      <c r="L2051" t="n">
        <v>0</v>
      </c>
      <c r="M2051" t="n">
        <v>0</v>
      </c>
      <c r="N2051" t="n">
        <v>0</v>
      </c>
      <c r="O2051" t="n">
        <v>0</v>
      </c>
      <c r="P2051" t="n">
        <v>0</v>
      </c>
      <c r="Q2051" t="n">
        <v>0</v>
      </c>
      <c r="R2051" s="2" t="inlineStr"/>
    </row>
    <row r="2052" ht="15" customHeight="1">
      <c r="A2052" t="inlineStr">
        <is>
          <t>A 42262-2021</t>
        </is>
      </c>
      <c r="B2052" s="1" t="n">
        <v>44427</v>
      </c>
      <c r="C2052" s="1" t="n">
        <v>45846</v>
      </c>
      <c r="D2052" t="inlineStr">
        <is>
          <t>UPPSALA LÄN</t>
        </is>
      </c>
      <c r="E2052" t="inlineStr">
        <is>
          <t>TIERP</t>
        </is>
      </c>
      <c r="F2052" t="inlineStr">
        <is>
          <t>Bergvik skog väst AB</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42294-2021</t>
        </is>
      </c>
      <c r="B2053" s="1" t="n">
        <v>44427</v>
      </c>
      <c r="C2053" s="1" t="n">
        <v>45846</v>
      </c>
      <c r="D2053" t="inlineStr">
        <is>
          <t>UPPSALA LÄN</t>
        </is>
      </c>
      <c r="E2053" t="inlineStr">
        <is>
          <t>UPPSALA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42987-2021</t>
        </is>
      </c>
      <c r="B2054" s="1" t="n">
        <v>44431</v>
      </c>
      <c r="C2054" s="1" t="n">
        <v>45846</v>
      </c>
      <c r="D2054" t="inlineStr">
        <is>
          <t>UPPSALA LÄN</t>
        </is>
      </c>
      <c r="E2054" t="inlineStr">
        <is>
          <t>HEBY</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43016-2021</t>
        </is>
      </c>
      <c r="B2055" s="1" t="n">
        <v>44431</v>
      </c>
      <c r="C2055" s="1" t="n">
        <v>45846</v>
      </c>
      <c r="D2055" t="inlineStr">
        <is>
          <t>UPPSALA LÄN</t>
        </is>
      </c>
      <c r="E2055" t="inlineStr">
        <is>
          <t>ENKÖPING</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43020-2021</t>
        </is>
      </c>
      <c r="B2056" s="1" t="n">
        <v>44431</v>
      </c>
      <c r="C2056" s="1" t="n">
        <v>45846</v>
      </c>
      <c r="D2056" t="inlineStr">
        <is>
          <t>UPPSALA LÄN</t>
        </is>
      </c>
      <c r="E2056" t="inlineStr">
        <is>
          <t>TIERP</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43307-2021</t>
        </is>
      </c>
      <c r="B2057" s="1" t="n">
        <v>44431</v>
      </c>
      <c r="C2057" s="1" t="n">
        <v>45846</v>
      </c>
      <c r="D2057" t="inlineStr">
        <is>
          <t>UPPSALA LÄN</t>
        </is>
      </c>
      <c r="E2057" t="inlineStr">
        <is>
          <t>HEBY</t>
        </is>
      </c>
      <c r="G2057" t="n">
        <v>8</v>
      </c>
      <c r="H2057" t="n">
        <v>0</v>
      </c>
      <c r="I2057" t="n">
        <v>0</v>
      </c>
      <c r="J2057" t="n">
        <v>0</v>
      </c>
      <c r="K2057" t="n">
        <v>0</v>
      </c>
      <c r="L2057" t="n">
        <v>0</v>
      </c>
      <c r="M2057" t="n">
        <v>0</v>
      </c>
      <c r="N2057" t="n">
        <v>0</v>
      </c>
      <c r="O2057" t="n">
        <v>0</v>
      </c>
      <c r="P2057" t="n">
        <v>0</v>
      </c>
      <c r="Q2057" t="n">
        <v>0</v>
      </c>
      <c r="R2057" s="2" t="inlineStr"/>
    </row>
    <row r="2058" ht="15" customHeight="1">
      <c r="A2058" t="inlineStr">
        <is>
          <t>A 43179-2021</t>
        </is>
      </c>
      <c r="B2058" s="1" t="n">
        <v>44431</v>
      </c>
      <c r="C2058" s="1" t="n">
        <v>45846</v>
      </c>
      <c r="D2058" t="inlineStr">
        <is>
          <t>UPPSALA LÄN</t>
        </is>
      </c>
      <c r="E2058" t="inlineStr">
        <is>
          <t>HEBY</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43469-2021</t>
        </is>
      </c>
      <c r="B2059" s="1" t="n">
        <v>44432</v>
      </c>
      <c r="C2059" s="1" t="n">
        <v>45846</v>
      </c>
      <c r="D2059" t="inlineStr">
        <is>
          <t>UPPSALA LÄN</t>
        </is>
      </c>
      <c r="E2059" t="inlineStr">
        <is>
          <t>ÖSTHAMMAR</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43714-2021</t>
        </is>
      </c>
      <c r="B2060" s="1" t="n">
        <v>44433</v>
      </c>
      <c r="C2060" s="1" t="n">
        <v>45846</v>
      </c>
      <c r="D2060" t="inlineStr">
        <is>
          <t>UPPSALA LÄN</t>
        </is>
      </c>
      <c r="E2060" t="inlineStr">
        <is>
          <t>HEBY</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43957-2021</t>
        </is>
      </c>
      <c r="B2061" s="1" t="n">
        <v>44434</v>
      </c>
      <c r="C2061" s="1" t="n">
        <v>45846</v>
      </c>
      <c r="D2061" t="inlineStr">
        <is>
          <t>UPPSALA LÄN</t>
        </is>
      </c>
      <c r="E2061" t="inlineStr">
        <is>
          <t>HEBY</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44009-2021</t>
        </is>
      </c>
      <c r="B2062" s="1" t="n">
        <v>44434</v>
      </c>
      <c r="C2062" s="1" t="n">
        <v>45846</v>
      </c>
      <c r="D2062" t="inlineStr">
        <is>
          <t>UPPSALA LÄN</t>
        </is>
      </c>
      <c r="E2062" t="inlineStr">
        <is>
          <t>TIERP</t>
        </is>
      </c>
      <c r="F2062" t="inlineStr">
        <is>
          <t>Bergvik skog väst AB</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44315-2021</t>
        </is>
      </c>
      <c r="B2063" s="1" t="n">
        <v>44435</v>
      </c>
      <c r="C2063" s="1" t="n">
        <v>45846</v>
      </c>
      <c r="D2063" t="inlineStr">
        <is>
          <t>UPPSALA LÄN</t>
        </is>
      </c>
      <c r="E2063" t="inlineStr">
        <is>
          <t>UPPSALA</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44464-2021</t>
        </is>
      </c>
      <c r="B2064" s="1" t="n">
        <v>44435</v>
      </c>
      <c r="C2064" s="1" t="n">
        <v>45846</v>
      </c>
      <c r="D2064" t="inlineStr">
        <is>
          <t>UPPSALA LÄN</t>
        </is>
      </c>
      <c r="E2064" t="inlineStr">
        <is>
          <t>HEBY</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44727-2021</t>
        </is>
      </c>
      <c r="B2065" s="1" t="n">
        <v>44438</v>
      </c>
      <c r="C2065" s="1" t="n">
        <v>45846</v>
      </c>
      <c r="D2065" t="inlineStr">
        <is>
          <t>UPPSALA LÄN</t>
        </is>
      </c>
      <c r="E2065" t="inlineStr">
        <is>
          <t>ENKÖPING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44690-2021</t>
        </is>
      </c>
      <c r="B2066" s="1" t="n">
        <v>44438</v>
      </c>
      <c r="C2066" s="1" t="n">
        <v>45846</v>
      </c>
      <c r="D2066" t="inlineStr">
        <is>
          <t>UPPSALA LÄN</t>
        </is>
      </c>
      <c r="E2066" t="inlineStr">
        <is>
          <t>TIERP</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44781-2021</t>
        </is>
      </c>
      <c r="B2067" s="1" t="n">
        <v>44438</v>
      </c>
      <c r="C2067" s="1" t="n">
        <v>45846</v>
      </c>
      <c r="D2067" t="inlineStr">
        <is>
          <t>UPPSALA LÄN</t>
        </is>
      </c>
      <c r="E2067" t="inlineStr">
        <is>
          <t>UPPSALA</t>
        </is>
      </c>
      <c r="F2067" t="inlineStr">
        <is>
          <t>Sveaskog</t>
        </is>
      </c>
      <c r="G2067" t="n">
        <v>0.1</v>
      </c>
      <c r="H2067" t="n">
        <v>0</v>
      </c>
      <c r="I2067" t="n">
        <v>0</v>
      </c>
      <c r="J2067" t="n">
        <v>0</v>
      </c>
      <c r="K2067" t="n">
        <v>0</v>
      </c>
      <c r="L2067" t="n">
        <v>0</v>
      </c>
      <c r="M2067" t="n">
        <v>0</v>
      </c>
      <c r="N2067" t="n">
        <v>0</v>
      </c>
      <c r="O2067" t="n">
        <v>0</v>
      </c>
      <c r="P2067" t="n">
        <v>0</v>
      </c>
      <c r="Q2067" t="n">
        <v>0</v>
      </c>
      <c r="R2067" s="2" t="inlineStr"/>
    </row>
    <row r="2068" ht="15" customHeight="1">
      <c r="A2068" t="inlineStr">
        <is>
          <t>A 45146-2021</t>
        </is>
      </c>
      <c r="B2068" s="1" t="n">
        <v>44439</v>
      </c>
      <c r="C2068" s="1" t="n">
        <v>45846</v>
      </c>
      <c r="D2068" t="inlineStr">
        <is>
          <t>UPPSALA LÄN</t>
        </is>
      </c>
      <c r="E2068" t="inlineStr">
        <is>
          <t>TIERP</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45217-2021</t>
        </is>
      </c>
      <c r="B2069" s="1" t="n">
        <v>44439</v>
      </c>
      <c r="C2069" s="1" t="n">
        <v>45846</v>
      </c>
      <c r="D2069" t="inlineStr">
        <is>
          <t>UPPSALA LÄN</t>
        </is>
      </c>
      <c r="E2069" t="inlineStr">
        <is>
          <t>TIERP</t>
        </is>
      </c>
      <c r="F2069" t="inlineStr">
        <is>
          <t>Bergvik skog öst AB</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45225-2021</t>
        </is>
      </c>
      <c r="B2070" s="1" t="n">
        <v>44439</v>
      </c>
      <c r="C2070" s="1" t="n">
        <v>45846</v>
      </c>
      <c r="D2070" t="inlineStr">
        <is>
          <t>UPPSALA LÄN</t>
        </is>
      </c>
      <c r="E2070" t="inlineStr">
        <is>
          <t>TIERP</t>
        </is>
      </c>
      <c r="F2070" t="inlineStr">
        <is>
          <t>Bergvik skog öst AB</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45579-2021</t>
        </is>
      </c>
      <c r="B2071" s="1" t="n">
        <v>44440</v>
      </c>
      <c r="C2071" s="1" t="n">
        <v>45846</v>
      </c>
      <c r="D2071" t="inlineStr">
        <is>
          <t>UPPSALA LÄN</t>
        </is>
      </c>
      <c r="E2071" t="inlineStr">
        <is>
          <t>TIERP</t>
        </is>
      </c>
      <c r="F2071" t="inlineStr">
        <is>
          <t>Bergvik skog väst AB</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45993-2021</t>
        </is>
      </c>
      <c r="B2072" s="1" t="n">
        <v>44441</v>
      </c>
      <c r="C2072" s="1" t="n">
        <v>45846</v>
      </c>
      <c r="D2072" t="inlineStr">
        <is>
          <t>UPPSALA LÄN</t>
        </is>
      </c>
      <c r="E2072" t="inlineStr">
        <is>
          <t>TIERP</t>
        </is>
      </c>
      <c r="F2072" t="inlineStr">
        <is>
          <t>Bergvik skog väst AB</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45964-2021</t>
        </is>
      </c>
      <c r="B2073" s="1" t="n">
        <v>44441</v>
      </c>
      <c r="C2073" s="1" t="n">
        <v>45846</v>
      </c>
      <c r="D2073" t="inlineStr">
        <is>
          <t>UPPSALA LÄN</t>
        </is>
      </c>
      <c r="E2073" t="inlineStr">
        <is>
          <t>HEBY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46097-2021</t>
        </is>
      </c>
      <c r="B2074" s="1" t="n">
        <v>44442</v>
      </c>
      <c r="C2074" s="1" t="n">
        <v>45846</v>
      </c>
      <c r="D2074" t="inlineStr">
        <is>
          <t>UPPSALA LÄN</t>
        </is>
      </c>
      <c r="E2074" t="inlineStr">
        <is>
          <t>UPPSALA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46099-2021</t>
        </is>
      </c>
      <c r="B2075" s="1" t="n">
        <v>44442</v>
      </c>
      <c r="C2075" s="1" t="n">
        <v>45846</v>
      </c>
      <c r="D2075" t="inlineStr">
        <is>
          <t>UPPSALA LÄN</t>
        </is>
      </c>
      <c r="E2075" t="inlineStr">
        <is>
          <t>UPPSALA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46560-2021</t>
        </is>
      </c>
      <c r="B2076" s="1" t="n">
        <v>44445</v>
      </c>
      <c r="C2076" s="1" t="n">
        <v>45846</v>
      </c>
      <c r="D2076" t="inlineStr">
        <is>
          <t>UPPSALA LÄN</t>
        </is>
      </c>
      <c r="E2076" t="inlineStr">
        <is>
          <t>HEBY</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46553-2021</t>
        </is>
      </c>
      <c r="B2077" s="1" t="n">
        <v>44445</v>
      </c>
      <c r="C2077" s="1" t="n">
        <v>45846</v>
      </c>
      <c r="D2077" t="inlineStr">
        <is>
          <t>UPPSALA LÄN</t>
        </is>
      </c>
      <c r="E2077" t="inlineStr">
        <is>
          <t>UPPSALA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46920-2021</t>
        </is>
      </c>
      <c r="B2078" s="1" t="n">
        <v>44446</v>
      </c>
      <c r="C2078" s="1" t="n">
        <v>45846</v>
      </c>
      <c r="D2078" t="inlineStr">
        <is>
          <t>UPPSALA LÄN</t>
        </is>
      </c>
      <c r="E2078" t="inlineStr">
        <is>
          <t>UPPSALA</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46916-2021</t>
        </is>
      </c>
      <c r="B2079" s="1" t="n">
        <v>44446</v>
      </c>
      <c r="C2079" s="1" t="n">
        <v>45846</v>
      </c>
      <c r="D2079" t="inlineStr">
        <is>
          <t>UPPSALA LÄN</t>
        </is>
      </c>
      <c r="E2079" t="inlineStr">
        <is>
          <t>UPPSALA</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46976-2021</t>
        </is>
      </c>
      <c r="B2080" s="1" t="n">
        <v>44446</v>
      </c>
      <c r="C2080" s="1" t="n">
        <v>45846</v>
      </c>
      <c r="D2080" t="inlineStr">
        <is>
          <t>UPPSALA LÄN</t>
        </is>
      </c>
      <c r="E2080" t="inlineStr">
        <is>
          <t>TIERP</t>
        </is>
      </c>
      <c r="F2080" t="inlineStr">
        <is>
          <t>Bergvik skog väst AB</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47106-2021</t>
        </is>
      </c>
      <c r="B2081" s="1" t="n">
        <v>44446</v>
      </c>
      <c r="C2081" s="1" t="n">
        <v>45846</v>
      </c>
      <c r="D2081" t="inlineStr">
        <is>
          <t>UPPSALA LÄN</t>
        </is>
      </c>
      <c r="E2081" t="inlineStr">
        <is>
          <t>ENKÖPING</t>
        </is>
      </c>
      <c r="G2081" t="n">
        <v>7.6</v>
      </c>
      <c r="H2081" t="n">
        <v>0</v>
      </c>
      <c r="I2081" t="n">
        <v>0</v>
      </c>
      <c r="J2081" t="n">
        <v>0</v>
      </c>
      <c r="K2081" t="n">
        <v>0</v>
      </c>
      <c r="L2081" t="n">
        <v>0</v>
      </c>
      <c r="M2081" t="n">
        <v>0</v>
      </c>
      <c r="N2081" t="n">
        <v>0</v>
      </c>
      <c r="O2081" t="n">
        <v>0</v>
      </c>
      <c r="P2081" t="n">
        <v>0</v>
      </c>
      <c r="Q2081" t="n">
        <v>0</v>
      </c>
      <c r="R2081" s="2" t="inlineStr"/>
    </row>
    <row r="2082" ht="15" customHeight="1">
      <c r="A2082" t="inlineStr">
        <is>
          <t>A 47367-2021</t>
        </is>
      </c>
      <c r="B2082" s="1" t="n">
        <v>44447</v>
      </c>
      <c r="C2082" s="1" t="n">
        <v>45846</v>
      </c>
      <c r="D2082" t="inlineStr">
        <is>
          <t>UPPSALA LÄN</t>
        </is>
      </c>
      <c r="E2082" t="inlineStr">
        <is>
          <t>UPPSALA</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47226-2021</t>
        </is>
      </c>
      <c r="B2083" s="1" t="n">
        <v>44447</v>
      </c>
      <c r="C2083" s="1" t="n">
        <v>45846</v>
      </c>
      <c r="D2083" t="inlineStr">
        <is>
          <t>UPPSALA LÄN</t>
        </is>
      </c>
      <c r="E2083" t="inlineStr">
        <is>
          <t>ÄLVKARLEBY</t>
        </is>
      </c>
      <c r="F2083" t="inlineStr">
        <is>
          <t>Bergvik skog väst AB</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47652-2021</t>
        </is>
      </c>
      <c r="B2084" s="1" t="n">
        <v>44448</v>
      </c>
      <c r="C2084" s="1" t="n">
        <v>45846</v>
      </c>
      <c r="D2084" t="inlineStr">
        <is>
          <t>UPPSALA LÄN</t>
        </is>
      </c>
      <c r="E2084" t="inlineStr">
        <is>
          <t>KNIVSTA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47654-2021</t>
        </is>
      </c>
      <c r="B2085" s="1" t="n">
        <v>44448</v>
      </c>
      <c r="C2085" s="1" t="n">
        <v>45846</v>
      </c>
      <c r="D2085" t="inlineStr">
        <is>
          <t>UPPSALA LÄN</t>
        </is>
      </c>
      <c r="E2085" t="inlineStr">
        <is>
          <t>KNIVSTA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48308-2021</t>
        </is>
      </c>
      <c r="B2086" s="1" t="n">
        <v>44450</v>
      </c>
      <c r="C2086" s="1" t="n">
        <v>45846</v>
      </c>
      <c r="D2086" t="inlineStr">
        <is>
          <t>UPPSALA LÄN</t>
        </is>
      </c>
      <c r="E2086" t="inlineStr">
        <is>
          <t>ÖSTHAMMAR</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48455-2021</t>
        </is>
      </c>
      <c r="B2087" s="1" t="n">
        <v>44452</v>
      </c>
      <c r="C2087" s="1" t="n">
        <v>45846</v>
      </c>
      <c r="D2087" t="inlineStr">
        <is>
          <t>UPPSALA LÄN</t>
        </is>
      </c>
      <c r="E2087" t="inlineStr">
        <is>
          <t>TIERP</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48536-2021</t>
        </is>
      </c>
      <c r="B2088" s="1" t="n">
        <v>44452</v>
      </c>
      <c r="C2088" s="1" t="n">
        <v>45846</v>
      </c>
      <c r="D2088" t="inlineStr">
        <is>
          <t>UPPSALA LÄN</t>
        </is>
      </c>
      <c r="E2088" t="inlineStr">
        <is>
          <t>TIERP</t>
        </is>
      </c>
      <c r="F2088" t="inlineStr">
        <is>
          <t>Bergvik skog väst AB</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48485-2021</t>
        </is>
      </c>
      <c r="B2089" s="1" t="n">
        <v>44452</v>
      </c>
      <c r="C2089" s="1" t="n">
        <v>45846</v>
      </c>
      <c r="D2089" t="inlineStr">
        <is>
          <t>UPPSALA LÄN</t>
        </is>
      </c>
      <c r="E2089" t="inlineStr">
        <is>
          <t>TIERP</t>
        </is>
      </c>
      <c r="F2089" t="inlineStr">
        <is>
          <t>Bergvik skog väst AB</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48759-2021</t>
        </is>
      </c>
      <c r="B2090" s="1" t="n">
        <v>44452</v>
      </c>
      <c r="C2090" s="1" t="n">
        <v>45846</v>
      </c>
      <c r="D2090" t="inlineStr">
        <is>
          <t>UPPSALA LÄN</t>
        </is>
      </c>
      <c r="E2090" t="inlineStr">
        <is>
          <t>HEBY</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48880-2021</t>
        </is>
      </c>
      <c r="B2091" s="1" t="n">
        <v>44452</v>
      </c>
      <c r="C2091" s="1" t="n">
        <v>45846</v>
      </c>
      <c r="D2091" t="inlineStr">
        <is>
          <t>UPPSALA LÄN</t>
        </is>
      </c>
      <c r="E2091" t="inlineStr">
        <is>
          <t>TIERP</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48970-2021</t>
        </is>
      </c>
      <c r="B2092" s="1" t="n">
        <v>44453</v>
      </c>
      <c r="C2092" s="1" t="n">
        <v>45846</v>
      </c>
      <c r="D2092" t="inlineStr">
        <is>
          <t>UPPSALA LÄN</t>
        </is>
      </c>
      <c r="E2092" t="inlineStr">
        <is>
          <t>TIERP</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48981-2021</t>
        </is>
      </c>
      <c r="B2093" s="1" t="n">
        <v>44453</v>
      </c>
      <c r="C2093" s="1" t="n">
        <v>45846</v>
      </c>
      <c r="D2093" t="inlineStr">
        <is>
          <t>UPPSALA LÄN</t>
        </is>
      </c>
      <c r="E2093" t="inlineStr">
        <is>
          <t>ENKÖPING</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48918-2021</t>
        </is>
      </c>
      <c r="B2094" s="1" t="n">
        <v>44453</v>
      </c>
      <c r="C2094" s="1" t="n">
        <v>45846</v>
      </c>
      <c r="D2094" t="inlineStr">
        <is>
          <t>UPPSALA LÄN</t>
        </is>
      </c>
      <c r="E2094" t="inlineStr">
        <is>
          <t>UPPSALA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48982-2021</t>
        </is>
      </c>
      <c r="B2095" s="1" t="n">
        <v>44453</v>
      </c>
      <c r="C2095" s="1" t="n">
        <v>45846</v>
      </c>
      <c r="D2095" t="inlineStr">
        <is>
          <t>UPPSALA LÄN</t>
        </is>
      </c>
      <c r="E2095" t="inlineStr">
        <is>
          <t>TIERP</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49053-2021</t>
        </is>
      </c>
      <c r="B2096" s="1" t="n">
        <v>44453</v>
      </c>
      <c r="C2096" s="1" t="n">
        <v>45846</v>
      </c>
      <c r="D2096" t="inlineStr">
        <is>
          <t>UPPSALA LÄN</t>
        </is>
      </c>
      <c r="E2096" t="inlineStr">
        <is>
          <t>TIERP</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49061-2021</t>
        </is>
      </c>
      <c r="B2097" s="1" t="n">
        <v>44453</v>
      </c>
      <c r="C2097" s="1" t="n">
        <v>45846</v>
      </c>
      <c r="D2097" t="inlineStr">
        <is>
          <t>UPPSALA LÄN</t>
        </is>
      </c>
      <c r="E2097" t="inlineStr">
        <is>
          <t>TIERP</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49274-2021</t>
        </is>
      </c>
      <c r="B2098" s="1" t="n">
        <v>44454</v>
      </c>
      <c r="C2098" s="1" t="n">
        <v>45846</v>
      </c>
      <c r="D2098" t="inlineStr">
        <is>
          <t>UPPSALA LÄN</t>
        </is>
      </c>
      <c r="E2098" t="inlineStr">
        <is>
          <t>UPPSALA</t>
        </is>
      </c>
      <c r="G2098" t="n">
        <v>8.5</v>
      </c>
      <c r="H2098" t="n">
        <v>0</v>
      </c>
      <c r="I2098" t="n">
        <v>0</v>
      </c>
      <c r="J2098" t="n">
        <v>0</v>
      </c>
      <c r="K2098" t="n">
        <v>0</v>
      </c>
      <c r="L2098" t="n">
        <v>0</v>
      </c>
      <c r="M2098" t="n">
        <v>0</v>
      </c>
      <c r="N2098" t="n">
        <v>0</v>
      </c>
      <c r="O2098" t="n">
        <v>0</v>
      </c>
      <c r="P2098" t="n">
        <v>0</v>
      </c>
      <c r="Q2098" t="n">
        <v>0</v>
      </c>
      <c r="R2098" s="2" t="inlineStr"/>
    </row>
    <row r="2099" ht="15" customHeight="1">
      <c r="A2099" t="inlineStr">
        <is>
          <t>A 49352-2021</t>
        </is>
      </c>
      <c r="B2099" s="1" t="n">
        <v>44454</v>
      </c>
      <c r="C2099" s="1" t="n">
        <v>45846</v>
      </c>
      <c r="D2099" t="inlineStr">
        <is>
          <t>UPPSALA LÄN</t>
        </is>
      </c>
      <c r="E2099" t="inlineStr">
        <is>
          <t>HEBY</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49375-2021</t>
        </is>
      </c>
      <c r="B2100" s="1" t="n">
        <v>44454</v>
      </c>
      <c r="C2100" s="1" t="n">
        <v>45846</v>
      </c>
      <c r="D2100" t="inlineStr">
        <is>
          <t>UPPSALA LÄN</t>
        </is>
      </c>
      <c r="E2100" t="inlineStr">
        <is>
          <t>ENKÖPING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49525-2021</t>
        </is>
      </c>
      <c r="B2101" s="1" t="n">
        <v>44455</v>
      </c>
      <c r="C2101" s="1" t="n">
        <v>45846</v>
      </c>
      <c r="D2101" t="inlineStr">
        <is>
          <t>UPPSALA LÄN</t>
        </is>
      </c>
      <c r="E2101" t="inlineStr">
        <is>
          <t>ENKÖPING</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50541-2021</t>
        </is>
      </c>
      <c r="B2102" s="1" t="n">
        <v>44459</v>
      </c>
      <c r="C2102" s="1" t="n">
        <v>45846</v>
      </c>
      <c r="D2102" t="inlineStr">
        <is>
          <t>UPPSALA LÄN</t>
        </is>
      </c>
      <c r="E2102" t="inlineStr">
        <is>
          <t>HEBY</t>
        </is>
      </c>
      <c r="G2102" t="n">
        <v>5.8</v>
      </c>
      <c r="H2102" t="n">
        <v>0</v>
      </c>
      <c r="I2102" t="n">
        <v>0</v>
      </c>
      <c r="J2102" t="n">
        <v>0</v>
      </c>
      <c r="K2102" t="n">
        <v>0</v>
      </c>
      <c r="L2102" t="n">
        <v>0</v>
      </c>
      <c r="M2102" t="n">
        <v>0</v>
      </c>
      <c r="N2102" t="n">
        <v>0</v>
      </c>
      <c r="O2102" t="n">
        <v>0</v>
      </c>
      <c r="P2102" t="n">
        <v>0</v>
      </c>
      <c r="Q2102" t="n">
        <v>0</v>
      </c>
      <c r="R2102" s="2" t="inlineStr"/>
    </row>
    <row r="2103" ht="15" customHeight="1">
      <c r="A2103" t="inlineStr">
        <is>
          <t>A 50546-2021</t>
        </is>
      </c>
      <c r="B2103" s="1" t="n">
        <v>44459</v>
      </c>
      <c r="C2103" s="1" t="n">
        <v>45846</v>
      </c>
      <c r="D2103" t="inlineStr">
        <is>
          <t>UPPSALA LÄN</t>
        </is>
      </c>
      <c r="E2103" t="inlineStr">
        <is>
          <t>HEBY</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51050-2021</t>
        </is>
      </c>
      <c r="B2104" s="1" t="n">
        <v>44459</v>
      </c>
      <c r="C2104" s="1" t="n">
        <v>45846</v>
      </c>
      <c r="D2104" t="inlineStr">
        <is>
          <t>UPPSALA LÄN</t>
        </is>
      </c>
      <c r="E2104" t="inlineStr">
        <is>
          <t>UPPSALA</t>
        </is>
      </c>
      <c r="F2104" t="inlineStr">
        <is>
          <t>Övriga Aktiebolag</t>
        </is>
      </c>
      <c r="G2104" t="n">
        <v>7.5</v>
      </c>
      <c r="H2104" t="n">
        <v>0</v>
      </c>
      <c r="I2104" t="n">
        <v>0</v>
      </c>
      <c r="J2104" t="n">
        <v>0</v>
      </c>
      <c r="K2104" t="n">
        <v>0</v>
      </c>
      <c r="L2104" t="n">
        <v>0</v>
      </c>
      <c r="M2104" t="n">
        <v>0</v>
      </c>
      <c r="N2104" t="n">
        <v>0</v>
      </c>
      <c r="O2104" t="n">
        <v>0</v>
      </c>
      <c r="P2104" t="n">
        <v>0</v>
      </c>
      <c r="Q2104" t="n">
        <v>0</v>
      </c>
      <c r="R2104" s="2" t="inlineStr"/>
    </row>
    <row r="2105" ht="15" customHeight="1">
      <c r="A2105" t="inlineStr">
        <is>
          <t>A 50893-2021</t>
        </is>
      </c>
      <c r="B2105" s="1" t="n">
        <v>44460</v>
      </c>
      <c r="C2105" s="1" t="n">
        <v>45846</v>
      </c>
      <c r="D2105" t="inlineStr">
        <is>
          <t>UPPSALA LÄN</t>
        </is>
      </c>
      <c r="E2105" t="inlineStr">
        <is>
          <t>ENKÖPING</t>
        </is>
      </c>
      <c r="G2105" t="n">
        <v>7.3</v>
      </c>
      <c r="H2105" t="n">
        <v>0</v>
      </c>
      <c r="I2105" t="n">
        <v>0</v>
      </c>
      <c r="J2105" t="n">
        <v>0</v>
      </c>
      <c r="K2105" t="n">
        <v>0</v>
      </c>
      <c r="L2105" t="n">
        <v>0</v>
      </c>
      <c r="M2105" t="n">
        <v>0</v>
      </c>
      <c r="N2105" t="n">
        <v>0</v>
      </c>
      <c r="O2105" t="n">
        <v>0</v>
      </c>
      <c r="P2105" t="n">
        <v>0</v>
      </c>
      <c r="Q2105" t="n">
        <v>0</v>
      </c>
      <c r="R2105" s="2" t="inlineStr"/>
    </row>
    <row r="2106" ht="15" customHeight="1">
      <c r="A2106" t="inlineStr">
        <is>
          <t>A 51010-2021</t>
        </is>
      </c>
      <c r="B2106" s="1" t="n">
        <v>44460</v>
      </c>
      <c r="C2106" s="1" t="n">
        <v>45846</v>
      </c>
      <c r="D2106" t="inlineStr">
        <is>
          <t>UPPSALA LÄN</t>
        </is>
      </c>
      <c r="E2106" t="inlineStr">
        <is>
          <t>ÖSTHAMMAR</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51412-2021</t>
        </is>
      </c>
      <c r="B2107" s="1" t="n">
        <v>44461</v>
      </c>
      <c r="C2107" s="1" t="n">
        <v>45846</v>
      </c>
      <c r="D2107" t="inlineStr">
        <is>
          <t>UPPSALA LÄN</t>
        </is>
      </c>
      <c r="E2107" t="inlineStr">
        <is>
          <t>ÖSTHAMMAR</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51364-2021</t>
        </is>
      </c>
      <c r="B2108" s="1" t="n">
        <v>44461</v>
      </c>
      <c r="C2108" s="1" t="n">
        <v>45846</v>
      </c>
      <c r="D2108" t="inlineStr">
        <is>
          <t>UPPSALA LÄN</t>
        </is>
      </c>
      <c r="E2108" t="inlineStr">
        <is>
          <t>ÖSTHAMMAR</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51821-2021</t>
        </is>
      </c>
      <c r="B2109" s="1" t="n">
        <v>44461</v>
      </c>
      <c r="C2109" s="1" t="n">
        <v>45846</v>
      </c>
      <c r="D2109" t="inlineStr">
        <is>
          <t>UPPSALA LÄN</t>
        </is>
      </c>
      <c r="E2109" t="inlineStr">
        <is>
          <t>UPPSALA</t>
        </is>
      </c>
      <c r="F2109" t="inlineStr">
        <is>
          <t>Övriga Aktiebolag</t>
        </is>
      </c>
      <c r="G2109" t="n">
        <v>5.3</v>
      </c>
      <c r="H2109" t="n">
        <v>0</v>
      </c>
      <c r="I2109" t="n">
        <v>0</v>
      </c>
      <c r="J2109" t="n">
        <v>0</v>
      </c>
      <c r="K2109" t="n">
        <v>0</v>
      </c>
      <c r="L2109" t="n">
        <v>0</v>
      </c>
      <c r="M2109" t="n">
        <v>0</v>
      </c>
      <c r="N2109" t="n">
        <v>0</v>
      </c>
      <c r="O2109" t="n">
        <v>0</v>
      </c>
      <c r="P2109" t="n">
        <v>0</v>
      </c>
      <c r="Q2109" t="n">
        <v>0</v>
      </c>
      <c r="R2109" s="2" t="inlineStr"/>
    </row>
    <row r="2110" ht="15" customHeight="1">
      <c r="A2110" t="inlineStr">
        <is>
          <t>A 51396-2021</t>
        </is>
      </c>
      <c r="B2110" s="1" t="n">
        <v>44461</v>
      </c>
      <c r="C2110" s="1" t="n">
        <v>45846</v>
      </c>
      <c r="D2110" t="inlineStr">
        <is>
          <t>UPPSALA LÄN</t>
        </is>
      </c>
      <c r="E2110" t="inlineStr">
        <is>
          <t>UPPSALA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51612-2021</t>
        </is>
      </c>
      <c r="B2111" s="1" t="n">
        <v>44462</v>
      </c>
      <c r="C2111" s="1" t="n">
        <v>45846</v>
      </c>
      <c r="D2111" t="inlineStr">
        <is>
          <t>UPPSALA LÄN</t>
        </is>
      </c>
      <c r="E2111" t="inlineStr">
        <is>
          <t>ÖSTHAMMAR</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52083-2021</t>
        </is>
      </c>
      <c r="B2112" s="1" t="n">
        <v>44463</v>
      </c>
      <c r="C2112" s="1" t="n">
        <v>45846</v>
      </c>
      <c r="D2112" t="inlineStr">
        <is>
          <t>UPPSALA LÄN</t>
        </is>
      </c>
      <c r="E2112" t="inlineStr">
        <is>
          <t>UPPSALA</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52014-2021</t>
        </is>
      </c>
      <c r="B2113" s="1" t="n">
        <v>44463</v>
      </c>
      <c r="C2113" s="1" t="n">
        <v>45846</v>
      </c>
      <c r="D2113" t="inlineStr">
        <is>
          <t>UPPSALA LÄN</t>
        </is>
      </c>
      <c r="E2113" t="inlineStr">
        <is>
          <t>ENKÖPING</t>
        </is>
      </c>
      <c r="G2113" t="n">
        <v>5.8</v>
      </c>
      <c r="H2113" t="n">
        <v>0</v>
      </c>
      <c r="I2113" t="n">
        <v>0</v>
      </c>
      <c r="J2113" t="n">
        <v>0</v>
      </c>
      <c r="K2113" t="n">
        <v>0</v>
      </c>
      <c r="L2113" t="n">
        <v>0</v>
      </c>
      <c r="M2113" t="n">
        <v>0</v>
      </c>
      <c r="N2113" t="n">
        <v>0</v>
      </c>
      <c r="O2113" t="n">
        <v>0</v>
      </c>
      <c r="P2113" t="n">
        <v>0</v>
      </c>
      <c r="Q2113" t="n">
        <v>0</v>
      </c>
      <c r="R2113" s="2" t="inlineStr"/>
    </row>
    <row r="2114" ht="15" customHeight="1">
      <c r="A2114" t="inlineStr">
        <is>
          <t>A 52025-2021</t>
        </is>
      </c>
      <c r="B2114" s="1" t="n">
        <v>44463</v>
      </c>
      <c r="C2114" s="1" t="n">
        <v>45846</v>
      </c>
      <c r="D2114" t="inlineStr">
        <is>
          <t>UPPSALA LÄN</t>
        </is>
      </c>
      <c r="E2114" t="inlineStr">
        <is>
          <t>TIERP</t>
        </is>
      </c>
      <c r="F2114" t="inlineStr">
        <is>
          <t>Bergvik skog öst AB</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52424-2021</t>
        </is>
      </c>
      <c r="B2115" s="1" t="n">
        <v>44466</v>
      </c>
      <c r="C2115" s="1" t="n">
        <v>45846</v>
      </c>
      <c r="D2115" t="inlineStr">
        <is>
          <t>UPPSALA LÄN</t>
        </is>
      </c>
      <c r="E2115" t="inlineStr">
        <is>
          <t>HEBY</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52659-2021</t>
        </is>
      </c>
      <c r="B2116" s="1" t="n">
        <v>44466</v>
      </c>
      <c r="C2116" s="1" t="n">
        <v>45846</v>
      </c>
      <c r="D2116" t="inlineStr">
        <is>
          <t>UPPSALA LÄN</t>
        </is>
      </c>
      <c r="E2116" t="inlineStr">
        <is>
          <t>ÖSTHAMMAR</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52544-2021</t>
        </is>
      </c>
      <c r="B2117" s="1" t="n">
        <v>44466</v>
      </c>
      <c r="C2117" s="1" t="n">
        <v>45846</v>
      </c>
      <c r="D2117" t="inlineStr">
        <is>
          <t>UPPSALA LÄN</t>
        </is>
      </c>
      <c r="E2117" t="inlineStr">
        <is>
          <t>ÖSTHAMMAR</t>
        </is>
      </c>
      <c r="F2117" t="inlineStr">
        <is>
          <t>Bergvik skog väst AB</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53067-2021</t>
        </is>
      </c>
      <c r="B2118" s="1" t="n">
        <v>44467</v>
      </c>
      <c r="C2118" s="1" t="n">
        <v>45846</v>
      </c>
      <c r="D2118" t="inlineStr">
        <is>
          <t>UPPSALA LÄN</t>
        </is>
      </c>
      <c r="E2118" t="inlineStr">
        <is>
          <t>HEBY</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52898-2021</t>
        </is>
      </c>
      <c r="B2119" s="1" t="n">
        <v>44467</v>
      </c>
      <c r="C2119" s="1" t="n">
        <v>45846</v>
      </c>
      <c r="D2119" t="inlineStr">
        <is>
          <t>UPPSALA LÄN</t>
        </is>
      </c>
      <c r="E2119" t="inlineStr">
        <is>
          <t>ÖSTHAMMAR</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53666-2021</t>
        </is>
      </c>
      <c r="B2120" s="1" t="n">
        <v>44469</v>
      </c>
      <c r="C2120" s="1" t="n">
        <v>45846</v>
      </c>
      <c r="D2120" t="inlineStr">
        <is>
          <t>UPPSALA LÄN</t>
        </is>
      </c>
      <c r="E2120" t="inlineStr">
        <is>
          <t>TIERP</t>
        </is>
      </c>
      <c r="F2120" t="inlineStr">
        <is>
          <t>Bergvik skog öst AB</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53766-2021</t>
        </is>
      </c>
      <c r="B2121" s="1" t="n">
        <v>44469</v>
      </c>
      <c r="C2121" s="1" t="n">
        <v>45846</v>
      </c>
      <c r="D2121" t="inlineStr">
        <is>
          <t>UPPSALA LÄN</t>
        </is>
      </c>
      <c r="E2121" t="inlineStr">
        <is>
          <t>TIERP</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53751-2021</t>
        </is>
      </c>
      <c r="B2122" s="1" t="n">
        <v>44469</v>
      </c>
      <c r="C2122" s="1" t="n">
        <v>45846</v>
      </c>
      <c r="D2122" t="inlineStr">
        <is>
          <t>UPPSALA LÄN</t>
        </is>
      </c>
      <c r="E2122" t="inlineStr">
        <is>
          <t>TIERP</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54168-2021</t>
        </is>
      </c>
      <c r="B2123" s="1" t="n">
        <v>44470</v>
      </c>
      <c r="C2123" s="1" t="n">
        <v>45846</v>
      </c>
      <c r="D2123" t="inlineStr">
        <is>
          <t>UPPSALA LÄN</t>
        </is>
      </c>
      <c r="E2123" t="inlineStr">
        <is>
          <t>UPPSALA</t>
        </is>
      </c>
      <c r="G2123" t="n">
        <v>7.5</v>
      </c>
      <c r="H2123" t="n">
        <v>0</v>
      </c>
      <c r="I2123" t="n">
        <v>0</v>
      </c>
      <c r="J2123" t="n">
        <v>0</v>
      </c>
      <c r="K2123" t="n">
        <v>0</v>
      </c>
      <c r="L2123" t="n">
        <v>0</v>
      </c>
      <c r="M2123" t="n">
        <v>0</v>
      </c>
      <c r="N2123" t="n">
        <v>0</v>
      </c>
      <c r="O2123" t="n">
        <v>0</v>
      </c>
      <c r="P2123" t="n">
        <v>0</v>
      </c>
      <c r="Q2123" t="n">
        <v>0</v>
      </c>
      <c r="R2123" s="2" t="inlineStr"/>
    </row>
    <row r="2124" ht="15" customHeight="1">
      <c r="A2124" t="inlineStr">
        <is>
          <t>A 54155-2021</t>
        </is>
      </c>
      <c r="B2124" s="1" t="n">
        <v>44470</v>
      </c>
      <c r="C2124" s="1" t="n">
        <v>45846</v>
      </c>
      <c r="D2124" t="inlineStr">
        <is>
          <t>UPPSALA LÄN</t>
        </is>
      </c>
      <c r="E2124" t="inlineStr">
        <is>
          <t>KNIVSTA</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54433-2021</t>
        </is>
      </c>
      <c r="B2125" s="1" t="n">
        <v>44473</v>
      </c>
      <c r="C2125" s="1" t="n">
        <v>45846</v>
      </c>
      <c r="D2125" t="inlineStr">
        <is>
          <t>UPPSALA LÄN</t>
        </is>
      </c>
      <c r="E2125" t="inlineStr">
        <is>
          <t>ENKÖPING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54595-2021</t>
        </is>
      </c>
      <c r="B2126" s="1" t="n">
        <v>44473</v>
      </c>
      <c r="C2126" s="1" t="n">
        <v>45846</v>
      </c>
      <c r="D2126" t="inlineStr">
        <is>
          <t>UPPSALA LÄN</t>
        </is>
      </c>
      <c r="E2126" t="inlineStr">
        <is>
          <t>ENKÖPING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54890-2021</t>
        </is>
      </c>
      <c r="B2127" s="1" t="n">
        <v>44473</v>
      </c>
      <c r="C2127" s="1" t="n">
        <v>45846</v>
      </c>
      <c r="D2127" t="inlineStr">
        <is>
          <t>UPPSALA LÄN</t>
        </is>
      </c>
      <c r="E2127" t="inlineStr">
        <is>
          <t>HÅBO</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55026-2021</t>
        </is>
      </c>
      <c r="B2128" s="1" t="n">
        <v>44474</v>
      </c>
      <c r="C2128" s="1" t="n">
        <v>45846</v>
      </c>
      <c r="D2128" t="inlineStr">
        <is>
          <t>UPPSALA LÄN</t>
        </is>
      </c>
      <c r="E2128" t="inlineStr">
        <is>
          <t>TIERP</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55582-2021</t>
        </is>
      </c>
      <c r="B2129" s="1" t="n">
        <v>44475</v>
      </c>
      <c r="C2129" s="1" t="n">
        <v>45846</v>
      </c>
      <c r="D2129" t="inlineStr">
        <is>
          <t>UPPSALA LÄN</t>
        </is>
      </c>
      <c r="E2129" t="inlineStr">
        <is>
          <t>ENKÖPING</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55646-2021</t>
        </is>
      </c>
      <c r="B2130" s="1" t="n">
        <v>44476</v>
      </c>
      <c r="C2130" s="1" t="n">
        <v>45846</v>
      </c>
      <c r="D2130" t="inlineStr">
        <is>
          <t>UPPSALA LÄN</t>
        </is>
      </c>
      <c r="E2130" t="inlineStr">
        <is>
          <t>ÖSTHAMMAR</t>
        </is>
      </c>
      <c r="F2130" t="inlineStr">
        <is>
          <t>Bergvik skog öst AB</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55872-2021</t>
        </is>
      </c>
      <c r="B2131" s="1" t="n">
        <v>44476</v>
      </c>
      <c r="C2131" s="1" t="n">
        <v>45846</v>
      </c>
      <c r="D2131" t="inlineStr">
        <is>
          <t>UPPSALA LÄN</t>
        </is>
      </c>
      <c r="E2131" t="inlineStr">
        <is>
          <t>ÖSTHAMMAR</t>
        </is>
      </c>
      <c r="F2131" t="inlineStr">
        <is>
          <t>Bergvik skog öst AB</t>
        </is>
      </c>
      <c r="G2131" t="n">
        <v>13.7</v>
      </c>
      <c r="H2131" t="n">
        <v>0</v>
      </c>
      <c r="I2131" t="n">
        <v>0</v>
      </c>
      <c r="J2131" t="n">
        <v>0</v>
      </c>
      <c r="K2131" t="n">
        <v>0</v>
      </c>
      <c r="L2131" t="n">
        <v>0</v>
      </c>
      <c r="M2131" t="n">
        <v>0</v>
      </c>
      <c r="N2131" t="n">
        <v>0</v>
      </c>
      <c r="O2131" t="n">
        <v>0</v>
      </c>
      <c r="P2131" t="n">
        <v>0</v>
      </c>
      <c r="Q2131" t="n">
        <v>0</v>
      </c>
      <c r="R2131" s="2" t="inlineStr"/>
    </row>
    <row r="2132" ht="15" customHeight="1">
      <c r="A2132" t="inlineStr">
        <is>
          <t>A 55823-2021</t>
        </is>
      </c>
      <c r="B2132" s="1" t="n">
        <v>44476</v>
      </c>
      <c r="C2132" s="1" t="n">
        <v>45846</v>
      </c>
      <c r="D2132" t="inlineStr">
        <is>
          <t>UPPSALA LÄN</t>
        </is>
      </c>
      <c r="E2132" t="inlineStr">
        <is>
          <t>UPPSALA</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56163-2021</t>
        </is>
      </c>
      <c r="B2133" s="1" t="n">
        <v>44477</v>
      </c>
      <c r="C2133" s="1" t="n">
        <v>45846</v>
      </c>
      <c r="D2133" t="inlineStr">
        <is>
          <t>UPPSALA LÄN</t>
        </is>
      </c>
      <c r="E2133" t="inlineStr">
        <is>
          <t>ENKÖPING</t>
        </is>
      </c>
      <c r="F2133" t="inlineStr">
        <is>
          <t>Allmännings- och besparingsskogar</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56042-2021</t>
        </is>
      </c>
      <c r="B2134" s="1" t="n">
        <v>44477</v>
      </c>
      <c r="C2134" s="1" t="n">
        <v>45846</v>
      </c>
      <c r="D2134" t="inlineStr">
        <is>
          <t>UPPSALA LÄN</t>
        </is>
      </c>
      <c r="E2134" t="inlineStr">
        <is>
          <t>UPPSALA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56138-2021</t>
        </is>
      </c>
      <c r="B2135" s="1" t="n">
        <v>44477</v>
      </c>
      <c r="C2135" s="1" t="n">
        <v>45846</v>
      </c>
      <c r="D2135" t="inlineStr">
        <is>
          <t>UPPSALA LÄN</t>
        </is>
      </c>
      <c r="E2135" t="inlineStr">
        <is>
          <t>HEBY</t>
        </is>
      </c>
      <c r="G2135" t="n">
        <v>9.1</v>
      </c>
      <c r="H2135" t="n">
        <v>0</v>
      </c>
      <c r="I2135" t="n">
        <v>0</v>
      </c>
      <c r="J2135" t="n">
        <v>0</v>
      </c>
      <c r="K2135" t="n">
        <v>0</v>
      </c>
      <c r="L2135" t="n">
        <v>0</v>
      </c>
      <c r="M2135" t="n">
        <v>0</v>
      </c>
      <c r="N2135" t="n">
        <v>0</v>
      </c>
      <c r="O2135" t="n">
        <v>0</v>
      </c>
      <c r="P2135" t="n">
        <v>0</v>
      </c>
      <c r="Q2135" t="n">
        <v>0</v>
      </c>
      <c r="R2135" s="2" t="inlineStr"/>
    </row>
    <row r="2136" ht="15" customHeight="1">
      <c r="A2136" t="inlineStr">
        <is>
          <t>A 56176-2021</t>
        </is>
      </c>
      <c r="B2136" s="1" t="n">
        <v>44477</v>
      </c>
      <c r="C2136" s="1" t="n">
        <v>45846</v>
      </c>
      <c r="D2136" t="inlineStr">
        <is>
          <t>UPPSALA LÄN</t>
        </is>
      </c>
      <c r="E2136" t="inlineStr">
        <is>
          <t>ENKÖPING</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56302-2021</t>
        </is>
      </c>
      <c r="B2137" s="1" t="n">
        <v>44477</v>
      </c>
      <c r="C2137" s="1" t="n">
        <v>45846</v>
      </c>
      <c r="D2137" t="inlineStr">
        <is>
          <t>UPPSALA LÄN</t>
        </is>
      </c>
      <c r="E2137" t="inlineStr">
        <is>
          <t>HEBY</t>
        </is>
      </c>
      <c r="F2137" t="inlineStr">
        <is>
          <t>Bergvik skog väst AB</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56049-2021</t>
        </is>
      </c>
      <c r="B2138" s="1" t="n">
        <v>44477</v>
      </c>
      <c r="C2138" s="1" t="n">
        <v>45846</v>
      </c>
      <c r="D2138" t="inlineStr">
        <is>
          <t>UPPSALA LÄN</t>
        </is>
      </c>
      <c r="E2138" t="inlineStr">
        <is>
          <t>UPPSALA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56463-2021</t>
        </is>
      </c>
      <c r="B2139" s="1" t="n">
        <v>44479</v>
      </c>
      <c r="C2139" s="1" t="n">
        <v>45846</v>
      </c>
      <c r="D2139" t="inlineStr">
        <is>
          <t>UPPSALA LÄN</t>
        </is>
      </c>
      <c r="E2139" t="inlineStr">
        <is>
          <t>UPPSALA</t>
        </is>
      </c>
      <c r="G2139" t="n">
        <v>6.4</v>
      </c>
      <c r="H2139" t="n">
        <v>0</v>
      </c>
      <c r="I2139" t="n">
        <v>0</v>
      </c>
      <c r="J2139" t="n">
        <v>0</v>
      </c>
      <c r="K2139" t="n">
        <v>0</v>
      </c>
      <c r="L2139" t="n">
        <v>0</v>
      </c>
      <c r="M2139" t="n">
        <v>0</v>
      </c>
      <c r="N2139" t="n">
        <v>0</v>
      </c>
      <c r="O2139" t="n">
        <v>0</v>
      </c>
      <c r="P2139" t="n">
        <v>0</v>
      </c>
      <c r="Q2139" t="n">
        <v>0</v>
      </c>
      <c r="R2139" s="2" t="inlineStr"/>
    </row>
    <row r="2140" ht="15" customHeight="1">
      <c r="A2140" t="inlineStr">
        <is>
          <t>A 56376-2021</t>
        </is>
      </c>
      <c r="B2140" s="1" t="n">
        <v>44480</v>
      </c>
      <c r="C2140" s="1" t="n">
        <v>45846</v>
      </c>
      <c r="D2140" t="inlineStr">
        <is>
          <t>UPPSALA LÄN</t>
        </is>
      </c>
      <c r="E2140" t="inlineStr">
        <is>
          <t>HEBY</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56352-2021</t>
        </is>
      </c>
      <c r="B2141" s="1" t="n">
        <v>44480</v>
      </c>
      <c r="C2141" s="1" t="n">
        <v>45846</v>
      </c>
      <c r="D2141" t="inlineStr">
        <is>
          <t>UPPSALA LÄN</t>
        </is>
      </c>
      <c r="E2141" t="inlineStr">
        <is>
          <t>HEBY</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56498-2021</t>
        </is>
      </c>
      <c r="B2142" s="1" t="n">
        <v>44480</v>
      </c>
      <c r="C2142" s="1" t="n">
        <v>45846</v>
      </c>
      <c r="D2142" t="inlineStr">
        <is>
          <t>UPPSALA LÄN</t>
        </is>
      </c>
      <c r="E2142" t="inlineStr">
        <is>
          <t>TIERP</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56509-2021</t>
        </is>
      </c>
      <c r="B2143" s="1" t="n">
        <v>44480</v>
      </c>
      <c r="C2143" s="1" t="n">
        <v>45846</v>
      </c>
      <c r="D2143" t="inlineStr">
        <is>
          <t>UPPSALA LÄN</t>
        </is>
      </c>
      <c r="E2143" t="inlineStr">
        <is>
          <t>TIERP</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56578-2021</t>
        </is>
      </c>
      <c r="B2144" s="1" t="n">
        <v>44480</v>
      </c>
      <c r="C2144" s="1" t="n">
        <v>45846</v>
      </c>
      <c r="D2144" t="inlineStr">
        <is>
          <t>UPPSALA LÄN</t>
        </is>
      </c>
      <c r="E2144" t="inlineStr">
        <is>
          <t>HEBY</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56740-2021</t>
        </is>
      </c>
      <c r="B2145" s="1" t="n">
        <v>44481</v>
      </c>
      <c r="C2145" s="1" t="n">
        <v>45846</v>
      </c>
      <c r="D2145" t="inlineStr">
        <is>
          <t>UPPSALA LÄN</t>
        </is>
      </c>
      <c r="E2145" t="inlineStr">
        <is>
          <t>TIERP</t>
        </is>
      </c>
      <c r="F2145" t="inlineStr">
        <is>
          <t>Bergvik skog öst AB</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56769-2021</t>
        </is>
      </c>
      <c r="B2146" s="1" t="n">
        <v>44481</v>
      </c>
      <c r="C2146" s="1" t="n">
        <v>45846</v>
      </c>
      <c r="D2146" t="inlineStr">
        <is>
          <t>UPPSALA LÄN</t>
        </is>
      </c>
      <c r="E2146" t="inlineStr">
        <is>
          <t>UPPSALA</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57003-2021</t>
        </is>
      </c>
      <c r="B2147" s="1" t="n">
        <v>44482</v>
      </c>
      <c r="C2147" s="1" t="n">
        <v>45846</v>
      </c>
      <c r="D2147" t="inlineStr">
        <is>
          <t>UPPSALA LÄN</t>
        </is>
      </c>
      <c r="E2147" t="inlineStr">
        <is>
          <t>ÖSTHAMMAR</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57043-2021</t>
        </is>
      </c>
      <c r="B2148" s="1" t="n">
        <v>44482</v>
      </c>
      <c r="C2148" s="1" t="n">
        <v>45846</v>
      </c>
      <c r="D2148" t="inlineStr">
        <is>
          <t>UPPSALA LÄN</t>
        </is>
      </c>
      <c r="E2148" t="inlineStr">
        <is>
          <t>ENKÖPING</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57055-2021</t>
        </is>
      </c>
      <c r="B2149" s="1" t="n">
        <v>44482</v>
      </c>
      <c r="C2149" s="1" t="n">
        <v>45846</v>
      </c>
      <c r="D2149" t="inlineStr">
        <is>
          <t>UPPSALA LÄN</t>
        </is>
      </c>
      <c r="E2149" t="inlineStr">
        <is>
          <t>ENKÖPING</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57028-2021</t>
        </is>
      </c>
      <c r="B2150" s="1" t="n">
        <v>44482</v>
      </c>
      <c r="C2150" s="1" t="n">
        <v>45846</v>
      </c>
      <c r="D2150" t="inlineStr">
        <is>
          <t>UPPSALA LÄN</t>
        </is>
      </c>
      <c r="E2150" t="inlineStr">
        <is>
          <t>TIERP</t>
        </is>
      </c>
      <c r="F2150" t="inlineStr">
        <is>
          <t>Bergvik skog väst AB</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57066-2021</t>
        </is>
      </c>
      <c r="B2151" s="1" t="n">
        <v>44482</v>
      </c>
      <c r="C2151" s="1" t="n">
        <v>45846</v>
      </c>
      <c r="D2151" t="inlineStr">
        <is>
          <t>UPPSALA LÄN</t>
        </is>
      </c>
      <c r="E2151" t="inlineStr">
        <is>
          <t>ENKÖPING</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57080-2021</t>
        </is>
      </c>
      <c r="B2152" s="1" t="n">
        <v>44482</v>
      </c>
      <c r="C2152" s="1" t="n">
        <v>45846</v>
      </c>
      <c r="D2152" t="inlineStr">
        <is>
          <t>UPPSALA LÄN</t>
        </is>
      </c>
      <c r="E2152" t="inlineStr">
        <is>
          <t>ÖSTHAMMAR</t>
        </is>
      </c>
      <c r="F2152" t="inlineStr">
        <is>
          <t>Bergvik skog öst AB</t>
        </is>
      </c>
      <c r="G2152" t="n">
        <v>13.4</v>
      </c>
      <c r="H2152" t="n">
        <v>0</v>
      </c>
      <c r="I2152" t="n">
        <v>0</v>
      </c>
      <c r="J2152" t="n">
        <v>0</v>
      </c>
      <c r="K2152" t="n">
        <v>0</v>
      </c>
      <c r="L2152" t="n">
        <v>0</v>
      </c>
      <c r="M2152" t="n">
        <v>0</v>
      </c>
      <c r="N2152" t="n">
        <v>0</v>
      </c>
      <c r="O2152" t="n">
        <v>0</v>
      </c>
      <c r="P2152" t="n">
        <v>0</v>
      </c>
      <c r="Q2152" t="n">
        <v>0</v>
      </c>
      <c r="R2152" s="2" t="inlineStr"/>
    </row>
    <row r="2153" ht="15" customHeight="1">
      <c r="A2153" t="inlineStr">
        <is>
          <t>A 57078-2021</t>
        </is>
      </c>
      <c r="B2153" s="1" t="n">
        <v>44482</v>
      </c>
      <c r="C2153" s="1" t="n">
        <v>45846</v>
      </c>
      <c r="D2153" t="inlineStr">
        <is>
          <t>UPPSALA LÄN</t>
        </is>
      </c>
      <c r="E2153" t="inlineStr">
        <is>
          <t>ENKÖPING</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57142-2021</t>
        </is>
      </c>
      <c r="B2154" s="1" t="n">
        <v>44482</v>
      </c>
      <c r="C2154" s="1" t="n">
        <v>45846</v>
      </c>
      <c r="D2154" t="inlineStr">
        <is>
          <t>UPPSALA LÄN</t>
        </is>
      </c>
      <c r="E2154" t="inlineStr">
        <is>
          <t>ENKÖPING</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57153-2021</t>
        </is>
      </c>
      <c r="B2155" s="1" t="n">
        <v>44482</v>
      </c>
      <c r="C2155" s="1" t="n">
        <v>45846</v>
      </c>
      <c r="D2155" t="inlineStr">
        <is>
          <t>UPPSALA LÄN</t>
        </is>
      </c>
      <c r="E2155" t="inlineStr">
        <is>
          <t>ENKÖPING</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57147-2021</t>
        </is>
      </c>
      <c r="B2156" s="1" t="n">
        <v>44482</v>
      </c>
      <c r="C2156" s="1" t="n">
        <v>45846</v>
      </c>
      <c r="D2156" t="inlineStr">
        <is>
          <t>UPPSALA LÄN</t>
        </is>
      </c>
      <c r="E2156" t="inlineStr">
        <is>
          <t>ENKÖPING</t>
        </is>
      </c>
      <c r="G2156" t="n">
        <v>5.7</v>
      </c>
      <c r="H2156" t="n">
        <v>0</v>
      </c>
      <c r="I2156" t="n">
        <v>0</v>
      </c>
      <c r="J2156" t="n">
        <v>0</v>
      </c>
      <c r="K2156" t="n">
        <v>0</v>
      </c>
      <c r="L2156" t="n">
        <v>0</v>
      </c>
      <c r="M2156" t="n">
        <v>0</v>
      </c>
      <c r="N2156" t="n">
        <v>0</v>
      </c>
      <c r="O2156" t="n">
        <v>0</v>
      </c>
      <c r="P2156" t="n">
        <v>0</v>
      </c>
      <c r="Q2156" t="n">
        <v>0</v>
      </c>
      <c r="R2156" s="2" t="inlineStr"/>
    </row>
    <row r="2157" ht="15" customHeight="1">
      <c r="A2157" t="inlineStr">
        <is>
          <t>A 57152-2021</t>
        </is>
      </c>
      <c r="B2157" s="1" t="n">
        <v>44482</v>
      </c>
      <c r="C2157" s="1" t="n">
        <v>45846</v>
      </c>
      <c r="D2157" t="inlineStr">
        <is>
          <t>UPPSALA LÄN</t>
        </is>
      </c>
      <c r="E2157" t="inlineStr">
        <is>
          <t>ENKÖPING</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57647-2021</t>
        </is>
      </c>
      <c r="B2158" s="1" t="n">
        <v>44484</v>
      </c>
      <c r="C2158" s="1" t="n">
        <v>45846</v>
      </c>
      <c r="D2158" t="inlineStr">
        <is>
          <t>UPPSALA LÄN</t>
        </is>
      </c>
      <c r="E2158" t="inlineStr">
        <is>
          <t>UPPSALA</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57890-2021</t>
        </is>
      </c>
      <c r="B2159" s="1" t="n">
        <v>44486</v>
      </c>
      <c r="C2159" s="1" t="n">
        <v>45846</v>
      </c>
      <c r="D2159" t="inlineStr">
        <is>
          <t>UPPSALA LÄN</t>
        </is>
      </c>
      <c r="E2159" t="inlineStr">
        <is>
          <t>UPPSALA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58334-2021</t>
        </is>
      </c>
      <c r="B2160" s="1" t="n">
        <v>44488</v>
      </c>
      <c r="C2160" s="1" t="n">
        <v>45846</v>
      </c>
      <c r="D2160" t="inlineStr">
        <is>
          <t>UPPSALA LÄN</t>
        </is>
      </c>
      <c r="E2160" t="inlineStr">
        <is>
          <t>ÖSTHAMMAR</t>
        </is>
      </c>
      <c r="G2160" t="n">
        <v>5.7</v>
      </c>
      <c r="H2160" t="n">
        <v>0</v>
      </c>
      <c r="I2160" t="n">
        <v>0</v>
      </c>
      <c r="J2160" t="n">
        <v>0</v>
      </c>
      <c r="K2160" t="n">
        <v>0</v>
      </c>
      <c r="L2160" t="n">
        <v>0</v>
      </c>
      <c r="M2160" t="n">
        <v>0</v>
      </c>
      <c r="N2160" t="n">
        <v>0</v>
      </c>
      <c r="O2160" t="n">
        <v>0</v>
      </c>
      <c r="P2160" t="n">
        <v>0</v>
      </c>
      <c r="Q2160" t="n">
        <v>0</v>
      </c>
      <c r="R2160" s="2" t="inlineStr"/>
    </row>
    <row r="2161" ht="15" customHeight="1">
      <c r="A2161" t="inlineStr">
        <is>
          <t>A 58767-2021</t>
        </is>
      </c>
      <c r="B2161" s="1" t="n">
        <v>44489</v>
      </c>
      <c r="C2161" s="1" t="n">
        <v>45846</v>
      </c>
      <c r="D2161" t="inlineStr">
        <is>
          <t>UPPSALA LÄN</t>
        </is>
      </c>
      <c r="E2161" t="inlineStr">
        <is>
          <t>UPPSALA</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58897-2021</t>
        </is>
      </c>
      <c r="B2162" s="1" t="n">
        <v>44489</v>
      </c>
      <c r="C2162" s="1" t="n">
        <v>45846</v>
      </c>
      <c r="D2162" t="inlineStr">
        <is>
          <t>UPPSALA LÄN</t>
        </is>
      </c>
      <c r="E2162" t="inlineStr">
        <is>
          <t>UPPSALA</t>
        </is>
      </c>
      <c r="G2162" t="n">
        <v>8.800000000000001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59121-2021</t>
        </is>
      </c>
      <c r="B2163" s="1" t="n">
        <v>44490</v>
      </c>
      <c r="C2163" s="1" t="n">
        <v>45846</v>
      </c>
      <c r="D2163" t="inlineStr">
        <is>
          <t>UPPSALA LÄN</t>
        </is>
      </c>
      <c r="E2163" t="inlineStr">
        <is>
          <t>ENKÖPING</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59241-2021</t>
        </is>
      </c>
      <c r="B2164" s="1" t="n">
        <v>44490</v>
      </c>
      <c r="C2164" s="1" t="n">
        <v>45846</v>
      </c>
      <c r="D2164" t="inlineStr">
        <is>
          <t>UPPSALA LÄN</t>
        </is>
      </c>
      <c r="E2164" t="inlineStr">
        <is>
          <t>UPPSALA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59378-2021</t>
        </is>
      </c>
      <c r="B2165" s="1" t="n">
        <v>44491</v>
      </c>
      <c r="C2165" s="1" t="n">
        <v>45846</v>
      </c>
      <c r="D2165" t="inlineStr">
        <is>
          <t>UPPSALA LÄN</t>
        </is>
      </c>
      <c r="E2165" t="inlineStr">
        <is>
          <t>TIERP</t>
        </is>
      </c>
      <c r="F2165" t="inlineStr">
        <is>
          <t>Bergvik skog öst AB</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59484-2021</t>
        </is>
      </c>
      <c r="B2166" s="1" t="n">
        <v>44491</v>
      </c>
      <c r="C2166" s="1" t="n">
        <v>45846</v>
      </c>
      <c r="D2166" t="inlineStr">
        <is>
          <t>UPPSALA LÄN</t>
        </is>
      </c>
      <c r="E2166" t="inlineStr">
        <is>
          <t>UPPSALA</t>
        </is>
      </c>
      <c r="F2166" t="inlineStr">
        <is>
          <t>Bergvik skog öst AB</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59500-2021</t>
        </is>
      </c>
      <c r="B2167" s="1" t="n">
        <v>44491</v>
      </c>
      <c r="C2167" s="1" t="n">
        <v>45846</v>
      </c>
      <c r="D2167" t="inlineStr">
        <is>
          <t>UPPSALA LÄN</t>
        </is>
      </c>
      <c r="E2167" t="inlineStr">
        <is>
          <t>UPPSALA</t>
        </is>
      </c>
      <c r="F2167" t="inlineStr">
        <is>
          <t>Bergvik skog öst AB</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59350-2021</t>
        </is>
      </c>
      <c r="B2168" s="1" t="n">
        <v>44491</v>
      </c>
      <c r="C2168" s="1" t="n">
        <v>45846</v>
      </c>
      <c r="D2168" t="inlineStr">
        <is>
          <t>UPPSALA LÄN</t>
        </is>
      </c>
      <c r="E2168" t="inlineStr">
        <is>
          <t>TIERP</t>
        </is>
      </c>
      <c r="F2168" t="inlineStr">
        <is>
          <t>Bergvik skog öst AB</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59360-2021</t>
        </is>
      </c>
      <c r="B2169" s="1" t="n">
        <v>44491</v>
      </c>
      <c r="C2169" s="1" t="n">
        <v>45846</v>
      </c>
      <c r="D2169" t="inlineStr">
        <is>
          <t>UPPSALA LÄN</t>
        </is>
      </c>
      <c r="E2169" t="inlineStr">
        <is>
          <t>ÖSTHAMMAR</t>
        </is>
      </c>
      <c r="F2169" t="inlineStr">
        <is>
          <t>Bergvik skog öst AB</t>
        </is>
      </c>
      <c r="G2169" t="n">
        <v>8</v>
      </c>
      <c r="H2169" t="n">
        <v>0</v>
      </c>
      <c r="I2169" t="n">
        <v>0</v>
      </c>
      <c r="J2169" t="n">
        <v>0</v>
      </c>
      <c r="K2169" t="n">
        <v>0</v>
      </c>
      <c r="L2169" t="n">
        <v>0</v>
      </c>
      <c r="M2169" t="n">
        <v>0</v>
      </c>
      <c r="N2169" t="n">
        <v>0</v>
      </c>
      <c r="O2169" t="n">
        <v>0</v>
      </c>
      <c r="P2169" t="n">
        <v>0</v>
      </c>
      <c r="Q2169" t="n">
        <v>0</v>
      </c>
      <c r="R2169" s="2" t="inlineStr"/>
    </row>
    <row r="2170" ht="15" customHeight="1">
      <c r="A2170" t="inlineStr">
        <is>
          <t>A 59479-2021</t>
        </is>
      </c>
      <c r="B2170" s="1" t="n">
        <v>44491</v>
      </c>
      <c r="C2170" s="1" t="n">
        <v>45846</v>
      </c>
      <c r="D2170" t="inlineStr">
        <is>
          <t>UPPSALA LÄN</t>
        </is>
      </c>
      <c r="E2170" t="inlineStr">
        <is>
          <t>UPPSALA</t>
        </is>
      </c>
      <c r="F2170" t="inlineStr">
        <is>
          <t>Bergvik skog öst AB</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59486-2021</t>
        </is>
      </c>
      <c r="B2171" s="1" t="n">
        <v>44491</v>
      </c>
      <c r="C2171" s="1" t="n">
        <v>45846</v>
      </c>
      <c r="D2171" t="inlineStr">
        <is>
          <t>UPPSALA LÄN</t>
        </is>
      </c>
      <c r="E2171" t="inlineStr">
        <is>
          <t>HEBY</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59498-2021</t>
        </is>
      </c>
      <c r="B2172" s="1" t="n">
        <v>44491</v>
      </c>
      <c r="C2172" s="1" t="n">
        <v>45846</v>
      </c>
      <c r="D2172" t="inlineStr">
        <is>
          <t>UPPSALA LÄN</t>
        </is>
      </c>
      <c r="E2172" t="inlineStr">
        <is>
          <t>ÖSTHAMMAR</t>
        </is>
      </c>
      <c r="F2172" t="inlineStr">
        <is>
          <t>Bergvik skog öst AB</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59599-2021</t>
        </is>
      </c>
      <c r="B2173" s="1" t="n">
        <v>44491</v>
      </c>
      <c r="C2173" s="1" t="n">
        <v>45846</v>
      </c>
      <c r="D2173" t="inlineStr">
        <is>
          <t>UPPSALA LÄN</t>
        </is>
      </c>
      <c r="E2173" t="inlineStr">
        <is>
          <t>HEBY</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59881-2021</t>
        </is>
      </c>
      <c r="B2174" s="1" t="n">
        <v>44494</v>
      </c>
      <c r="C2174" s="1" t="n">
        <v>45846</v>
      </c>
      <c r="D2174" t="inlineStr">
        <is>
          <t>UPPSALA LÄN</t>
        </is>
      </c>
      <c r="E2174" t="inlineStr">
        <is>
          <t>UPPSALA</t>
        </is>
      </c>
      <c r="F2174" t="inlineStr">
        <is>
          <t>Allmännings- och besparingsskogar</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60047-2021</t>
        </is>
      </c>
      <c r="B2175" s="1" t="n">
        <v>44495</v>
      </c>
      <c r="C2175" s="1" t="n">
        <v>45846</v>
      </c>
      <c r="D2175" t="inlineStr">
        <is>
          <t>UPPSALA LÄN</t>
        </is>
      </c>
      <c r="E2175" t="inlineStr">
        <is>
          <t>ÖSTHAMMAR</t>
        </is>
      </c>
      <c r="F2175" t="inlineStr">
        <is>
          <t>Övriga Aktiebolag</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60032-2021</t>
        </is>
      </c>
      <c r="B2176" s="1" t="n">
        <v>44495</v>
      </c>
      <c r="C2176" s="1" t="n">
        <v>45846</v>
      </c>
      <c r="D2176" t="inlineStr">
        <is>
          <t>UPPSALA LÄN</t>
        </is>
      </c>
      <c r="E2176" t="inlineStr">
        <is>
          <t>UPPSALA</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60295-2021</t>
        </is>
      </c>
      <c r="B2177" s="1" t="n">
        <v>44495</v>
      </c>
      <c r="C2177" s="1" t="n">
        <v>45846</v>
      </c>
      <c r="D2177" t="inlineStr">
        <is>
          <t>UPPSALA LÄN</t>
        </is>
      </c>
      <c r="E2177" t="inlineStr">
        <is>
          <t>HEBY</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60577-2021</t>
        </is>
      </c>
      <c r="B2178" s="1" t="n">
        <v>44496</v>
      </c>
      <c r="C2178" s="1" t="n">
        <v>45846</v>
      </c>
      <c r="D2178" t="inlineStr">
        <is>
          <t>UPPSALA LÄN</t>
        </is>
      </c>
      <c r="E2178" t="inlineStr">
        <is>
          <t>ÖSTHAMMAR</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60584-2021</t>
        </is>
      </c>
      <c r="B2179" s="1" t="n">
        <v>44496</v>
      </c>
      <c r="C2179" s="1" t="n">
        <v>45846</v>
      </c>
      <c r="D2179" t="inlineStr">
        <is>
          <t>UPPSALA LÄN</t>
        </is>
      </c>
      <c r="E2179" t="inlineStr">
        <is>
          <t>ÖSTHAMMAR</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60441-2021</t>
        </is>
      </c>
      <c r="B2180" s="1" t="n">
        <v>44496</v>
      </c>
      <c r="C2180" s="1" t="n">
        <v>45846</v>
      </c>
      <c r="D2180" t="inlineStr">
        <is>
          <t>UPPSALA LÄN</t>
        </is>
      </c>
      <c r="E2180" t="inlineStr">
        <is>
          <t>TIERP</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60533-2021</t>
        </is>
      </c>
      <c r="B2181" s="1" t="n">
        <v>44496</v>
      </c>
      <c r="C2181" s="1" t="n">
        <v>45846</v>
      </c>
      <c r="D2181" t="inlineStr">
        <is>
          <t>UPPSALA LÄN</t>
        </is>
      </c>
      <c r="E2181" t="inlineStr">
        <is>
          <t>ENKÖPING</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60429-2021</t>
        </is>
      </c>
      <c r="B2182" s="1" t="n">
        <v>44496</v>
      </c>
      <c r="C2182" s="1" t="n">
        <v>45846</v>
      </c>
      <c r="D2182" t="inlineStr">
        <is>
          <t>UPPSALA LÄN</t>
        </is>
      </c>
      <c r="E2182" t="inlineStr">
        <is>
          <t>TIERP</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61008-2021</t>
        </is>
      </c>
      <c r="B2183" s="1" t="n">
        <v>44497</v>
      </c>
      <c r="C2183" s="1" t="n">
        <v>45846</v>
      </c>
      <c r="D2183" t="inlineStr">
        <is>
          <t>UPPSALA LÄN</t>
        </is>
      </c>
      <c r="E2183" t="inlineStr">
        <is>
          <t>UPPSALA</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60885-2021</t>
        </is>
      </c>
      <c r="B2184" s="1" t="n">
        <v>44497</v>
      </c>
      <c r="C2184" s="1" t="n">
        <v>45846</v>
      </c>
      <c r="D2184" t="inlineStr">
        <is>
          <t>UPPSALA LÄN</t>
        </is>
      </c>
      <c r="E2184" t="inlineStr">
        <is>
          <t>KNIVSTA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60908-2021</t>
        </is>
      </c>
      <c r="B2185" s="1" t="n">
        <v>44497</v>
      </c>
      <c r="C2185" s="1" t="n">
        <v>45846</v>
      </c>
      <c r="D2185" t="inlineStr">
        <is>
          <t>UPPSALA LÄN</t>
        </is>
      </c>
      <c r="E2185" t="inlineStr">
        <is>
          <t>TIERP</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60917-2021</t>
        </is>
      </c>
      <c r="B2186" s="1" t="n">
        <v>44497</v>
      </c>
      <c r="C2186" s="1" t="n">
        <v>45846</v>
      </c>
      <c r="D2186" t="inlineStr">
        <is>
          <t>UPPSALA LÄN</t>
        </is>
      </c>
      <c r="E2186" t="inlineStr">
        <is>
          <t>UPPSALA</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60874-2021</t>
        </is>
      </c>
      <c r="B2187" s="1" t="n">
        <v>44497</v>
      </c>
      <c r="C2187" s="1" t="n">
        <v>45846</v>
      </c>
      <c r="D2187" t="inlineStr">
        <is>
          <t>UPPSALA LÄN</t>
        </is>
      </c>
      <c r="E2187" t="inlineStr">
        <is>
          <t>ENKÖPING</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61076-2021</t>
        </is>
      </c>
      <c r="B2188" s="1" t="n">
        <v>44497</v>
      </c>
      <c r="C2188" s="1" t="n">
        <v>45846</v>
      </c>
      <c r="D2188" t="inlineStr">
        <is>
          <t>UPPSALA LÄN</t>
        </is>
      </c>
      <c r="E2188" t="inlineStr">
        <is>
          <t>ENKÖPING</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60925-2021</t>
        </is>
      </c>
      <c r="B2189" s="1" t="n">
        <v>44497</v>
      </c>
      <c r="C2189" s="1" t="n">
        <v>45846</v>
      </c>
      <c r="D2189" t="inlineStr">
        <is>
          <t>UPPSALA LÄN</t>
        </is>
      </c>
      <c r="E2189" t="inlineStr">
        <is>
          <t>UPPSALA</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61746-2021</t>
        </is>
      </c>
      <c r="B2190" s="1" t="n">
        <v>44498</v>
      </c>
      <c r="C2190" s="1" t="n">
        <v>45846</v>
      </c>
      <c r="D2190" t="inlineStr">
        <is>
          <t>UPPSALA LÄN</t>
        </is>
      </c>
      <c r="E2190" t="inlineStr">
        <is>
          <t>ÖSTHAMMAR</t>
        </is>
      </c>
      <c r="G2190" t="n">
        <v>5.6</v>
      </c>
      <c r="H2190" t="n">
        <v>0</v>
      </c>
      <c r="I2190" t="n">
        <v>0</v>
      </c>
      <c r="J2190" t="n">
        <v>0</v>
      </c>
      <c r="K2190" t="n">
        <v>0</v>
      </c>
      <c r="L2190" t="n">
        <v>0</v>
      </c>
      <c r="M2190" t="n">
        <v>0</v>
      </c>
      <c r="N2190" t="n">
        <v>0</v>
      </c>
      <c r="O2190" t="n">
        <v>0</v>
      </c>
      <c r="P2190" t="n">
        <v>0</v>
      </c>
      <c r="Q2190" t="n">
        <v>0</v>
      </c>
      <c r="R2190" s="2" t="inlineStr"/>
    </row>
    <row r="2191" ht="15" customHeight="1">
      <c r="A2191" t="inlineStr">
        <is>
          <t>A 61555-2021</t>
        </is>
      </c>
      <c r="B2191" s="1" t="n">
        <v>44501</v>
      </c>
      <c r="C2191" s="1" t="n">
        <v>45846</v>
      </c>
      <c r="D2191" t="inlineStr">
        <is>
          <t>UPPSALA LÄN</t>
        </is>
      </c>
      <c r="E2191" t="inlineStr">
        <is>
          <t>ÖSTHAMMAR</t>
        </is>
      </c>
      <c r="F2191" t="inlineStr">
        <is>
          <t>Sveaskog</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61553-2021</t>
        </is>
      </c>
      <c r="B2192" s="1" t="n">
        <v>44501</v>
      </c>
      <c r="C2192" s="1" t="n">
        <v>45846</v>
      </c>
      <c r="D2192" t="inlineStr">
        <is>
          <t>UPPSALA LÄN</t>
        </is>
      </c>
      <c r="E2192" t="inlineStr">
        <is>
          <t>ENKÖPING</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61560-2021</t>
        </is>
      </c>
      <c r="B2193" s="1" t="n">
        <v>44501</v>
      </c>
      <c r="C2193" s="1" t="n">
        <v>45846</v>
      </c>
      <c r="D2193" t="inlineStr">
        <is>
          <t>UPPSALA LÄN</t>
        </is>
      </c>
      <c r="E2193" t="inlineStr">
        <is>
          <t>ÖSTHAMMAR</t>
        </is>
      </c>
      <c r="F2193" t="inlineStr">
        <is>
          <t>Sveaskog</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61817-2021</t>
        </is>
      </c>
      <c r="B2194" s="1" t="n">
        <v>44501</v>
      </c>
      <c r="C2194" s="1" t="n">
        <v>45846</v>
      </c>
      <c r="D2194" t="inlineStr">
        <is>
          <t>UPPSALA LÄN</t>
        </is>
      </c>
      <c r="E2194" t="inlineStr">
        <is>
          <t>ÖSTHAMMAR</t>
        </is>
      </c>
      <c r="F2194" t="inlineStr">
        <is>
          <t>Bergvik skog öst AB</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61805-2021</t>
        </is>
      </c>
      <c r="B2195" s="1" t="n">
        <v>44501</v>
      </c>
      <c r="C2195" s="1" t="n">
        <v>45846</v>
      </c>
      <c r="D2195" t="inlineStr">
        <is>
          <t>UPPSALA LÄN</t>
        </is>
      </c>
      <c r="E2195" t="inlineStr">
        <is>
          <t>UPPSALA</t>
        </is>
      </c>
      <c r="F2195" t="inlineStr">
        <is>
          <t>Bergvik skog öst AB</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61952-2021</t>
        </is>
      </c>
      <c r="B2196" s="1" t="n">
        <v>44502</v>
      </c>
      <c r="C2196" s="1" t="n">
        <v>45846</v>
      </c>
      <c r="D2196" t="inlineStr">
        <is>
          <t>UPPSALA LÄN</t>
        </is>
      </c>
      <c r="E2196" t="inlineStr">
        <is>
          <t>ENKÖPING</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62046-2021</t>
        </is>
      </c>
      <c r="B2197" s="1" t="n">
        <v>44502</v>
      </c>
      <c r="C2197" s="1" t="n">
        <v>45846</v>
      </c>
      <c r="D2197" t="inlineStr">
        <is>
          <t>UPPSALA LÄN</t>
        </is>
      </c>
      <c r="E2197" t="inlineStr">
        <is>
          <t>ENKÖPING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62471-2021</t>
        </is>
      </c>
      <c r="B2198" s="1" t="n">
        <v>44503</v>
      </c>
      <c r="C2198" s="1" t="n">
        <v>45846</v>
      </c>
      <c r="D2198" t="inlineStr">
        <is>
          <t>UPPSALA LÄN</t>
        </is>
      </c>
      <c r="E2198" t="inlineStr">
        <is>
          <t>UPPSALA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62441-2021</t>
        </is>
      </c>
      <c r="B2199" s="1" t="n">
        <v>44503</v>
      </c>
      <c r="C2199" s="1" t="n">
        <v>45846</v>
      </c>
      <c r="D2199" t="inlineStr">
        <is>
          <t>UPPSALA LÄN</t>
        </is>
      </c>
      <c r="E2199" t="inlineStr">
        <is>
          <t>KNIVSTA</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62854-2021</t>
        </is>
      </c>
      <c r="B2200" s="1" t="n">
        <v>44504</v>
      </c>
      <c r="C2200" s="1" t="n">
        <v>45846</v>
      </c>
      <c r="D2200" t="inlineStr">
        <is>
          <t>UPPSALA LÄN</t>
        </is>
      </c>
      <c r="E2200" t="inlineStr">
        <is>
          <t>ÖSTHAMMAR</t>
        </is>
      </c>
      <c r="F2200" t="inlineStr">
        <is>
          <t>Bergvik skog öst AB</t>
        </is>
      </c>
      <c r="G2200" t="n">
        <v>10.3</v>
      </c>
      <c r="H2200" t="n">
        <v>0</v>
      </c>
      <c r="I2200" t="n">
        <v>0</v>
      </c>
      <c r="J2200" t="n">
        <v>0</v>
      </c>
      <c r="K2200" t="n">
        <v>0</v>
      </c>
      <c r="L2200" t="n">
        <v>0</v>
      </c>
      <c r="M2200" t="n">
        <v>0</v>
      </c>
      <c r="N2200" t="n">
        <v>0</v>
      </c>
      <c r="O2200" t="n">
        <v>0</v>
      </c>
      <c r="P2200" t="n">
        <v>0</v>
      </c>
      <c r="Q2200" t="n">
        <v>0</v>
      </c>
      <c r="R2200" s="2" t="inlineStr"/>
    </row>
    <row r="2201" ht="15" customHeight="1">
      <c r="A2201" t="inlineStr">
        <is>
          <t>A 62764-2021</t>
        </is>
      </c>
      <c r="B2201" s="1" t="n">
        <v>44504</v>
      </c>
      <c r="C2201" s="1" t="n">
        <v>45846</v>
      </c>
      <c r="D2201" t="inlineStr">
        <is>
          <t>UPPSALA LÄN</t>
        </is>
      </c>
      <c r="E2201" t="inlineStr">
        <is>
          <t>HEBY</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62782-2021</t>
        </is>
      </c>
      <c r="B2202" s="1" t="n">
        <v>44504</v>
      </c>
      <c r="C2202" s="1" t="n">
        <v>45846</v>
      </c>
      <c r="D2202" t="inlineStr">
        <is>
          <t>UPPSALA LÄN</t>
        </is>
      </c>
      <c r="E2202" t="inlineStr">
        <is>
          <t>ÖSTHAMMAR</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62897-2021</t>
        </is>
      </c>
      <c r="B2203" s="1" t="n">
        <v>44504</v>
      </c>
      <c r="C2203" s="1" t="n">
        <v>45846</v>
      </c>
      <c r="D2203" t="inlineStr">
        <is>
          <t>UPPSALA LÄN</t>
        </is>
      </c>
      <c r="E2203" t="inlineStr">
        <is>
          <t>TIERP</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62865-2021</t>
        </is>
      </c>
      <c r="B2204" s="1" t="n">
        <v>44504</v>
      </c>
      <c r="C2204" s="1" t="n">
        <v>45846</v>
      </c>
      <c r="D2204" t="inlineStr">
        <is>
          <t>UPPSALA LÄN</t>
        </is>
      </c>
      <c r="E2204" t="inlineStr">
        <is>
          <t>UPPSALA</t>
        </is>
      </c>
      <c r="F2204" t="inlineStr">
        <is>
          <t>Bergvik skog öst AB</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63011-2021</t>
        </is>
      </c>
      <c r="B2205" s="1" t="n">
        <v>44504</v>
      </c>
      <c r="C2205" s="1" t="n">
        <v>45846</v>
      </c>
      <c r="D2205" t="inlineStr">
        <is>
          <t>UPPSALA LÄN</t>
        </is>
      </c>
      <c r="E2205" t="inlineStr">
        <is>
          <t>UPPSALA</t>
        </is>
      </c>
      <c r="G2205" t="n">
        <v>11.2</v>
      </c>
      <c r="H2205" t="n">
        <v>0</v>
      </c>
      <c r="I2205" t="n">
        <v>0</v>
      </c>
      <c r="J2205" t="n">
        <v>0</v>
      </c>
      <c r="K2205" t="n">
        <v>0</v>
      </c>
      <c r="L2205" t="n">
        <v>0</v>
      </c>
      <c r="M2205" t="n">
        <v>0</v>
      </c>
      <c r="N2205" t="n">
        <v>0</v>
      </c>
      <c r="O2205" t="n">
        <v>0</v>
      </c>
      <c r="P2205" t="n">
        <v>0</v>
      </c>
      <c r="Q2205" t="n">
        <v>0</v>
      </c>
      <c r="R2205" s="2" t="inlineStr"/>
    </row>
    <row r="2206" ht="15" customHeight="1">
      <c r="A2206" t="inlineStr">
        <is>
          <t>A 63310-2021</t>
        </is>
      </c>
      <c r="B2206" s="1" t="n">
        <v>44508</v>
      </c>
      <c r="C2206" s="1" t="n">
        <v>45846</v>
      </c>
      <c r="D2206" t="inlineStr">
        <is>
          <t>UPPSALA LÄN</t>
        </is>
      </c>
      <c r="E2206" t="inlineStr">
        <is>
          <t>ENKÖPING</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63400-2021</t>
        </is>
      </c>
      <c r="B2207" s="1" t="n">
        <v>44508</v>
      </c>
      <c r="C2207" s="1" t="n">
        <v>45846</v>
      </c>
      <c r="D2207" t="inlineStr">
        <is>
          <t>UPPSALA LÄN</t>
        </is>
      </c>
      <c r="E2207" t="inlineStr">
        <is>
          <t>ENKÖPING</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63307-2021</t>
        </is>
      </c>
      <c r="B2208" s="1" t="n">
        <v>44508</v>
      </c>
      <c r="C2208" s="1" t="n">
        <v>45846</v>
      </c>
      <c r="D2208" t="inlineStr">
        <is>
          <t>UPPSALA LÄN</t>
        </is>
      </c>
      <c r="E2208" t="inlineStr">
        <is>
          <t>UPPSALA</t>
        </is>
      </c>
      <c r="F2208" t="inlineStr">
        <is>
          <t>Bergvik skog öst AB</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63393-2021</t>
        </is>
      </c>
      <c r="B2209" s="1" t="n">
        <v>44508</v>
      </c>
      <c r="C2209" s="1" t="n">
        <v>45846</v>
      </c>
      <c r="D2209" t="inlineStr">
        <is>
          <t>UPPSALA LÄN</t>
        </is>
      </c>
      <c r="E2209" t="inlineStr">
        <is>
          <t>HEBY</t>
        </is>
      </c>
      <c r="F2209" t="inlineStr">
        <is>
          <t>Bergvik skog öst AB</t>
        </is>
      </c>
      <c r="G2209" t="n">
        <v>4.9</v>
      </c>
      <c r="H2209" t="n">
        <v>0</v>
      </c>
      <c r="I2209" t="n">
        <v>0</v>
      </c>
      <c r="J2209" t="n">
        <v>0</v>
      </c>
      <c r="K2209" t="n">
        <v>0</v>
      </c>
      <c r="L2209" t="n">
        <v>0</v>
      </c>
      <c r="M2209" t="n">
        <v>0</v>
      </c>
      <c r="N2209" t="n">
        <v>0</v>
      </c>
      <c r="O2209" t="n">
        <v>0</v>
      </c>
      <c r="P2209" t="n">
        <v>0</v>
      </c>
      <c r="Q2209" t="n">
        <v>0</v>
      </c>
      <c r="R2209" s="2" t="inlineStr"/>
    </row>
    <row r="2210" ht="15" customHeight="1">
      <c r="A2210" t="inlineStr">
        <is>
          <t>A 63405-2021</t>
        </is>
      </c>
      <c r="B2210" s="1" t="n">
        <v>44508</v>
      </c>
      <c r="C2210" s="1" t="n">
        <v>45846</v>
      </c>
      <c r="D2210" t="inlineStr">
        <is>
          <t>UPPSALA LÄN</t>
        </is>
      </c>
      <c r="E2210" t="inlineStr">
        <is>
          <t>ENKÖPING</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63501-2021</t>
        </is>
      </c>
      <c r="B2211" s="1" t="n">
        <v>44508</v>
      </c>
      <c r="C2211" s="1" t="n">
        <v>45846</v>
      </c>
      <c r="D2211" t="inlineStr">
        <is>
          <t>UPPSALA LÄN</t>
        </is>
      </c>
      <c r="E2211" t="inlineStr">
        <is>
          <t>HEBY</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63460-2021</t>
        </is>
      </c>
      <c r="B2212" s="1" t="n">
        <v>44508</v>
      </c>
      <c r="C2212" s="1" t="n">
        <v>45846</v>
      </c>
      <c r="D2212" t="inlineStr">
        <is>
          <t>UPPSALA LÄN</t>
        </is>
      </c>
      <c r="E2212" t="inlineStr">
        <is>
          <t>KNIVSTA</t>
        </is>
      </c>
      <c r="F2212" t="inlineStr">
        <is>
          <t>Holmen skog AB</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62451-2021</t>
        </is>
      </c>
      <c r="B2213" s="1" t="n">
        <v>44509</v>
      </c>
      <c r="C2213" s="1" t="n">
        <v>45846</v>
      </c>
      <c r="D2213" t="inlineStr">
        <is>
          <t>UPPSALA LÄN</t>
        </is>
      </c>
      <c r="E2213" t="inlineStr">
        <is>
          <t>KNIVSTA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63826-2021</t>
        </is>
      </c>
      <c r="B2214" s="1" t="n">
        <v>44509</v>
      </c>
      <c r="C2214" s="1" t="n">
        <v>45846</v>
      </c>
      <c r="D2214" t="inlineStr">
        <is>
          <t>UPPSALA LÄN</t>
        </is>
      </c>
      <c r="E2214" t="inlineStr">
        <is>
          <t>HEBY</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63959-2021</t>
        </is>
      </c>
      <c r="B2215" s="1" t="n">
        <v>44509</v>
      </c>
      <c r="C2215" s="1" t="n">
        <v>45846</v>
      </c>
      <c r="D2215" t="inlineStr">
        <is>
          <t>UPPSALA LÄN</t>
        </is>
      </c>
      <c r="E2215" t="inlineStr">
        <is>
          <t>HEBY</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63955-2021</t>
        </is>
      </c>
      <c r="B2216" s="1" t="n">
        <v>44509</v>
      </c>
      <c r="C2216" s="1" t="n">
        <v>45846</v>
      </c>
      <c r="D2216" t="inlineStr">
        <is>
          <t>UPPSALA LÄN</t>
        </is>
      </c>
      <c r="E2216" t="inlineStr">
        <is>
          <t>HEBY</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64016-2021</t>
        </is>
      </c>
      <c r="B2217" s="1" t="n">
        <v>44510</v>
      </c>
      <c r="C2217" s="1" t="n">
        <v>45846</v>
      </c>
      <c r="D2217" t="inlineStr">
        <is>
          <t>UPPSALA LÄN</t>
        </is>
      </c>
      <c r="E2217" t="inlineStr">
        <is>
          <t>UPPSALA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64044-2021</t>
        </is>
      </c>
      <c r="B2218" s="1" t="n">
        <v>44510</v>
      </c>
      <c r="C2218" s="1" t="n">
        <v>45846</v>
      </c>
      <c r="D2218" t="inlineStr">
        <is>
          <t>UPPSALA LÄN</t>
        </is>
      </c>
      <c r="E2218" t="inlineStr">
        <is>
          <t>KNIVSTA</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64364-2021</t>
        </is>
      </c>
      <c r="B2219" s="1" t="n">
        <v>44511</v>
      </c>
      <c r="C2219" s="1" t="n">
        <v>45846</v>
      </c>
      <c r="D2219" t="inlineStr">
        <is>
          <t>UPPSALA LÄN</t>
        </is>
      </c>
      <c r="E2219" t="inlineStr">
        <is>
          <t>HEBY</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64413-2021</t>
        </is>
      </c>
      <c r="B2220" s="1" t="n">
        <v>44511</v>
      </c>
      <c r="C2220" s="1" t="n">
        <v>45846</v>
      </c>
      <c r="D2220" t="inlineStr">
        <is>
          <t>UPPSALA LÄN</t>
        </is>
      </c>
      <c r="E2220" t="inlineStr">
        <is>
          <t>HEBY</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64586-2021</t>
        </is>
      </c>
      <c r="B2221" s="1" t="n">
        <v>44511</v>
      </c>
      <c r="C2221" s="1" t="n">
        <v>45846</v>
      </c>
      <c r="D2221" t="inlineStr">
        <is>
          <t>UPPSALA LÄN</t>
        </is>
      </c>
      <c r="E2221" t="inlineStr">
        <is>
          <t>ÖSTHAMMAR</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64771-2021</t>
        </is>
      </c>
      <c r="B2222" s="1" t="n">
        <v>44512</v>
      </c>
      <c r="C2222" s="1" t="n">
        <v>45846</v>
      </c>
      <c r="D2222" t="inlineStr">
        <is>
          <t>UPPSALA LÄN</t>
        </is>
      </c>
      <c r="E2222" t="inlineStr">
        <is>
          <t>HEBY</t>
        </is>
      </c>
      <c r="F2222" t="inlineStr">
        <is>
          <t>Bergvik skog öst AB</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64857-2021</t>
        </is>
      </c>
      <c r="B2223" s="1" t="n">
        <v>44512</v>
      </c>
      <c r="C2223" s="1" t="n">
        <v>45846</v>
      </c>
      <c r="D2223" t="inlineStr">
        <is>
          <t>UPPSALA LÄN</t>
        </is>
      </c>
      <c r="E2223" t="inlineStr">
        <is>
          <t>UPPSALA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64811-2021</t>
        </is>
      </c>
      <c r="B2224" s="1" t="n">
        <v>44512</v>
      </c>
      <c r="C2224" s="1" t="n">
        <v>45846</v>
      </c>
      <c r="D2224" t="inlineStr">
        <is>
          <t>UPPSALA LÄN</t>
        </is>
      </c>
      <c r="E2224" t="inlineStr">
        <is>
          <t>ÖSTHAMMAR</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64856-2021</t>
        </is>
      </c>
      <c r="B2225" s="1" t="n">
        <v>44512</v>
      </c>
      <c r="C2225" s="1" t="n">
        <v>45846</v>
      </c>
      <c r="D2225" t="inlineStr">
        <is>
          <t>UPPSALA LÄN</t>
        </is>
      </c>
      <c r="E2225" t="inlineStr">
        <is>
          <t>UPPSALA</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64872-2021</t>
        </is>
      </c>
      <c r="B2226" s="1" t="n">
        <v>44512</v>
      </c>
      <c r="C2226" s="1" t="n">
        <v>45846</v>
      </c>
      <c r="D2226" t="inlineStr">
        <is>
          <t>UPPSALA LÄN</t>
        </is>
      </c>
      <c r="E2226" t="inlineStr">
        <is>
          <t>ÖSTHAMMAR</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64858-2021</t>
        </is>
      </c>
      <c r="B2227" s="1" t="n">
        <v>44512</v>
      </c>
      <c r="C2227" s="1" t="n">
        <v>45846</v>
      </c>
      <c r="D2227" t="inlineStr">
        <is>
          <t>UPPSALA LÄN</t>
        </is>
      </c>
      <c r="E2227" t="inlineStr">
        <is>
          <t>UPPSALA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64899-2021</t>
        </is>
      </c>
      <c r="B2228" s="1" t="n">
        <v>44512</v>
      </c>
      <c r="C2228" s="1" t="n">
        <v>45846</v>
      </c>
      <c r="D2228" t="inlineStr">
        <is>
          <t>UPPSALA LÄN</t>
        </is>
      </c>
      <c r="E2228" t="inlineStr">
        <is>
          <t>HEBY</t>
        </is>
      </c>
      <c r="F2228" t="inlineStr">
        <is>
          <t>Bergvik skog öst AB</t>
        </is>
      </c>
      <c r="G2228" t="n">
        <v>7.6</v>
      </c>
      <c r="H2228" t="n">
        <v>0</v>
      </c>
      <c r="I2228" t="n">
        <v>0</v>
      </c>
      <c r="J2228" t="n">
        <v>0</v>
      </c>
      <c r="K2228" t="n">
        <v>0</v>
      </c>
      <c r="L2228" t="n">
        <v>0</v>
      </c>
      <c r="M2228" t="n">
        <v>0</v>
      </c>
      <c r="N2228" t="n">
        <v>0</v>
      </c>
      <c r="O2228" t="n">
        <v>0</v>
      </c>
      <c r="P2228" t="n">
        <v>0</v>
      </c>
      <c r="Q2228" t="n">
        <v>0</v>
      </c>
      <c r="R2228" s="2" t="inlineStr"/>
    </row>
    <row r="2229" ht="15" customHeight="1">
      <c r="A2229" t="inlineStr">
        <is>
          <t>A 64855-2021</t>
        </is>
      </c>
      <c r="B2229" s="1" t="n">
        <v>44512</v>
      </c>
      <c r="C2229" s="1" t="n">
        <v>45846</v>
      </c>
      <c r="D2229" t="inlineStr">
        <is>
          <t>UPPSALA LÄN</t>
        </is>
      </c>
      <c r="E2229" t="inlineStr">
        <is>
          <t>UPPSALA</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64885-2021</t>
        </is>
      </c>
      <c r="B2230" s="1" t="n">
        <v>44512</v>
      </c>
      <c r="C2230" s="1" t="n">
        <v>45846</v>
      </c>
      <c r="D2230" t="inlineStr">
        <is>
          <t>UPPSALA LÄN</t>
        </is>
      </c>
      <c r="E2230" t="inlineStr">
        <is>
          <t>ÖSTHAMMAR</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65020-2021</t>
        </is>
      </c>
      <c r="B2231" s="1" t="n">
        <v>44515</v>
      </c>
      <c r="C2231" s="1" t="n">
        <v>45846</v>
      </c>
      <c r="D2231" t="inlineStr">
        <is>
          <t>UPPSALA LÄN</t>
        </is>
      </c>
      <c r="E2231" t="inlineStr">
        <is>
          <t>ÖSTHAMMAR</t>
        </is>
      </c>
      <c r="F2231" t="inlineStr">
        <is>
          <t>Sveaskog</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65255-2021</t>
        </is>
      </c>
      <c r="B2232" s="1" t="n">
        <v>44515</v>
      </c>
      <c r="C2232" s="1" t="n">
        <v>45846</v>
      </c>
      <c r="D2232" t="inlineStr">
        <is>
          <t>UPPSALA LÄN</t>
        </is>
      </c>
      <c r="E2232" t="inlineStr">
        <is>
          <t>TIERP</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65132-2021</t>
        </is>
      </c>
      <c r="B2233" s="1" t="n">
        <v>44515</v>
      </c>
      <c r="C2233" s="1" t="n">
        <v>45846</v>
      </c>
      <c r="D2233" t="inlineStr">
        <is>
          <t>UPPSALA LÄN</t>
        </is>
      </c>
      <c r="E2233" t="inlineStr">
        <is>
          <t>UPPSALA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65104-2021</t>
        </is>
      </c>
      <c r="B2234" s="1" t="n">
        <v>44515</v>
      </c>
      <c r="C2234" s="1" t="n">
        <v>45846</v>
      </c>
      <c r="D2234" t="inlineStr">
        <is>
          <t>UPPSALA LÄN</t>
        </is>
      </c>
      <c r="E2234" t="inlineStr">
        <is>
          <t>ÖSTHAMMAR</t>
        </is>
      </c>
      <c r="F2234" t="inlineStr">
        <is>
          <t>Sveaskog</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65028-2021</t>
        </is>
      </c>
      <c r="B2235" s="1" t="n">
        <v>44515</v>
      </c>
      <c r="C2235" s="1" t="n">
        <v>45846</v>
      </c>
      <c r="D2235" t="inlineStr">
        <is>
          <t>UPPSALA LÄN</t>
        </is>
      </c>
      <c r="E2235" t="inlineStr">
        <is>
          <t>ÖSTHAMMAR</t>
        </is>
      </c>
      <c r="F2235" t="inlineStr">
        <is>
          <t>Sveaskog</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65491-2021</t>
        </is>
      </c>
      <c r="B2236" s="1" t="n">
        <v>44516</v>
      </c>
      <c r="C2236" s="1" t="n">
        <v>45846</v>
      </c>
      <c r="D2236" t="inlineStr">
        <is>
          <t>UPPSALA LÄN</t>
        </is>
      </c>
      <c r="E2236" t="inlineStr">
        <is>
          <t>TIERP</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65626-2021</t>
        </is>
      </c>
      <c r="B2237" s="1" t="n">
        <v>44516</v>
      </c>
      <c r="C2237" s="1" t="n">
        <v>45846</v>
      </c>
      <c r="D2237" t="inlineStr">
        <is>
          <t>UPPSALA LÄN</t>
        </is>
      </c>
      <c r="E2237" t="inlineStr">
        <is>
          <t>HEBY</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65623-2021</t>
        </is>
      </c>
      <c r="B2238" s="1" t="n">
        <v>44516</v>
      </c>
      <c r="C2238" s="1" t="n">
        <v>45846</v>
      </c>
      <c r="D2238" t="inlineStr">
        <is>
          <t>UPPSALA LÄN</t>
        </is>
      </c>
      <c r="E2238" t="inlineStr">
        <is>
          <t>HEBY</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65659-2021</t>
        </is>
      </c>
      <c r="B2239" s="1" t="n">
        <v>44516</v>
      </c>
      <c r="C2239" s="1" t="n">
        <v>45846</v>
      </c>
      <c r="D2239" t="inlineStr">
        <is>
          <t>UPPSALA LÄN</t>
        </is>
      </c>
      <c r="E2239" t="inlineStr">
        <is>
          <t>UPPSALA</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65631-2021</t>
        </is>
      </c>
      <c r="B2240" s="1" t="n">
        <v>44516</v>
      </c>
      <c r="C2240" s="1" t="n">
        <v>45846</v>
      </c>
      <c r="D2240" t="inlineStr">
        <is>
          <t>UPPSALA LÄN</t>
        </is>
      </c>
      <c r="E2240" t="inlineStr">
        <is>
          <t>HEBY</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65695-2021</t>
        </is>
      </c>
      <c r="B2241" s="1" t="n">
        <v>44516</v>
      </c>
      <c r="C2241" s="1" t="n">
        <v>45846</v>
      </c>
      <c r="D2241" t="inlineStr">
        <is>
          <t>UPPSALA LÄN</t>
        </is>
      </c>
      <c r="E2241" t="inlineStr">
        <is>
          <t>UPPSALA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65809-2021</t>
        </is>
      </c>
      <c r="B2242" s="1" t="n">
        <v>44517</v>
      </c>
      <c r="C2242" s="1" t="n">
        <v>45846</v>
      </c>
      <c r="D2242" t="inlineStr">
        <is>
          <t>UPPSALA LÄN</t>
        </is>
      </c>
      <c r="E2242" t="inlineStr">
        <is>
          <t>UPPSALA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65811-2021</t>
        </is>
      </c>
      <c r="B2243" s="1" t="n">
        <v>44517</v>
      </c>
      <c r="C2243" s="1" t="n">
        <v>45846</v>
      </c>
      <c r="D2243" t="inlineStr">
        <is>
          <t>UPPSALA LÄN</t>
        </is>
      </c>
      <c r="E2243" t="inlineStr">
        <is>
          <t>UPPSALA</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65964-2021</t>
        </is>
      </c>
      <c r="B2244" s="1" t="n">
        <v>44517</v>
      </c>
      <c r="C2244" s="1" t="n">
        <v>45846</v>
      </c>
      <c r="D2244" t="inlineStr">
        <is>
          <t>UPPSALA LÄN</t>
        </is>
      </c>
      <c r="E2244" t="inlineStr">
        <is>
          <t>UPPSALA</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65836-2021</t>
        </is>
      </c>
      <c r="B2245" s="1" t="n">
        <v>44517</v>
      </c>
      <c r="C2245" s="1" t="n">
        <v>45846</v>
      </c>
      <c r="D2245" t="inlineStr">
        <is>
          <t>UPPSALA LÄN</t>
        </is>
      </c>
      <c r="E2245" t="inlineStr">
        <is>
          <t>HÅBO</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66029-2021</t>
        </is>
      </c>
      <c r="B2246" s="1" t="n">
        <v>44517</v>
      </c>
      <c r="C2246" s="1" t="n">
        <v>45846</v>
      </c>
      <c r="D2246" t="inlineStr">
        <is>
          <t>UPPSALA LÄN</t>
        </is>
      </c>
      <c r="E2246" t="inlineStr">
        <is>
          <t>HEBY</t>
        </is>
      </c>
      <c r="F2246" t="inlineStr">
        <is>
          <t>Bergvik skog öst AB</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66055-2021</t>
        </is>
      </c>
      <c r="B2247" s="1" t="n">
        <v>44517</v>
      </c>
      <c r="C2247" s="1" t="n">
        <v>45846</v>
      </c>
      <c r="D2247" t="inlineStr">
        <is>
          <t>UPPSALA LÄN</t>
        </is>
      </c>
      <c r="E2247" t="inlineStr">
        <is>
          <t>HEBY</t>
        </is>
      </c>
      <c r="F2247" t="inlineStr">
        <is>
          <t>Bergvik skog öst AB</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66025-2021</t>
        </is>
      </c>
      <c r="B2248" s="1" t="n">
        <v>44517</v>
      </c>
      <c r="C2248" s="1" t="n">
        <v>45846</v>
      </c>
      <c r="D2248" t="inlineStr">
        <is>
          <t>UPPSALA LÄN</t>
        </is>
      </c>
      <c r="E2248" t="inlineStr">
        <is>
          <t>HEBY</t>
        </is>
      </c>
      <c r="F2248" t="inlineStr">
        <is>
          <t>Bergvik skog öst AB</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66256-2021</t>
        </is>
      </c>
      <c r="B2249" s="1" t="n">
        <v>44518</v>
      </c>
      <c r="C2249" s="1" t="n">
        <v>45846</v>
      </c>
      <c r="D2249" t="inlineStr">
        <is>
          <t>UPPSALA LÄN</t>
        </is>
      </c>
      <c r="E2249" t="inlineStr">
        <is>
          <t>KNIVSTA</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66239-2021</t>
        </is>
      </c>
      <c r="B2250" s="1" t="n">
        <v>44518</v>
      </c>
      <c r="C2250" s="1" t="n">
        <v>45846</v>
      </c>
      <c r="D2250" t="inlineStr">
        <is>
          <t>UPPSALA LÄN</t>
        </is>
      </c>
      <c r="E2250" t="inlineStr">
        <is>
          <t>UPPSALA</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66241-2021</t>
        </is>
      </c>
      <c r="B2251" s="1" t="n">
        <v>44518</v>
      </c>
      <c r="C2251" s="1" t="n">
        <v>45846</v>
      </c>
      <c r="D2251" t="inlineStr">
        <is>
          <t>UPPSALA LÄN</t>
        </is>
      </c>
      <c r="E2251" t="inlineStr">
        <is>
          <t>TIERP</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66298-2021</t>
        </is>
      </c>
      <c r="B2252" s="1" t="n">
        <v>44518</v>
      </c>
      <c r="C2252" s="1" t="n">
        <v>45846</v>
      </c>
      <c r="D2252" t="inlineStr">
        <is>
          <t>UPPSALA LÄN</t>
        </is>
      </c>
      <c r="E2252" t="inlineStr">
        <is>
          <t>KNIVSTA</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66310-2021</t>
        </is>
      </c>
      <c r="B2253" s="1" t="n">
        <v>44518</v>
      </c>
      <c r="C2253" s="1" t="n">
        <v>45846</v>
      </c>
      <c r="D2253" t="inlineStr">
        <is>
          <t>UPPSALA LÄN</t>
        </is>
      </c>
      <c r="E2253" t="inlineStr">
        <is>
          <t>KNIVSTA</t>
        </is>
      </c>
      <c r="G2253" t="n">
        <v>14.1</v>
      </c>
      <c r="H2253" t="n">
        <v>0</v>
      </c>
      <c r="I2253" t="n">
        <v>0</v>
      </c>
      <c r="J2253" t="n">
        <v>0</v>
      </c>
      <c r="K2253" t="n">
        <v>0</v>
      </c>
      <c r="L2253" t="n">
        <v>0</v>
      </c>
      <c r="M2253" t="n">
        <v>0</v>
      </c>
      <c r="N2253" t="n">
        <v>0</v>
      </c>
      <c r="O2253" t="n">
        <v>0</v>
      </c>
      <c r="P2253" t="n">
        <v>0</v>
      </c>
      <c r="Q2253" t="n">
        <v>0</v>
      </c>
      <c r="R2253" s="2" t="inlineStr"/>
    </row>
    <row r="2254" ht="15" customHeight="1">
      <c r="A2254" t="inlineStr">
        <is>
          <t>A 66284-2021</t>
        </is>
      </c>
      <c r="B2254" s="1" t="n">
        <v>44518</v>
      </c>
      <c r="C2254" s="1" t="n">
        <v>45846</v>
      </c>
      <c r="D2254" t="inlineStr">
        <is>
          <t>UPPSALA LÄN</t>
        </is>
      </c>
      <c r="E2254" t="inlineStr">
        <is>
          <t>KNIVSTA</t>
        </is>
      </c>
      <c r="G2254" t="n">
        <v>6.9</v>
      </c>
      <c r="H2254" t="n">
        <v>0</v>
      </c>
      <c r="I2254" t="n">
        <v>0</v>
      </c>
      <c r="J2254" t="n">
        <v>0</v>
      </c>
      <c r="K2254" t="n">
        <v>0</v>
      </c>
      <c r="L2254" t="n">
        <v>0</v>
      </c>
      <c r="M2254" t="n">
        <v>0</v>
      </c>
      <c r="N2254" t="n">
        <v>0</v>
      </c>
      <c r="O2254" t="n">
        <v>0</v>
      </c>
      <c r="P2254" t="n">
        <v>0</v>
      </c>
      <c r="Q2254" t="n">
        <v>0</v>
      </c>
      <c r="R2254" s="2" t="inlineStr"/>
    </row>
    <row r="2255" ht="15" customHeight="1">
      <c r="A2255" t="inlineStr">
        <is>
          <t>A 66293-2021</t>
        </is>
      </c>
      <c r="B2255" s="1" t="n">
        <v>44518</v>
      </c>
      <c r="C2255" s="1" t="n">
        <v>45846</v>
      </c>
      <c r="D2255" t="inlineStr">
        <is>
          <t>UPPSALA LÄN</t>
        </is>
      </c>
      <c r="E2255" t="inlineStr">
        <is>
          <t>KNIVSTA</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66336-2021</t>
        </is>
      </c>
      <c r="B2256" s="1" t="n">
        <v>44518</v>
      </c>
      <c r="C2256" s="1" t="n">
        <v>45846</v>
      </c>
      <c r="D2256" t="inlineStr">
        <is>
          <t>UPPSALA LÄN</t>
        </is>
      </c>
      <c r="E2256" t="inlineStr">
        <is>
          <t>KNIVSTA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66305-2021</t>
        </is>
      </c>
      <c r="B2257" s="1" t="n">
        <v>44518</v>
      </c>
      <c r="C2257" s="1" t="n">
        <v>45846</v>
      </c>
      <c r="D2257" t="inlineStr">
        <is>
          <t>UPPSALA LÄN</t>
        </is>
      </c>
      <c r="E2257" t="inlineStr">
        <is>
          <t>KNIVSTA</t>
        </is>
      </c>
      <c r="G2257" t="n">
        <v>8.300000000000001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66519-2021</t>
        </is>
      </c>
      <c r="B2258" s="1" t="n">
        <v>44519</v>
      </c>
      <c r="C2258" s="1" t="n">
        <v>45846</v>
      </c>
      <c r="D2258" t="inlineStr">
        <is>
          <t>UPPSALA LÄN</t>
        </is>
      </c>
      <c r="E2258" t="inlineStr">
        <is>
          <t>HEBY</t>
        </is>
      </c>
      <c r="F2258" t="inlineStr">
        <is>
          <t>Sveaskog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66549-2021</t>
        </is>
      </c>
      <c r="B2259" s="1" t="n">
        <v>44519</v>
      </c>
      <c r="C2259" s="1" t="n">
        <v>45846</v>
      </c>
      <c r="D2259" t="inlineStr">
        <is>
          <t>UPPSALA LÄN</t>
        </is>
      </c>
      <c r="E2259" t="inlineStr">
        <is>
          <t>ÖSTHAMMAR</t>
        </is>
      </c>
      <c r="F2259" t="inlineStr">
        <is>
          <t>Bergvik skog öst AB</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66517-2021</t>
        </is>
      </c>
      <c r="B2260" s="1" t="n">
        <v>44519</v>
      </c>
      <c r="C2260" s="1" t="n">
        <v>45846</v>
      </c>
      <c r="D2260" t="inlineStr">
        <is>
          <t>UPPSALA LÄN</t>
        </is>
      </c>
      <c r="E2260" t="inlineStr">
        <is>
          <t>HEBY</t>
        </is>
      </c>
      <c r="F2260" t="inlineStr">
        <is>
          <t>Sveaskog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66521-2021</t>
        </is>
      </c>
      <c r="B2261" s="1" t="n">
        <v>44519</v>
      </c>
      <c r="C2261" s="1" t="n">
        <v>45846</v>
      </c>
      <c r="D2261" t="inlineStr">
        <is>
          <t>UPPSALA LÄN</t>
        </is>
      </c>
      <c r="E2261" t="inlineStr">
        <is>
          <t>HEBY</t>
        </is>
      </c>
      <c r="F2261" t="inlineStr">
        <is>
          <t>Sveaskog</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66690-2021</t>
        </is>
      </c>
      <c r="B2262" s="1" t="n">
        <v>44519</v>
      </c>
      <c r="C2262" s="1" t="n">
        <v>45846</v>
      </c>
      <c r="D2262" t="inlineStr">
        <is>
          <t>UPPSALA LÄN</t>
        </is>
      </c>
      <c r="E2262" t="inlineStr">
        <is>
          <t>UPPSALA</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66686-2021</t>
        </is>
      </c>
      <c r="B2263" s="1" t="n">
        <v>44519</v>
      </c>
      <c r="C2263" s="1" t="n">
        <v>45846</v>
      </c>
      <c r="D2263" t="inlineStr">
        <is>
          <t>UPPSALA LÄN</t>
        </is>
      </c>
      <c r="E2263" t="inlineStr">
        <is>
          <t>UPPSALA</t>
        </is>
      </c>
      <c r="G2263" t="n">
        <v>6.4</v>
      </c>
      <c r="H2263" t="n">
        <v>0</v>
      </c>
      <c r="I2263" t="n">
        <v>0</v>
      </c>
      <c r="J2263" t="n">
        <v>0</v>
      </c>
      <c r="K2263" t="n">
        <v>0</v>
      </c>
      <c r="L2263" t="n">
        <v>0</v>
      </c>
      <c r="M2263" t="n">
        <v>0</v>
      </c>
      <c r="N2263" t="n">
        <v>0</v>
      </c>
      <c r="O2263" t="n">
        <v>0</v>
      </c>
      <c r="P2263" t="n">
        <v>0</v>
      </c>
      <c r="Q2263" t="n">
        <v>0</v>
      </c>
      <c r="R2263" s="2" t="inlineStr"/>
    </row>
    <row r="2264" ht="15" customHeight="1">
      <c r="A2264" t="inlineStr">
        <is>
          <t>A 66818-2021</t>
        </is>
      </c>
      <c r="B2264" s="1" t="n">
        <v>44522</v>
      </c>
      <c r="C2264" s="1" t="n">
        <v>45846</v>
      </c>
      <c r="D2264" t="inlineStr">
        <is>
          <t>UPPSALA LÄN</t>
        </is>
      </c>
      <c r="E2264" t="inlineStr">
        <is>
          <t>HEBY</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66873-2021</t>
        </is>
      </c>
      <c r="B2265" s="1" t="n">
        <v>44522</v>
      </c>
      <c r="C2265" s="1" t="n">
        <v>45846</v>
      </c>
      <c r="D2265" t="inlineStr">
        <is>
          <t>UPPSALA LÄN</t>
        </is>
      </c>
      <c r="E2265" t="inlineStr">
        <is>
          <t>HEBY</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66779-2021</t>
        </is>
      </c>
      <c r="B2266" s="1" t="n">
        <v>44522</v>
      </c>
      <c r="C2266" s="1" t="n">
        <v>45846</v>
      </c>
      <c r="D2266" t="inlineStr">
        <is>
          <t>UPPSALA LÄN</t>
        </is>
      </c>
      <c r="E2266" t="inlineStr">
        <is>
          <t>ÖSTHAMMAR</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66794-2021</t>
        </is>
      </c>
      <c r="B2267" s="1" t="n">
        <v>44522</v>
      </c>
      <c r="C2267" s="1" t="n">
        <v>45846</v>
      </c>
      <c r="D2267" t="inlineStr">
        <is>
          <t>UPPSALA LÄN</t>
        </is>
      </c>
      <c r="E2267" t="inlineStr">
        <is>
          <t>UPPSALA</t>
        </is>
      </c>
      <c r="G2267" t="n">
        <v>4.9</v>
      </c>
      <c r="H2267" t="n">
        <v>0</v>
      </c>
      <c r="I2267" t="n">
        <v>0</v>
      </c>
      <c r="J2267" t="n">
        <v>0</v>
      </c>
      <c r="K2267" t="n">
        <v>0</v>
      </c>
      <c r="L2267" t="n">
        <v>0</v>
      </c>
      <c r="M2267" t="n">
        <v>0</v>
      </c>
      <c r="N2267" t="n">
        <v>0</v>
      </c>
      <c r="O2267" t="n">
        <v>0</v>
      </c>
      <c r="P2267" t="n">
        <v>0</v>
      </c>
      <c r="Q2267" t="n">
        <v>0</v>
      </c>
      <c r="R2267" s="2" t="inlineStr"/>
    </row>
    <row r="2268" ht="15" customHeight="1">
      <c r="A2268" t="inlineStr">
        <is>
          <t>A 66927-2021</t>
        </is>
      </c>
      <c r="B2268" s="1" t="n">
        <v>44522</v>
      </c>
      <c r="C2268" s="1" t="n">
        <v>45846</v>
      </c>
      <c r="D2268" t="inlineStr">
        <is>
          <t>UPPSALA LÄN</t>
        </is>
      </c>
      <c r="E2268" t="inlineStr">
        <is>
          <t>UPPSALA</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66983-2021</t>
        </is>
      </c>
      <c r="B2269" s="1" t="n">
        <v>44522</v>
      </c>
      <c r="C2269" s="1" t="n">
        <v>45846</v>
      </c>
      <c r="D2269" t="inlineStr">
        <is>
          <t>UPPSALA LÄN</t>
        </is>
      </c>
      <c r="E2269" t="inlineStr">
        <is>
          <t>UPPSALA</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67005-2021</t>
        </is>
      </c>
      <c r="B2270" s="1" t="n">
        <v>44522</v>
      </c>
      <c r="C2270" s="1" t="n">
        <v>45846</v>
      </c>
      <c r="D2270" t="inlineStr">
        <is>
          <t>UPPSALA LÄN</t>
        </is>
      </c>
      <c r="E2270" t="inlineStr">
        <is>
          <t>HÅBO</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67033-2021</t>
        </is>
      </c>
      <c r="B2271" s="1" t="n">
        <v>44522</v>
      </c>
      <c r="C2271" s="1" t="n">
        <v>45846</v>
      </c>
      <c r="D2271" t="inlineStr">
        <is>
          <t>UPPSALA LÄN</t>
        </is>
      </c>
      <c r="E2271" t="inlineStr">
        <is>
          <t>ÖSTHAMMAR</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67030-2021</t>
        </is>
      </c>
      <c r="B2272" s="1" t="n">
        <v>44522</v>
      </c>
      <c r="C2272" s="1" t="n">
        <v>45846</v>
      </c>
      <c r="D2272" t="inlineStr">
        <is>
          <t>UPPSALA LÄN</t>
        </is>
      </c>
      <c r="E2272" t="inlineStr">
        <is>
          <t>ÖSTHAMMAR</t>
        </is>
      </c>
      <c r="G2272" t="n">
        <v>8.6</v>
      </c>
      <c r="H2272" t="n">
        <v>0</v>
      </c>
      <c r="I2272" t="n">
        <v>0</v>
      </c>
      <c r="J2272" t="n">
        <v>0</v>
      </c>
      <c r="K2272" t="n">
        <v>0</v>
      </c>
      <c r="L2272" t="n">
        <v>0</v>
      </c>
      <c r="M2272" t="n">
        <v>0</v>
      </c>
      <c r="N2272" t="n">
        <v>0</v>
      </c>
      <c r="O2272" t="n">
        <v>0</v>
      </c>
      <c r="P2272" t="n">
        <v>0</v>
      </c>
      <c r="Q2272" t="n">
        <v>0</v>
      </c>
      <c r="R2272" s="2" t="inlineStr"/>
    </row>
    <row r="2273" ht="15" customHeight="1">
      <c r="A2273" t="inlineStr">
        <is>
          <t>A 67151-2021</t>
        </is>
      </c>
      <c r="B2273" s="1" t="n">
        <v>44523</v>
      </c>
      <c r="C2273" s="1" t="n">
        <v>45846</v>
      </c>
      <c r="D2273" t="inlineStr">
        <is>
          <t>UPPSALA LÄN</t>
        </is>
      </c>
      <c r="E2273" t="inlineStr">
        <is>
          <t>ÖSTHAMMAR</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67199-2021</t>
        </is>
      </c>
      <c r="B2274" s="1" t="n">
        <v>44523</v>
      </c>
      <c r="C2274" s="1" t="n">
        <v>45846</v>
      </c>
      <c r="D2274" t="inlineStr">
        <is>
          <t>UPPSALA LÄN</t>
        </is>
      </c>
      <c r="E2274" t="inlineStr">
        <is>
          <t>ÖSTHAMMAR</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67217-2021</t>
        </is>
      </c>
      <c r="B2275" s="1" t="n">
        <v>44523</v>
      </c>
      <c r="C2275" s="1" t="n">
        <v>45846</v>
      </c>
      <c r="D2275" t="inlineStr">
        <is>
          <t>UPPSALA LÄN</t>
        </is>
      </c>
      <c r="E2275" t="inlineStr">
        <is>
          <t>ÖSTHAMMAR</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67664-2021</t>
        </is>
      </c>
      <c r="B2276" s="1" t="n">
        <v>44524</v>
      </c>
      <c r="C2276" s="1" t="n">
        <v>45846</v>
      </c>
      <c r="D2276" t="inlineStr">
        <is>
          <t>UPPSALA LÄN</t>
        </is>
      </c>
      <c r="E2276" t="inlineStr">
        <is>
          <t>HEBY</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67859-2021</t>
        </is>
      </c>
      <c r="B2277" s="1" t="n">
        <v>44525</v>
      </c>
      <c r="C2277" s="1" t="n">
        <v>45846</v>
      </c>
      <c r="D2277" t="inlineStr">
        <is>
          <t>UPPSALA LÄN</t>
        </is>
      </c>
      <c r="E2277" t="inlineStr">
        <is>
          <t>ÖSTHAMMAR</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67848-2021</t>
        </is>
      </c>
      <c r="B2278" s="1" t="n">
        <v>44525</v>
      </c>
      <c r="C2278" s="1" t="n">
        <v>45846</v>
      </c>
      <c r="D2278" t="inlineStr">
        <is>
          <t>UPPSALA LÄN</t>
        </is>
      </c>
      <c r="E2278" t="inlineStr">
        <is>
          <t>ÖSTHAMMAR</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67982-2021</t>
        </is>
      </c>
      <c r="B2279" s="1" t="n">
        <v>44525</v>
      </c>
      <c r="C2279" s="1" t="n">
        <v>45846</v>
      </c>
      <c r="D2279" t="inlineStr">
        <is>
          <t>UPPSALA LÄN</t>
        </is>
      </c>
      <c r="E2279" t="inlineStr">
        <is>
          <t>ENKÖPING</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67991-2021</t>
        </is>
      </c>
      <c r="B2280" s="1" t="n">
        <v>44525</v>
      </c>
      <c r="C2280" s="1" t="n">
        <v>45846</v>
      </c>
      <c r="D2280" t="inlineStr">
        <is>
          <t>UPPSALA LÄN</t>
        </is>
      </c>
      <c r="E2280" t="inlineStr">
        <is>
          <t>UPPSALA</t>
        </is>
      </c>
      <c r="F2280" t="inlineStr">
        <is>
          <t>Bergvik skog öst AB</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67984-2021</t>
        </is>
      </c>
      <c r="B2281" s="1" t="n">
        <v>44525</v>
      </c>
      <c r="C2281" s="1" t="n">
        <v>45846</v>
      </c>
      <c r="D2281" t="inlineStr">
        <is>
          <t>UPPSALA LÄN</t>
        </is>
      </c>
      <c r="E2281" t="inlineStr">
        <is>
          <t>ENKÖPING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68236-2021</t>
        </is>
      </c>
      <c r="B2282" s="1" t="n">
        <v>44526</v>
      </c>
      <c r="C2282" s="1" t="n">
        <v>45846</v>
      </c>
      <c r="D2282" t="inlineStr">
        <is>
          <t>UPPSALA LÄN</t>
        </is>
      </c>
      <c r="E2282" t="inlineStr">
        <is>
          <t>HEBY</t>
        </is>
      </c>
      <c r="F2282" t="inlineStr">
        <is>
          <t>Bergvik skog öst AB</t>
        </is>
      </c>
      <c r="G2282" t="n">
        <v>6.7</v>
      </c>
      <c r="H2282" t="n">
        <v>0</v>
      </c>
      <c r="I2282" t="n">
        <v>0</v>
      </c>
      <c r="J2282" t="n">
        <v>0</v>
      </c>
      <c r="K2282" t="n">
        <v>0</v>
      </c>
      <c r="L2282" t="n">
        <v>0</v>
      </c>
      <c r="M2282" t="n">
        <v>0</v>
      </c>
      <c r="N2282" t="n">
        <v>0</v>
      </c>
      <c r="O2282" t="n">
        <v>0</v>
      </c>
      <c r="P2282" t="n">
        <v>0</v>
      </c>
      <c r="Q2282" t="n">
        <v>0</v>
      </c>
      <c r="R2282" s="2" t="inlineStr"/>
    </row>
    <row r="2283" ht="15" customHeight="1">
      <c r="A2283" t="inlineStr">
        <is>
          <t>A 68696-2021</t>
        </is>
      </c>
      <c r="B2283" s="1" t="n">
        <v>44526</v>
      </c>
      <c r="C2283" s="1" t="n">
        <v>45846</v>
      </c>
      <c r="D2283" t="inlineStr">
        <is>
          <t>UPPSALA LÄN</t>
        </is>
      </c>
      <c r="E2283" t="inlineStr">
        <is>
          <t>UPPSALA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68118-2021</t>
        </is>
      </c>
      <c r="B2284" s="1" t="n">
        <v>44526</v>
      </c>
      <c r="C2284" s="1" t="n">
        <v>45846</v>
      </c>
      <c r="D2284" t="inlineStr">
        <is>
          <t>UPPSALA LÄN</t>
        </is>
      </c>
      <c r="E2284" t="inlineStr">
        <is>
          <t>ENKÖPING</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68127-2021</t>
        </is>
      </c>
      <c r="B2285" s="1" t="n">
        <v>44526</v>
      </c>
      <c r="C2285" s="1" t="n">
        <v>45846</v>
      </c>
      <c r="D2285" t="inlineStr">
        <is>
          <t>UPPSALA LÄN</t>
        </is>
      </c>
      <c r="E2285" t="inlineStr">
        <is>
          <t>ENKÖPING</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68107-2021</t>
        </is>
      </c>
      <c r="B2286" s="1" t="n">
        <v>44526</v>
      </c>
      <c r="C2286" s="1" t="n">
        <v>45846</v>
      </c>
      <c r="D2286" t="inlineStr">
        <is>
          <t>UPPSALA LÄN</t>
        </is>
      </c>
      <c r="E2286" t="inlineStr">
        <is>
          <t>ENKÖPING</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68130-2021</t>
        </is>
      </c>
      <c r="B2287" s="1" t="n">
        <v>44526</v>
      </c>
      <c r="C2287" s="1" t="n">
        <v>45846</v>
      </c>
      <c r="D2287" t="inlineStr">
        <is>
          <t>UPPSALA LÄN</t>
        </is>
      </c>
      <c r="E2287" t="inlineStr">
        <is>
          <t>ENKÖPING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68123-2021</t>
        </is>
      </c>
      <c r="B2288" s="1" t="n">
        <v>44526</v>
      </c>
      <c r="C2288" s="1" t="n">
        <v>45846</v>
      </c>
      <c r="D2288" t="inlineStr">
        <is>
          <t>UPPSALA LÄN</t>
        </is>
      </c>
      <c r="E2288" t="inlineStr">
        <is>
          <t>ENKÖPING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68139-2021</t>
        </is>
      </c>
      <c r="B2289" s="1" t="n">
        <v>44526</v>
      </c>
      <c r="C2289" s="1" t="n">
        <v>45846</v>
      </c>
      <c r="D2289" t="inlineStr">
        <is>
          <t>UPPSALA LÄN</t>
        </is>
      </c>
      <c r="E2289" t="inlineStr">
        <is>
          <t>UPPSALA</t>
        </is>
      </c>
      <c r="F2289" t="inlineStr">
        <is>
          <t>Bergvik skog öst AB</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68296-2021</t>
        </is>
      </c>
      <c r="B2290" s="1" t="n">
        <v>44526</v>
      </c>
      <c r="C2290" s="1" t="n">
        <v>45846</v>
      </c>
      <c r="D2290" t="inlineStr">
        <is>
          <t>UPPSALA LÄN</t>
        </is>
      </c>
      <c r="E2290" t="inlineStr">
        <is>
          <t>UPPSALA</t>
        </is>
      </c>
      <c r="G2290" t="n">
        <v>9.699999999999999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68520-2021</t>
        </is>
      </c>
      <c r="B2291" s="1" t="n">
        <v>44529</v>
      </c>
      <c r="C2291" s="1" t="n">
        <v>45846</v>
      </c>
      <c r="D2291" t="inlineStr">
        <is>
          <t>UPPSALA LÄN</t>
        </is>
      </c>
      <c r="E2291" t="inlineStr">
        <is>
          <t>HEBY</t>
        </is>
      </c>
      <c r="G2291" t="n">
        <v>5.4</v>
      </c>
      <c r="H2291" t="n">
        <v>0</v>
      </c>
      <c r="I2291" t="n">
        <v>0</v>
      </c>
      <c r="J2291" t="n">
        <v>0</v>
      </c>
      <c r="K2291" t="n">
        <v>0</v>
      </c>
      <c r="L2291" t="n">
        <v>0</v>
      </c>
      <c r="M2291" t="n">
        <v>0</v>
      </c>
      <c r="N2291" t="n">
        <v>0</v>
      </c>
      <c r="O2291" t="n">
        <v>0</v>
      </c>
      <c r="P2291" t="n">
        <v>0</v>
      </c>
      <c r="Q2291" t="n">
        <v>0</v>
      </c>
      <c r="R2291" s="2" t="inlineStr"/>
    </row>
    <row r="2292" ht="15" customHeight="1">
      <c r="A2292" t="inlineStr">
        <is>
          <t>A 68410-2021</t>
        </is>
      </c>
      <c r="B2292" s="1" t="n">
        <v>44529</v>
      </c>
      <c r="C2292" s="1" t="n">
        <v>45846</v>
      </c>
      <c r="D2292" t="inlineStr">
        <is>
          <t>UPPSALA LÄN</t>
        </is>
      </c>
      <c r="E2292" t="inlineStr">
        <is>
          <t>TIERP</t>
        </is>
      </c>
      <c r="F2292" t="inlineStr">
        <is>
          <t>Bergvik skog öst AB</t>
        </is>
      </c>
      <c r="G2292" t="n">
        <v>35.5</v>
      </c>
      <c r="H2292" t="n">
        <v>0</v>
      </c>
      <c r="I2292" t="n">
        <v>0</v>
      </c>
      <c r="J2292" t="n">
        <v>0</v>
      </c>
      <c r="K2292" t="n">
        <v>0</v>
      </c>
      <c r="L2292" t="n">
        <v>0</v>
      </c>
      <c r="M2292" t="n">
        <v>0</v>
      </c>
      <c r="N2292" t="n">
        <v>0</v>
      </c>
      <c r="O2292" t="n">
        <v>0</v>
      </c>
      <c r="P2292" t="n">
        <v>0</v>
      </c>
      <c r="Q2292" t="n">
        <v>0</v>
      </c>
      <c r="R2292" s="2" t="inlineStr"/>
    </row>
    <row r="2293" ht="15" customHeight="1">
      <c r="A2293" t="inlineStr">
        <is>
          <t>A 68585-2021</t>
        </is>
      </c>
      <c r="B2293" s="1" t="n">
        <v>44529</v>
      </c>
      <c r="C2293" s="1" t="n">
        <v>45846</v>
      </c>
      <c r="D2293" t="inlineStr">
        <is>
          <t>UPPSALA LÄN</t>
        </is>
      </c>
      <c r="E2293" t="inlineStr">
        <is>
          <t>HEBY</t>
        </is>
      </c>
      <c r="G2293" t="n">
        <v>7.1</v>
      </c>
      <c r="H2293" t="n">
        <v>0</v>
      </c>
      <c r="I2293" t="n">
        <v>0</v>
      </c>
      <c r="J2293" t="n">
        <v>0</v>
      </c>
      <c r="K2293" t="n">
        <v>0</v>
      </c>
      <c r="L2293" t="n">
        <v>0</v>
      </c>
      <c r="M2293" t="n">
        <v>0</v>
      </c>
      <c r="N2293" t="n">
        <v>0</v>
      </c>
      <c r="O2293" t="n">
        <v>0</v>
      </c>
      <c r="P2293" t="n">
        <v>0</v>
      </c>
      <c r="Q2293" t="n">
        <v>0</v>
      </c>
      <c r="R2293" s="2" t="inlineStr"/>
    </row>
    <row r="2294" ht="15" customHeight="1">
      <c r="A2294" t="inlineStr">
        <is>
          <t>A 69067-2021</t>
        </is>
      </c>
      <c r="B2294" s="1" t="n">
        <v>44530</v>
      </c>
      <c r="C2294" s="1" t="n">
        <v>45846</v>
      </c>
      <c r="D2294" t="inlineStr">
        <is>
          <t>UPPSALA LÄN</t>
        </is>
      </c>
      <c r="E2294" t="inlineStr">
        <is>
          <t>UPPSALA</t>
        </is>
      </c>
      <c r="F2294" t="inlineStr">
        <is>
          <t>Holmen skog AB</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69432-2021</t>
        </is>
      </c>
      <c r="B2295" s="1" t="n">
        <v>44531</v>
      </c>
      <c r="C2295" s="1" t="n">
        <v>45846</v>
      </c>
      <c r="D2295" t="inlineStr">
        <is>
          <t>UPPSALA LÄN</t>
        </is>
      </c>
      <c r="E2295" t="inlineStr">
        <is>
          <t>UPPSALA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69344-2021</t>
        </is>
      </c>
      <c r="B2296" s="1" t="n">
        <v>44531</v>
      </c>
      <c r="C2296" s="1" t="n">
        <v>45846</v>
      </c>
      <c r="D2296" t="inlineStr">
        <is>
          <t>UPPSALA LÄN</t>
        </is>
      </c>
      <c r="E2296" t="inlineStr">
        <is>
          <t>ENKÖPING</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69214-2021</t>
        </is>
      </c>
      <c r="B2297" s="1" t="n">
        <v>44531</v>
      </c>
      <c r="C2297" s="1" t="n">
        <v>45846</v>
      </c>
      <c r="D2297" t="inlineStr">
        <is>
          <t>UPPSALA LÄN</t>
        </is>
      </c>
      <c r="E2297" t="inlineStr">
        <is>
          <t>UPPSALA</t>
        </is>
      </c>
      <c r="F2297" t="inlineStr">
        <is>
          <t>Bergvik skog öst AB</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69377-2021</t>
        </is>
      </c>
      <c r="B2298" s="1" t="n">
        <v>44531</v>
      </c>
      <c r="C2298" s="1" t="n">
        <v>45846</v>
      </c>
      <c r="D2298" t="inlineStr">
        <is>
          <t>UPPSALA LÄN</t>
        </is>
      </c>
      <c r="E2298" t="inlineStr">
        <is>
          <t>HEBY</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69397-2021</t>
        </is>
      </c>
      <c r="B2299" s="1" t="n">
        <v>44531</v>
      </c>
      <c r="C2299" s="1" t="n">
        <v>45846</v>
      </c>
      <c r="D2299" t="inlineStr">
        <is>
          <t>UPPSALA LÄN</t>
        </is>
      </c>
      <c r="E2299" t="inlineStr">
        <is>
          <t>UPPSALA</t>
        </is>
      </c>
      <c r="F2299" t="inlineStr">
        <is>
          <t>Bergvik skog öst AB</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69436-2021</t>
        </is>
      </c>
      <c r="B2300" s="1" t="n">
        <v>44531</v>
      </c>
      <c r="C2300" s="1" t="n">
        <v>45846</v>
      </c>
      <c r="D2300" t="inlineStr">
        <is>
          <t>UPPSALA LÄN</t>
        </is>
      </c>
      <c r="E2300" t="inlineStr">
        <is>
          <t>UPPSALA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69505-2021</t>
        </is>
      </c>
      <c r="B2301" s="1" t="n">
        <v>44531</v>
      </c>
      <c r="C2301" s="1" t="n">
        <v>45846</v>
      </c>
      <c r="D2301" t="inlineStr">
        <is>
          <t>UPPSALA LÄN</t>
        </is>
      </c>
      <c r="E2301" t="inlineStr">
        <is>
          <t>ÖSTHAMMAR</t>
        </is>
      </c>
      <c r="F2301" t="inlineStr">
        <is>
          <t>Bergvik skog öst AB</t>
        </is>
      </c>
      <c r="G2301" t="n">
        <v>5.4</v>
      </c>
      <c r="H2301" t="n">
        <v>0</v>
      </c>
      <c r="I2301" t="n">
        <v>0</v>
      </c>
      <c r="J2301" t="n">
        <v>0</v>
      </c>
      <c r="K2301" t="n">
        <v>0</v>
      </c>
      <c r="L2301" t="n">
        <v>0</v>
      </c>
      <c r="M2301" t="n">
        <v>0</v>
      </c>
      <c r="N2301" t="n">
        <v>0</v>
      </c>
      <c r="O2301" t="n">
        <v>0</v>
      </c>
      <c r="P2301" t="n">
        <v>0</v>
      </c>
      <c r="Q2301" t="n">
        <v>0</v>
      </c>
      <c r="R2301" s="2" t="inlineStr"/>
    </row>
    <row r="2302" ht="15" customHeight="1">
      <c r="A2302" t="inlineStr">
        <is>
          <t>A 69411-2021</t>
        </is>
      </c>
      <c r="B2302" s="1" t="n">
        <v>44531</v>
      </c>
      <c r="C2302" s="1" t="n">
        <v>45846</v>
      </c>
      <c r="D2302" t="inlineStr">
        <is>
          <t>UPPSALA LÄN</t>
        </is>
      </c>
      <c r="E2302" t="inlineStr">
        <is>
          <t>ÖSTHAMMAR</t>
        </is>
      </c>
      <c r="F2302" t="inlineStr">
        <is>
          <t>Bergvik skog öst AB</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69439-2021</t>
        </is>
      </c>
      <c r="B2303" s="1" t="n">
        <v>44531</v>
      </c>
      <c r="C2303" s="1" t="n">
        <v>45846</v>
      </c>
      <c r="D2303" t="inlineStr">
        <is>
          <t>UPPSALA LÄN</t>
        </is>
      </c>
      <c r="E2303" t="inlineStr">
        <is>
          <t>UPPSALA</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69518-2021</t>
        </is>
      </c>
      <c r="B2304" s="1" t="n">
        <v>44531</v>
      </c>
      <c r="C2304" s="1" t="n">
        <v>45846</v>
      </c>
      <c r="D2304" t="inlineStr">
        <is>
          <t>UPPSALA LÄN</t>
        </is>
      </c>
      <c r="E2304" t="inlineStr">
        <is>
          <t>ÖSTHAMMAR</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69595-2021</t>
        </is>
      </c>
      <c r="B2305" s="1" t="n">
        <v>44532</v>
      </c>
      <c r="C2305" s="1" t="n">
        <v>45846</v>
      </c>
      <c r="D2305" t="inlineStr">
        <is>
          <t>UPPSALA LÄN</t>
        </is>
      </c>
      <c r="E2305" t="inlineStr">
        <is>
          <t>UPPSALA</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69698-2021</t>
        </is>
      </c>
      <c r="B2306" s="1" t="n">
        <v>44532</v>
      </c>
      <c r="C2306" s="1" t="n">
        <v>45846</v>
      </c>
      <c r="D2306" t="inlineStr">
        <is>
          <t>UPPSALA LÄN</t>
        </is>
      </c>
      <c r="E2306" t="inlineStr">
        <is>
          <t>UPPSALA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69691-2021</t>
        </is>
      </c>
      <c r="B2307" s="1" t="n">
        <v>44532</v>
      </c>
      <c r="C2307" s="1" t="n">
        <v>45846</v>
      </c>
      <c r="D2307" t="inlineStr">
        <is>
          <t>UPPSALA LÄN</t>
        </is>
      </c>
      <c r="E2307" t="inlineStr">
        <is>
          <t>UPPSALA</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69597-2021</t>
        </is>
      </c>
      <c r="B2308" s="1" t="n">
        <v>44532</v>
      </c>
      <c r="C2308" s="1" t="n">
        <v>45846</v>
      </c>
      <c r="D2308" t="inlineStr">
        <is>
          <t>UPPSALA LÄN</t>
        </is>
      </c>
      <c r="E2308" t="inlineStr">
        <is>
          <t>HEBY</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69791-2021</t>
        </is>
      </c>
      <c r="B2309" s="1" t="n">
        <v>44532</v>
      </c>
      <c r="C2309" s="1" t="n">
        <v>45846</v>
      </c>
      <c r="D2309" t="inlineStr">
        <is>
          <t>UPPSALA LÄN</t>
        </is>
      </c>
      <c r="E2309" t="inlineStr">
        <is>
          <t>ENKÖPING</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69794-2021</t>
        </is>
      </c>
      <c r="B2310" s="1" t="n">
        <v>44532</v>
      </c>
      <c r="C2310" s="1" t="n">
        <v>45846</v>
      </c>
      <c r="D2310" t="inlineStr">
        <is>
          <t>UPPSALA LÄN</t>
        </is>
      </c>
      <c r="E2310" t="inlineStr">
        <is>
          <t>ENKÖPING</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69841-2021</t>
        </is>
      </c>
      <c r="B2311" s="1" t="n">
        <v>44532</v>
      </c>
      <c r="C2311" s="1" t="n">
        <v>45846</v>
      </c>
      <c r="D2311" t="inlineStr">
        <is>
          <t>UPPSALA LÄN</t>
        </is>
      </c>
      <c r="E2311" t="inlineStr">
        <is>
          <t>TIERP</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69879-2021</t>
        </is>
      </c>
      <c r="B2312" s="1" t="n">
        <v>44532</v>
      </c>
      <c r="C2312" s="1" t="n">
        <v>45846</v>
      </c>
      <c r="D2312" t="inlineStr">
        <is>
          <t>UPPSALA LÄN</t>
        </is>
      </c>
      <c r="E2312" t="inlineStr">
        <is>
          <t>ENKÖPING</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70158-2021</t>
        </is>
      </c>
      <c r="B2313" s="1" t="n">
        <v>44533</v>
      </c>
      <c r="C2313" s="1" t="n">
        <v>45846</v>
      </c>
      <c r="D2313" t="inlineStr">
        <is>
          <t>UPPSALA LÄN</t>
        </is>
      </c>
      <c r="E2313" t="inlineStr">
        <is>
          <t>HEBY</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70154-2021</t>
        </is>
      </c>
      <c r="B2314" s="1" t="n">
        <v>44533</v>
      </c>
      <c r="C2314" s="1" t="n">
        <v>45846</v>
      </c>
      <c r="D2314" t="inlineStr">
        <is>
          <t>UPPSALA LÄN</t>
        </is>
      </c>
      <c r="E2314" t="inlineStr">
        <is>
          <t>HEBY</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70032-2021</t>
        </is>
      </c>
      <c r="B2315" s="1" t="n">
        <v>44533</v>
      </c>
      <c r="C2315" s="1" t="n">
        <v>45846</v>
      </c>
      <c r="D2315" t="inlineStr">
        <is>
          <t>UPPSALA LÄN</t>
        </is>
      </c>
      <c r="E2315" t="inlineStr">
        <is>
          <t>UPPSALA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70031-2021</t>
        </is>
      </c>
      <c r="B2316" s="1" t="n">
        <v>44533</v>
      </c>
      <c r="C2316" s="1" t="n">
        <v>45846</v>
      </c>
      <c r="D2316" t="inlineStr">
        <is>
          <t>UPPSALA LÄN</t>
        </is>
      </c>
      <c r="E2316" t="inlineStr">
        <is>
          <t>UPPSALA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70008-2021</t>
        </is>
      </c>
      <c r="B2317" s="1" t="n">
        <v>44533</v>
      </c>
      <c r="C2317" s="1" t="n">
        <v>45846</v>
      </c>
      <c r="D2317" t="inlineStr">
        <is>
          <t>UPPSALA LÄN</t>
        </is>
      </c>
      <c r="E2317" t="inlineStr">
        <is>
          <t>ÖSTHAMMAR</t>
        </is>
      </c>
      <c r="F2317" t="inlineStr">
        <is>
          <t>Sveaskog</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70359-2021</t>
        </is>
      </c>
      <c r="B2318" s="1" t="n">
        <v>44535</v>
      </c>
      <c r="C2318" s="1" t="n">
        <v>45846</v>
      </c>
      <c r="D2318" t="inlineStr">
        <is>
          <t>UPPSALA LÄN</t>
        </is>
      </c>
      <c r="E2318" t="inlineStr">
        <is>
          <t>UPPSALA</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70228-2021</t>
        </is>
      </c>
      <c r="B2319" s="1" t="n">
        <v>44535</v>
      </c>
      <c r="C2319" s="1" t="n">
        <v>45846</v>
      </c>
      <c r="D2319" t="inlineStr">
        <is>
          <t>UPPSALA LÄN</t>
        </is>
      </c>
      <c r="E2319" t="inlineStr">
        <is>
          <t>UPPSALA</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70408-2021</t>
        </is>
      </c>
      <c r="B2320" s="1" t="n">
        <v>44536</v>
      </c>
      <c r="C2320" s="1" t="n">
        <v>45846</v>
      </c>
      <c r="D2320" t="inlineStr">
        <is>
          <t>UPPSALA LÄN</t>
        </is>
      </c>
      <c r="E2320" t="inlineStr">
        <is>
          <t>ÖSTHAMMAR</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70700-2021</t>
        </is>
      </c>
      <c r="B2321" s="1" t="n">
        <v>44537</v>
      </c>
      <c r="C2321" s="1" t="n">
        <v>45846</v>
      </c>
      <c r="D2321" t="inlineStr">
        <is>
          <t>UPPSALA LÄN</t>
        </is>
      </c>
      <c r="E2321" t="inlineStr">
        <is>
          <t>KNIVSTA</t>
        </is>
      </c>
      <c r="F2321" t="inlineStr">
        <is>
          <t>Holmen skog AB</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70996-2021</t>
        </is>
      </c>
      <c r="B2322" s="1" t="n">
        <v>44538</v>
      </c>
      <c r="C2322" s="1" t="n">
        <v>45846</v>
      </c>
      <c r="D2322" t="inlineStr">
        <is>
          <t>UPPSALA LÄN</t>
        </is>
      </c>
      <c r="E2322" t="inlineStr">
        <is>
          <t>UPPSALA</t>
        </is>
      </c>
      <c r="F2322" t="inlineStr">
        <is>
          <t>Bergvik skog öst AB</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70976-2021</t>
        </is>
      </c>
      <c r="B2323" s="1" t="n">
        <v>44538</v>
      </c>
      <c r="C2323" s="1" t="n">
        <v>45846</v>
      </c>
      <c r="D2323" t="inlineStr">
        <is>
          <t>UPPSALA LÄN</t>
        </is>
      </c>
      <c r="E2323" t="inlineStr">
        <is>
          <t>HEBY</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71563-2021</t>
        </is>
      </c>
      <c r="B2324" s="1" t="n">
        <v>44540</v>
      </c>
      <c r="C2324" s="1" t="n">
        <v>45846</v>
      </c>
      <c r="D2324" t="inlineStr">
        <is>
          <t>UPPSALA LÄN</t>
        </is>
      </c>
      <c r="E2324" t="inlineStr">
        <is>
          <t>UPPSALA</t>
        </is>
      </c>
      <c r="F2324" t="inlineStr">
        <is>
          <t>Allmännings- och besparingsskogar</t>
        </is>
      </c>
      <c r="G2324" t="n">
        <v>7.7</v>
      </c>
      <c r="H2324" t="n">
        <v>0</v>
      </c>
      <c r="I2324" t="n">
        <v>0</v>
      </c>
      <c r="J2324" t="n">
        <v>0</v>
      </c>
      <c r="K2324" t="n">
        <v>0</v>
      </c>
      <c r="L2324" t="n">
        <v>0</v>
      </c>
      <c r="M2324" t="n">
        <v>0</v>
      </c>
      <c r="N2324" t="n">
        <v>0</v>
      </c>
      <c r="O2324" t="n">
        <v>0</v>
      </c>
      <c r="P2324" t="n">
        <v>0</v>
      </c>
      <c r="Q2324" t="n">
        <v>0</v>
      </c>
      <c r="R2324" s="2" t="inlineStr"/>
    </row>
    <row r="2325" ht="15" customHeight="1">
      <c r="A2325" t="inlineStr">
        <is>
          <t>A 71641-2021</t>
        </is>
      </c>
      <c r="B2325" s="1" t="n">
        <v>44543</v>
      </c>
      <c r="C2325" s="1" t="n">
        <v>45846</v>
      </c>
      <c r="D2325" t="inlineStr">
        <is>
          <t>UPPSALA LÄN</t>
        </is>
      </c>
      <c r="E2325" t="inlineStr">
        <is>
          <t>ENKÖPING</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71675-2021</t>
        </is>
      </c>
      <c r="B2326" s="1" t="n">
        <v>44543</v>
      </c>
      <c r="C2326" s="1" t="n">
        <v>45846</v>
      </c>
      <c r="D2326" t="inlineStr">
        <is>
          <t>UPPSALA LÄN</t>
        </is>
      </c>
      <c r="E2326" t="inlineStr">
        <is>
          <t>UPPSALA</t>
        </is>
      </c>
      <c r="F2326" t="inlineStr">
        <is>
          <t>Bergvik skog öst AB</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71774-2021</t>
        </is>
      </c>
      <c r="B2327" s="1" t="n">
        <v>44543</v>
      </c>
      <c r="C2327" s="1" t="n">
        <v>45846</v>
      </c>
      <c r="D2327" t="inlineStr">
        <is>
          <t>UPPSALA LÄN</t>
        </is>
      </c>
      <c r="E2327" t="inlineStr">
        <is>
          <t>TIERP</t>
        </is>
      </c>
      <c r="G2327" t="n">
        <v>12.9</v>
      </c>
      <c r="H2327" t="n">
        <v>0</v>
      </c>
      <c r="I2327" t="n">
        <v>0</v>
      </c>
      <c r="J2327" t="n">
        <v>0</v>
      </c>
      <c r="K2327" t="n">
        <v>0</v>
      </c>
      <c r="L2327" t="n">
        <v>0</v>
      </c>
      <c r="M2327" t="n">
        <v>0</v>
      </c>
      <c r="N2327" t="n">
        <v>0</v>
      </c>
      <c r="O2327" t="n">
        <v>0</v>
      </c>
      <c r="P2327" t="n">
        <v>0</v>
      </c>
      <c r="Q2327" t="n">
        <v>0</v>
      </c>
      <c r="R2327" s="2" t="inlineStr"/>
    </row>
    <row r="2328" ht="15" customHeight="1">
      <c r="A2328" t="inlineStr">
        <is>
          <t>A 71643-2021</t>
        </is>
      </c>
      <c r="B2328" s="1" t="n">
        <v>44543</v>
      </c>
      <c r="C2328" s="1" t="n">
        <v>45846</v>
      </c>
      <c r="D2328" t="inlineStr">
        <is>
          <t>UPPSALA LÄN</t>
        </is>
      </c>
      <c r="E2328" t="inlineStr">
        <is>
          <t>UPPSALA</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71671-2021</t>
        </is>
      </c>
      <c r="B2329" s="1" t="n">
        <v>44543</v>
      </c>
      <c r="C2329" s="1" t="n">
        <v>45846</v>
      </c>
      <c r="D2329" t="inlineStr">
        <is>
          <t>UPPSALA LÄN</t>
        </is>
      </c>
      <c r="E2329" t="inlineStr">
        <is>
          <t>UPPSALA</t>
        </is>
      </c>
      <c r="F2329" t="inlineStr">
        <is>
          <t>Bergvik skog öst AB</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72180-2021</t>
        </is>
      </c>
      <c r="B2330" s="1" t="n">
        <v>44543</v>
      </c>
      <c r="C2330" s="1" t="n">
        <v>45846</v>
      </c>
      <c r="D2330" t="inlineStr">
        <is>
          <t>UPPSALA LÄN</t>
        </is>
      </c>
      <c r="E2330" t="inlineStr">
        <is>
          <t>HEBY</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72179-2021</t>
        </is>
      </c>
      <c r="B2331" s="1" t="n">
        <v>44544</v>
      </c>
      <c r="C2331" s="1" t="n">
        <v>45846</v>
      </c>
      <c r="D2331" t="inlineStr">
        <is>
          <t>UPPSALA LÄN</t>
        </is>
      </c>
      <c r="E2331" t="inlineStr">
        <is>
          <t>HEBY</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72225-2021</t>
        </is>
      </c>
      <c r="B2332" s="1" t="n">
        <v>44544</v>
      </c>
      <c r="C2332" s="1" t="n">
        <v>45846</v>
      </c>
      <c r="D2332" t="inlineStr">
        <is>
          <t>UPPSALA LÄN</t>
        </is>
      </c>
      <c r="E2332" t="inlineStr">
        <is>
          <t>UPPSALA</t>
        </is>
      </c>
      <c r="G2332" t="n">
        <v>6.2</v>
      </c>
      <c r="H2332" t="n">
        <v>0</v>
      </c>
      <c r="I2332" t="n">
        <v>0</v>
      </c>
      <c r="J2332" t="n">
        <v>0</v>
      </c>
      <c r="K2332" t="n">
        <v>0</v>
      </c>
      <c r="L2332" t="n">
        <v>0</v>
      </c>
      <c r="M2332" t="n">
        <v>0</v>
      </c>
      <c r="N2332" t="n">
        <v>0</v>
      </c>
      <c r="O2332" t="n">
        <v>0</v>
      </c>
      <c r="P2332" t="n">
        <v>0</v>
      </c>
      <c r="Q2332" t="n">
        <v>0</v>
      </c>
      <c r="R2332" s="2" t="inlineStr"/>
    </row>
    <row r="2333" ht="15" customHeight="1">
      <c r="A2333" t="inlineStr">
        <is>
          <t>A 72224-2021</t>
        </is>
      </c>
      <c r="B2333" s="1" t="n">
        <v>44544</v>
      </c>
      <c r="C2333" s="1" t="n">
        <v>45846</v>
      </c>
      <c r="D2333" t="inlineStr">
        <is>
          <t>UPPSALA LÄN</t>
        </is>
      </c>
      <c r="E2333" t="inlineStr">
        <is>
          <t>UPPSALA</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72260-2021</t>
        </is>
      </c>
      <c r="B2334" s="1" t="n">
        <v>44545</v>
      </c>
      <c r="C2334" s="1" t="n">
        <v>45846</v>
      </c>
      <c r="D2334" t="inlineStr">
        <is>
          <t>UPPSALA LÄN</t>
        </is>
      </c>
      <c r="E2334" t="inlineStr">
        <is>
          <t>HEBY</t>
        </is>
      </c>
      <c r="G2334" t="n">
        <v>10</v>
      </c>
      <c r="H2334" t="n">
        <v>0</v>
      </c>
      <c r="I2334" t="n">
        <v>0</v>
      </c>
      <c r="J2334" t="n">
        <v>0</v>
      </c>
      <c r="K2334" t="n">
        <v>0</v>
      </c>
      <c r="L2334" t="n">
        <v>0</v>
      </c>
      <c r="M2334" t="n">
        <v>0</v>
      </c>
      <c r="N2334" t="n">
        <v>0</v>
      </c>
      <c r="O2334" t="n">
        <v>0</v>
      </c>
      <c r="P2334" t="n">
        <v>0</v>
      </c>
      <c r="Q2334" t="n">
        <v>0</v>
      </c>
      <c r="R2334" s="2" t="inlineStr"/>
    </row>
    <row r="2335" ht="15" customHeight="1">
      <c r="A2335" t="inlineStr">
        <is>
          <t>A 72471-2021</t>
        </is>
      </c>
      <c r="B2335" s="1" t="n">
        <v>44545</v>
      </c>
      <c r="C2335" s="1" t="n">
        <v>45846</v>
      </c>
      <c r="D2335" t="inlineStr">
        <is>
          <t>UPPSALA LÄN</t>
        </is>
      </c>
      <c r="E2335" t="inlineStr">
        <is>
          <t>KNIVSTA</t>
        </is>
      </c>
      <c r="F2335" t="inlineStr">
        <is>
          <t>Holmen skog AB</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72627-2021</t>
        </is>
      </c>
      <c r="B2336" s="1" t="n">
        <v>44546</v>
      </c>
      <c r="C2336" s="1" t="n">
        <v>45846</v>
      </c>
      <c r="D2336" t="inlineStr">
        <is>
          <t>UPPSALA LÄN</t>
        </is>
      </c>
      <c r="E2336" t="inlineStr">
        <is>
          <t>ÖSTHAMMAR</t>
        </is>
      </c>
      <c r="F2336" t="inlineStr">
        <is>
          <t>Bergvik skog öst AB</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72628-2021</t>
        </is>
      </c>
      <c r="B2337" s="1" t="n">
        <v>44546</v>
      </c>
      <c r="C2337" s="1" t="n">
        <v>45846</v>
      </c>
      <c r="D2337" t="inlineStr">
        <is>
          <t>UPPSALA LÄN</t>
        </is>
      </c>
      <c r="E2337" t="inlineStr">
        <is>
          <t>ENKÖPING</t>
        </is>
      </c>
      <c r="F2337" t="inlineStr">
        <is>
          <t>Allmännings- och besparingsskogar</t>
        </is>
      </c>
      <c r="G2337" t="n">
        <v>7.1</v>
      </c>
      <c r="H2337" t="n">
        <v>0</v>
      </c>
      <c r="I2337" t="n">
        <v>0</v>
      </c>
      <c r="J2337" t="n">
        <v>0</v>
      </c>
      <c r="K2337" t="n">
        <v>0</v>
      </c>
      <c r="L2337" t="n">
        <v>0</v>
      </c>
      <c r="M2337" t="n">
        <v>0</v>
      </c>
      <c r="N2337" t="n">
        <v>0</v>
      </c>
      <c r="O2337" t="n">
        <v>0</v>
      </c>
      <c r="P2337" t="n">
        <v>0</v>
      </c>
      <c r="Q2337" t="n">
        <v>0</v>
      </c>
      <c r="R2337" s="2" t="inlineStr"/>
    </row>
    <row r="2338" ht="15" customHeight="1">
      <c r="A2338" t="inlineStr">
        <is>
          <t>A 72637-2021</t>
        </is>
      </c>
      <c r="B2338" s="1" t="n">
        <v>44546</v>
      </c>
      <c r="C2338" s="1" t="n">
        <v>45846</v>
      </c>
      <c r="D2338" t="inlineStr">
        <is>
          <t>UPPSALA LÄN</t>
        </is>
      </c>
      <c r="E2338" t="inlineStr">
        <is>
          <t>ÖSTHAMMAR</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72914-2021</t>
        </is>
      </c>
      <c r="B2339" s="1" t="n">
        <v>44547</v>
      </c>
      <c r="C2339" s="1" t="n">
        <v>45846</v>
      </c>
      <c r="D2339" t="inlineStr">
        <is>
          <t>UPPSALA LÄN</t>
        </is>
      </c>
      <c r="E2339" t="inlineStr">
        <is>
          <t>TIERP</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72883-2021</t>
        </is>
      </c>
      <c r="B2340" s="1" t="n">
        <v>44547</v>
      </c>
      <c r="C2340" s="1" t="n">
        <v>45846</v>
      </c>
      <c r="D2340" t="inlineStr">
        <is>
          <t>UPPSALA LÄN</t>
        </is>
      </c>
      <c r="E2340" t="inlineStr">
        <is>
          <t>KNIVSTA</t>
        </is>
      </c>
      <c r="F2340" t="inlineStr">
        <is>
          <t>Holmen skog AB</t>
        </is>
      </c>
      <c r="G2340" t="n">
        <v>7.7</v>
      </c>
      <c r="H2340" t="n">
        <v>0</v>
      </c>
      <c r="I2340" t="n">
        <v>0</v>
      </c>
      <c r="J2340" t="n">
        <v>0</v>
      </c>
      <c r="K2340" t="n">
        <v>0</v>
      </c>
      <c r="L2340" t="n">
        <v>0</v>
      </c>
      <c r="M2340" t="n">
        <v>0</v>
      </c>
      <c r="N2340" t="n">
        <v>0</v>
      </c>
      <c r="O2340" t="n">
        <v>0</v>
      </c>
      <c r="P2340" t="n">
        <v>0</v>
      </c>
      <c r="Q2340" t="n">
        <v>0</v>
      </c>
      <c r="R2340" s="2" t="inlineStr"/>
    </row>
    <row r="2341" ht="15" customHeight="1">
      <c r="A2341" t="inlineStr">
        <is>
          <t>A 72840-2021</t>
        </is>
      </c>
      <c r="B2341" s="1" t="n">
        <v>44547</v>
      </c>
      <c r="C2341" s="1" t="n">
        <v>45846</v>
      </c>
      <c r="D2341" t="inlineStr">
        <is>
          <t>UPPSALA LÄN</t>
        </is>
      </c>
      <c r="E2341" t="inlineStr">
        <is>
          <t>ENKÖPING</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72885-2021</t>
        </is>
      </c>
      <c r="B2342" s="1" t="n">
        <v>44547</v>
      </c>
      <c r="C2342" s="1" t="n">
        <v>45846</v>
      </c>
      <c r="D2342" t="inlineStr">
        <is>
          <t>UPPSALA LÄN</t>
        </is>
      </c>
      <c r="E2342" t="inlineStr">
        <is>
          <t>KNIVSTA</t>
        </is>
      </c>
      <c r="F2342" t="inlineStr">
        <is>
          <t>Holmen skog AB</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72969-2021</t>
        </is>
      </c>
      <c r="B2343" s="1" t="n">
        <v>44548</v>
      </c>
      <c r="C2343" s="1" t="n">
        <v>45846</v>
      </c>
      <c r="D2343" t="inlineStr">
        <is>
          <t>UPPSALA LÄN</t>
        </is>
      </c>
      <c r="E2343" t="inlineStr">
        <is>
          <t>ÖSTHAMMAR</t>
        </is>
      </c>
      <c r="F2343" t="inlineStr">
        <is>
          <t>Bergvik skog öst AB</t>
        </is>
      </c>
      <c r="G2343" t="n">
        <v>8</v>
      </c>
      <c r="H2343" t="n">
        <v>0</v>
      </c>
      <c r="I2343" t="n">
        <v>0</v>
      </c>
      <c r="J2343" t="n">
        <v>0</v>
      </c>
      <c r="K2343" t="n">
        <v>0</v>
      </c>
      <c r="L2343" t="n">
        <v>0</v>
      </c>
      <c r="M2343" t="n">
        <v>0</v>
      </c>
      <c r="N2343" t="n">
        <v>0</v>
      </c>
      <c r="O2343" t="n">
        <v>0</v>
      </c>
      <c r="P2343" t="n">
        <v>0</v>
      </c>
      <c r="Q2343" t="n">
        <v>0</v>
      </c>
      <c r="R2343" s="2" t="inlineStr"/>
    </row>
    <row r="2344" ht="15" customHeight="1">
      <c r="A2344" t="inlineStr">
        <is>
          <t>A 72967-2021</t>
        </is>
      </c>
      <c r="B2344" s="1" t="n">
        <v>44548</v>
      </c>
      <c r="C2344" s="1" t="n">
        <v>45846</v>
      </c>
      <c r="D2344" t="inlineStr">
        <is>
          <t>UPPSALA LÄN</t>
        </is>
      </c>
      <c r="E2344" t="inlineStr">
        <is>
          <t>KNIVSTA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72973-2021</t>
        </is>
      </c>
      <c r="B2345" s="1" t="n">
        <v>44548</v>
      </c>
      <c r="C2345" s="1" t="n">
        <v>45846</v>
      </c>
      <c r="D2345" t="inlineStr">
        <is>
          <t>UPPSALA LÄN</t>
        </is>
      </c>
      <c r="E2345" t="inlineStr">
        <is>
          <t>UPPSALA</t>
        </is>
      </c>
      <c r="F2345" t="inlineStr">
        <is>
          <t>Holmen skog AB</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73326-2021</t>
        </is>
      </c>
      <c r="B2346" s="1" t="n">
        <v>44548</v>
      </c>
      <c r="C2346" s="1" t="n">
        <v>45846</v>
      </c>
      <c r="D2346" t="inlineStr">
        <is>
          <t>UPPSALA LÄN</t>
        </is>
      </c>
      <c r="E2346" t="inlineStr">
        <is>
          <t>UPPSALA</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72975-2021</t>
        </is>
      </c>
      <c r="B2347" s="1" t="n">
        <v>44548</v>
      </c>
      <c r="C2347" s="1" t="n">
        <v>45846</v>
      </c>
      <c r="D2347" t="inlineStr">
        <is>
          <t>UPPSALA LÄN</t>
        </is>
      </c>
      <c r="E2347" t="inlineStr">
        <is>
          <t>TIERP</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72966-2021</t>
        </is>
      </c>
      <c r="B2348" s="1" t="n">
        <v>44548</v>
      </c>
      <c r="C2348" s="1" t="n">
        <v>45846</v>
      </c>
      <c r="D2348" t="inlineStr">
        <is>
          <t>UPPSALA LÄN</t>
        </is>
      </c>
      <c r="E2348" t="inlineStr">
        <is>
          <t>KNIVSTA</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73044-2021</t>
        </is>
      </c>
      <c r="B2349" s="1" t="n">
        <v>44550</v>
      </c>
      <c r="C2349" s="1" t="n">
        <v>45846</v>
      </c>
      <c r="D2349" t="inlineStr">
        <is>
          <t>UPPSALA LÄN</t>
        </is>
      </c>
      <c r="E2349" t="inlineStr">
        <is>
          <t>UPPSALA</t>
        </is>
      </c>
      <c r="F2349" t="inlineStr">
        <is>
          <t>Sveaskog</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73238-2021</t>
        </is>
      </c>
      <c r="B2350" s="1" t="n">
        <v>44550</v>
      </c>
      <c r="C2350" s="1" t="n">
        <v>45846</v>
      </c>
      <c r="D2350" t="inlineStr">
        <is>
          <t>UPPSALA LÄN</t>
        </is>
      </c>
      <c r="E2350" t="inlineStr">
        <is>
          <t>HEBY</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73483-2021</t>
        </is>
      </c>
      <c r="B2351" s="1" t="n">
        <v>44550</v>
      </c>
      <c r="C2351" s="1" t="n">
        <v>45846</v>
      </c>
      <c r="D2351" t="inlineStr">
        <is>
          <t>UPPSALA LÄN</t>
        </is>
      </c>
      <c r="E2351" t="inlineStr">
        <is>
          <t>ÖSTHAMMAR</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73385-2021</t>
        </is>
      </c>
      <c r="B2352" s="1" t="n">
        <v>44551</v>
      </c>
      <c r="C2352" s="1" t="n">
        <v>45846</v>
      </c>
      <c r="D2352" t="inlineStr">
        <is>
          <t>UPPSALA LÄN</t>
        </is>
      </c>
      <c r="E2352" t="inlineStr">
        <is>
          <t>HEBY</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73468-2021</t>
        </is>
      </c>
      <c r="B2353" s="1" t="n">
        <v>44551</v>
      </c>
      <c r="C2353" s="1" t="n">
        <v>45846</v>
      </c>
      <c r="D2353" t="inlineStr">
        <is>
          <t>UPPSALA LÄN</t>
        </is>
      </c>
      <c r="E2353" t="inlineStr">
        <is>
          <t>UPPSALA</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73518-2021</t>
        </is>
      </c>
      <c r="B2354" s="1" t="n">
        <v>44551</v>
      </c>
      <c r="C2354" s="1" t="n">
        <v>45846</v>
      </c>
      <c r="D2354" t="inlineStr">
        <is>
          <t>UPPSALA LÄN</t>
        </is>
      </c>
      <c r="E2354" t="inlineStr">
        <is>
          <t>UPPSALA</t>
        </is>
      </c>
      <c r="F2354" t="inlineStr">
        <is>
          <t>Holmen skog AB</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73531-2021</t>
        </is>
      </c>
      <c r="B2355" s="1" t="n">
        <v>44551</v>
      </c>
      <c r="C2355" s="1" t="n">
        <v>45846</v>
      </c>
      <c r="D2355" t="inlineStr">
        <is>
          <t>UPPSALA LÄN</t>
        </is>
      </c>
      <c r="E2355" t="inlineStr">
        <is>
          <t>UPPSALA</t>
        </is>
      </c>
      <c r="F2355" t="inlineStr">
        <is>
          <t>Holmen skog AB</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73622-2021</t>
        </is>
      </c>
      <c r="B2356" s="1" t="n">
        <v>44552</v>
      </c>
      <c r="C2356" s="1" t="n">
        <v>45846</v>
      </c>
      <c r="D2356" t="inlineStr">
        <is>
          <t>UPPSALA LÄN</t>
        </is>
      </c>
      <c r="E2356" t="inlineStr">
        <is>
          <t>HEBY</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73592-2021</t>
        </is>
      </c>
      <c r="B2357" s="1" t="n">
        <v>44552</v>
      </c>
      <c r="C2357" s="1" t="n">
        <v>45846</v>
      </c>
      <c r="D2357" t="inlineStr">
        <is>
          <t>UPPSALA LÄN</t>
        </is>
      </c>
      <c r="E2357" t="inlineStr">
        <is>
          <t>ÖSTHAMMAR</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73754-2021</t>
        </is>
      </c>
      <c r="B2358" s="1" t="n">
        <v>44552</v>
      </c>
      <c r="C2358" s="1" t="n">
        <v>45846</v>
      </c>
      <c r="D2358" t="inlineStr">
        <is>
          <t>UPPSALA LÄN</t>
        </is>
      </c>
      <c r="E2358" t="inlineStr">
        <is>
          <t>KNIVSTA</t>
        </is>
      </c>
      <c r="F2358" t="inlineStr">
        <is>
          <t>Holmen skog AB</t>
        </is>
      </c>
      <c r="G2358" t="n">
        <v>8.6</v>
      </c>
      <c r="H2358" t="n">
        <v>0</v>
      </c>
      <c r="I2358" t="n">
        <v>0</v>
      </c>
      <c r="J2358" t="n">
        <v>0</v>
      </c>
      <c r="K2358" t="n">
        <v>0</v>
      </c>
      <c r="L2358" t="n">
        <v>0</v>
      </c>
      <c r="M2358" t="n">
        <v>0</v>
      </c>
      <c r="N2358" t="n">
        <v>0</v>
      </c>
      <c r="O2358" t="n">
        <v>0</v>
      </c>
      <c r="P2358" t="n">
        <v>0</v>
      </c>
      <c r="Q2358" t="n">
        <v>0</v>
      </c>
      <c r="R2358" s="2" t="inlineStr"/>
    </row>
    <row r="2359" ht="15" customHeight="1">
      <c r="A2359" t="inlineStr">
        <is>
          <t>A 74019-2021</t>
        </is>
      </c>
      <c r="B2359" s="1" t="n">
        <v>44553</v>
      </c>
      <c r="C2359" s="1" t="n">
        <v>45846</v>
      </c>
      <c r="D2359" t="inlineStr">
        <is>
          <t>UPPSALA LÄN</t>
        </is>
      </c>
      <c r="E2359" t="inlineStr">
        <is>
          <t>UPPSALA</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73965-2021</t>
        </is>
      </c>
      <c r="B2360" s="1" t="n">
        <v>44553</v>
      </c>
      <c r="C2360" s="1" t="n">
        <v>45846</v>
      </c>
      <c r="D2360" t="inlineStr">
        <is>
          <t>UPPSALA LÄN</t>
        </is>
      </c>
      <c r="E2360" t="inlineStr">
        <is>
          <t>ÖSTHAMMAR</t>
        </is>
      </c>
      <c r="F2360" t="inlineStr">
        <is>
          <t>Bergvik skog öst AB</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74023-2021</t>
        </is>
      </c>
      <c r="B2361" s="1" t="n">
        <v>44553</v>
      </c>
      <c r="C2361" s="1" t="n">
        <v>45846</v>
      </c>
      <c r="D2361" t="inlineStr">
        <is>
          <t>UPPSALA LÄN</t>
        </is>
      </c>
      <c r="E2361" t="inlineStr">
        <is>
          <t>UPPSALA</t>
        </is>
      </c>
      <c r="G2361" t="n">
        <v>5.4</v>
      </c>
      <c r="H2361" t="n">
        <v>0</v>
      </c>
      <c r="I2361" t="n">
        <v>0</v>
      </c>
      <c r="J2361" t="n">
        <v>0</v>
      </c>
      <c r="K2361" t="n">
        <v>0</v>
      </c>
      <c r="L2361" t="n">
        <v>0</v>
      </c>
      <c r="M2361" t="n">
        <v>0</v>
      </c>
      <c r="N2361" t="n">
        <v>0</v>
      </c>
      <c r="O2361" t="n">
        <v>0</v>
      </c>
      <c r="P2361" t="n">
        <v>0</v>
      </c>
      <c r="Q2361" t="n">
        <v>0</v>
      </c>
      <c r="R2361" s="2" t="inlineStr"/>
    </row>
    <row r="2362" ht="15" customHeight="1">
      <c r="A2362" t="inlineStr">
        <is>
          <t>A 73982-2021</t>
        </is>
      </c>
      <c r="B2362" s="1" t="n">
        <v>44555</v>
      </c>
      <c r="C2362" s="1" t="n">
        <v>45846</v>
      </c>
      <c r="D2362" t="inlineStr">
        <is>
          <t>UPPSALA LÄN</t>
        </is>
      </c>
      <c r="E2362" t="inlineStr">
        <is>
          <t>ÖSTHAMMAR</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73983-2021</t>
        </is>
      </c>
      <c r="B2363" s="1" t="n">
        <v>44555</v>
      </c>
      <c r="C2363" s="1" t="n">
        <v>45846</v>
      </c>
      <c r="D2363" t="inlineStr">
        <is>
          <t>UPPSALA LÄN</t>
        </is>
      </c>
      <c r="E2363" t="inlineStr">
        <is>
          <t>ÖSTHAMMAR</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74090-2021</t>
        </is>
      </c>
      <c r="B2364" s="1" t="n">
        <v>44557</v>
      </c>
      <c r="C2364" s="1" t="n">
        <v>45846</v>
      </c>
      <c r="D2364" t="inlineStr">
        <is>
          <t>UPPSALA LÄN</t>
        </is>
      </c>
      <c r="E2364" t="inlineStr">
        <is>
          <t>ENKÖPING</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74215-2021</t>
        </is>
      </c>
      <c r="B2365" s="1" t="n">
        <v>44558</v>
      </c>
      <c r="C2365" s="1" t="n">
        <v>45846</v>
      </c>
      <c r="D2365" t="inlineStr">
        <is>
          <t>UPPSALA LÄN</t>
        </is>
      </c>
      <c r="E2365" t="inlineStr">
        <is>
          <t>HEBY</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74429-2021</t>
        </is>
      </c>
      <c r="B2366" s="1" t="n">
        <v>44560</v>
      </c>
      <c r="C2366" s="1" t="n">
        <v>45846</v>
      </c>
      <c r="D2366" t="inlineStr">
        <is>
          <t>UPPSALA LÄN</t>
        </is>
      </c>
      <c r="E2366" t="inlineStr">
        <is>
          <t>ÖSTHAMMAR</t>
        </is>
      </c>
      <c r="F2366" t="inlineStr">
        <is>
          <t>Bergvik skog öst AB</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74467-2021</t>
        </is>
      </c>
      <c r="B2367" s="1" t="n">
        <v>44560</v>
      </c>
      <c r="C2367" s="1" t="n">
        <v>45846</v>
      </c>
      <c r="D2367" t="inlineStr">
        <is>
          <t>UPPSALA LÄN</t>
        </is>
      </c>
      <c r="E2367" t="inlineStr">
        <is>
          <t>ÖSTHAMMAR</t>
        </is>
      </c>
      <c r="F2367" t="inlineStr">
        <is>
          <t>Bergvik skog öst AB</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74473-2021</t>
        </is>
      </c>
      <c r="B2368" s="1" t="n">
        <v>44560</v>
      </c>
      <c r="C2368" s="1" t="n">
        <v>45846</v>
      </c>
      <c r="D2368" t="inlineStr">
        <is>
          <t>UPPSALA LÄN</t>
        </is>
      </c>
      <c r="E2368" t="inlineStr">
        <is>
          <t>TIERP</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74493-2021</t>
        </is>
      </c>
      <c r="B2369" s="1" t="n">
        <v>44560</v>
      </c>
      <c r="C2369" s="1" t="n">
        <v>45846</v>
      </c>
      <c r="D2369" t="inlineStr">
        <is>
          <t>UPPSALA LÄN</t>
        </is>
      </c>
      <c r="E2369" t="inlineStr">
        <is>
          <t>UPPSALA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74428-2021</t>
        </is>
      </c>
      <c r="B2370" s="1" t="n">
        <v>44560</v>
      </c>
      <c r="C2370" s="1" t="n">
        <v>45846</v>
      </c>
      <c r="D2370" t="inlineStr">
        <is>
          <t>UPPSALA LÄN</t>
        </is>
      </c>
      <c r="E2370" t="inlineStr">
        <is>
          <t>ÖSTHAMMAR</t>
        </is>
      </c>
      <c r="F2370" t="inlineStr">
        <is>
          <t>Bergvik skog öst AB</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74436-2021</t>
        </is>
      </c>
      <c r="B2371" s="1" t="n">
        <v>44560</v>
      </c>
      <c r="C2371" s="1" t="n">
        <v>45846</v>
      </c>
      <c r="D2371" t="inlineStr">
        <is>
          <t>UPPSALA LÄN</t>
        </is>
      </c>
      <c r="E2371" t="inlineStr">
        <is>
          <t>ÖSTHAMMAR</t>
        </is>
      </c>
      <c r="F2371" t="inlineStr">
        <is>
          <t>Bergvik skog öst AB</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74495-2021</t>
        </is>
      </c>
      <c r="B2372" s="1" t="n">
        <v>44560</v>
      </c>
      <c r="C2372" s="1" t="n">
        <v>45846</v>
      </c>
      <c r="D2372" t="inlineStr">
        <is>
          <t>UPPSALA LÄN</t>
        </is>
      </c>
      <c r="E2372" t="inlineStr">
        <is>
          <t>UPPSALA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312-2022</t>
        </is>
      </c>
      <c r="B2373" s="1" t="n">
        <v>44565</v>
      </c>
      <c r="C2373" s="1" t="n">
        <v>45846</v>
      </c>
      <c r="D2373" t="inlineStr">
        <is>
          <t>UPPSALA LÄN</t>
        </is>
      </c>
      <c r="E2373" t="inlineStr">
        <is>
          <t>HEBY</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279-2022</t>
        </is>
      </c>
      <c r="B2374" s="1" t="n">
        <v>44565</v>
      </c>
      <c r="C2374" s="1" t="n">
        <v>45846</v>
      </c>
      <c r="D2374" t="inlineStr">
        <is>
          <t>UPPSALA LÄN</t>
        </is>
      </c>
      <c r="E2374" t="inlineStr">
        <is>
          <t>HEBY</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498-2022</t>
        </is>
      </c>
      <c r="B2375" s="1" t="n">
        <v>44566</v>
      </c>
      <c r="C2375" s="1" t="n">
        <v>45846</v>
      </c>
      <c r="D2375" t="inlineStr">
        <is>
          <t>UPPSALA LÄN</t>
        </is>
      </c>
      <c r="E2375" t="inlineStr">
        <is>
          <t>ENKÖPING</t>
        </is>
      </c>
      <c r="F2375" t="inlineStr">
        <is>
          <t>Övriga statliga verk och myndigheter</t>
        </is>
      </c>
      <c r="G2375" t="n">
        <v>11.1</v>
      </c>
      <c r="H2375" t="n">
        <v>0</v>
      </c>
      <c r="I2375" t="n">
        <v>0</v>
      </c>
      <c r="J2375" t="n">
        <v>0</v>
      </c>
      <c r="K2375" t="n">
        <v>0</v>
      </c>
      <c r="L2375" t="n">
        <v>0</v>
      </c>
      <c r="M2375" t="n">
        <v>0</v>
      </c>
      <c r="N2375" t="n">
        <v>0</v>
      </c>
      <c r="O2375" t="n">
        <v>0</v>
      </c>
      <c r="P2375" t="n">
        <v>0</v>
      </c>
      <c r="Q2375" t="n">
        <v>0</v>
      </c>
      <c r="R2375" s="2" t="inlineStr"/>
    </row>
    <row r="2376" ht="15" customHeight="1">
      <c r="A2376" t="inlineStr">
        <is>
          <t>A 612-2022</t>
        </is>
      </c>
      <c r="B2376" s="1" t="n">
        <v>44567</v>
      </c>
      <c r="C2376" s="1" t="n">
        <v>45846</v>
      </c>
      <c r="D2376" t="inlineStr">
        <is>
          <t>UPPSALA LÄN</t>
        </is>
      </c>
      <c r="E2376" t="inlineStr">
        <is>
          <t>UPPSALA</t>
        </is>
      </c>
      <c r="F2376" t="inlineStr">
        <is>
          <t>Holmen skog AB</t>
        </is>
      </c>
      <c r="G2376" t="n">
        <v>6.6</v>
      </c>
      <c r="H2376" t="n">
        <v>0</v>
      </c>
      <c r="I2376" t="n">
        <v>0</v>
      </c>
      <c r="J2376" t="n">
        <v>0</v>
      </c>
      <c r="K2376" t="n">
        <v>0</v>
      </c>
      <c r="L2376" t="n">
        <v>0</v>
      </c>
      <c r="M2376" t="n">
        <v>0</v>
      </c>
      <c r="N2376" t="n">
        <v>0</v>
      </c>
      <c r="O2376" t="n">
        <v>0</v>
      </c>
      <c r="P2376" t="n">
        <v>0</v>
      </c>
      <c r="Q2376" t="n">
        <v>0</v>
      </c>
      <c r="R2376" s="2" t="inlineStr"/>
    </row>
    <row r="2377" ht="15" customHeight="1">
      <c r="A2377" t="inlineStr">
        <is>
          <t>A 671-2022</t>
        </is>
      </c>
      <c r="B2377" s="1" t="n">
        <v>44568</v>
      </c>
      <c r="C2377" s="1" t="n">
        <v>45846</v>
      </c>
      <c r="D2377" t="inlineStr">
        <is>
          <t>UPPSALA LÄN</t>
        </is>
      </c>
      <c r="E2377" t="inlineStr">
        <is>
          <t>ENKÖPING</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733-2022</t>
        </is>
      </c>
      <c r="B2378" s="1" t="n">
        <v>44568</v>
      </c>
      <c r="C2378" s="1" t="n">
        <v>45846</v>
      </c>
      <c r="D2378" t="inlineStr">
        <is>
          <t>UPPSALA LÄN</t>
        </is>
      </c>
      <c r="E2378" t="inlineStr">
        <is>
          <t>UPPSALA</t>
        </is>
      </c>
      <c r="F2378" t="inlineStr">
        <is>
          <t>Holmen skog AB</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963-2022</t>
        </is>
      </c>
      <c r="B2379" s="1" t="n">
        <v>44568</v>
      </c>
      <c r="C2379" s="1" t="n">
        <v>45846</v>
      </c>
      <c r="D2379" t="inlineStr">
        <is>
          <t>UPPSALA LÄN</t>
        </is>
      </c>
      <c r="E2379" t="inlineStr">
        <is>
          <t>HEBY</t>
        </is>
      </c>
      <c r="G2379" t="n">
        <v>4.7</v>
      </c>
      <c r="H2379" t="n">
        <v>0</v>
      </c>
      <c r="I2379" t="n">
        <v>0</v>
      </c>
      <c r="J2379" t="n">
        <v>0</v>
      </c>
      <c r="K2379" t="n">
        <v>0</v>
      </c>
      <c r="L2379" t="n">
        <v>0</v>
      </c>
      <c r="M2379" t="n">
        <v>0</v>
      </c>
      <c r="N2379" t="n">
        <v>0</v>
      </c>
      <c r="O2379" t="n">
        <v>0</v>
      </c>
      <c r="P2379" t="n">
        <v>0</v>
      </c>
      <c r="Q2379" t="n">
        <v>0</v>
      </c>
      <c r="R2379" s="2" t="inlineStr"/>
    </row>
    <row r="2380" ht="15" customHeight="1">
      <c r="A2380" t="inlineStr">
        <is>
          <t>A 752-2022</t>
        </is>
      </c>
      <c r="B2380" s="1" t="n">
        <v>44569</v>
      </c>
      <c r="C2380" s="1" t="n">
        <v>45846</v>
      </c>
      <c r="D2380" t="inlineStr">
        <is>
          <t>UPPSALA LÄN</t>
        </is>
      </c>
      <c r="E2380" t="inlineStr">
        <is>
          <t>UPPSALA</t>
        </is>
      </c>
      <c r="F2380" t="inlineStr">
        <is>
          <t>Holmen skog AB</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750-2022</t>
        </is>
      </c>
      <c r="B2381" s="1" t="n">
        <v>44569</v>
      </c>
      <c r="C2381" s="1" t="n">
        <v>45846</v>
      </c>
      <c r="D2381" t="inlineStr">
        <is>
          <t>UPPSALA LÄN</t>
        </is>
      </c>
      <c r="E2381" t="inlineStr">
        <is>
          <t>UPPSALA</t>
        </is>
      </c>
      <c r="F2381" t="inlineStr">
        <is>
          <t>Holmen skog AB</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759-2022</t>
        </is>
      </c>
      <c r="B2382" s="1" t="n">
        <v>44569</v>
      </c>
      <c r="C2382" s="1" t="n">
        <v>45846</v>
      </c>
      <c r="D2382" t="inlineStr">
        <is>
          <t>UPPSALA LÄN</t>
        </is>
      </c>
      <c r="E2382" t="inlineStr">
        <is>
          <t>UPPSALA</t>
        </is>
      </c>
      <c r="F2382" t="inlineStr">
        <is>
          <t>Holmen skog AB</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758-2022</t>
        </is>
      </c>
      <c r="B2383" s="1" t="n">
        <v>44569</v>
      </c>
      <c r="C2383" s="1" t="n">
        <v>45846</v>
      </c>
      <c r="D2383" t="inlineStr">
        <is>
          <t>UPPSALA LÄN</t>
        </is>
      </c>
      <c r="E2383" t="inlineStr">
        <is>
          <t>UPPSALA</t>
        </is>
      </c>
      <c r="F2383" t="inlineStr">
        <is>
          <t>Holmen skog AB</t>
        </is>
      </c>
      <c r="G2383" t="n">
        <v>5.2</v>
      </c>
      <c r="H2383" t="n">
        <v>0</v>
      </c>
      <c r="I2383" t="n">
        <v>0</v>
      </c>
      <c r="J2383" t="n">
        <v>0</v>
      </c>
      <c r="K2383" t="n">
        <v>0</v>
      </c>
      <c r="L2383" t="n">
        <v>0</v>
      </c>
      <c r="M2383" t="n">
        <v>0</v>
      </c>
      <c r="N2383" t="n">
        <v>0</v>
      </c>
      <c r="O2383" t="n">
        <v>0</v>
      </c>
      <c r="P2383" t="n">
        <v>0</v>
      </c>
      <c r="Q2383" t="n">
        <v>0</v>
      </c>
      <c r="R2383" s="2" t="inlineStr"/>
    </row>
    <row r="2384" ht="15" customHeight="1">
      <c r="A2384" t="inlineStr">
        <is>
          <t>A 917-2022</t>
        </is>
      </c>
      <c r="B2384" s="1" t="n">
        <v>44571</v>
      </c>
      <c r="C2384" s="1" t="n">
        <v>45846</v>
      </c>
      <c r="D2384" t="inlineStr">
        <is>
          <t>UPPSALA LÄN</t>
        </is>
      </c>
      <c r="E2384" t="inlineStr">
        <is>
          <t>UPPSALA</t>
        </is>
      </c>
      <c r="F2384" t="inlineStr">
        <is>
          <t>Bergvik skog öst AB</t>
        </is>
      </c>
      <c r="G2384" t="n">
        <v>4.1</v>
      </c>
      <c r="H2384" t="n">
        <v>0</v>
      </c>
      <c r="I2384" t="n">
        <v>0</v>
      </c>
      <c r="J2384" t="n">
        <v>0</v>
      </c>
      <c r="K2384" t="n">
        <v>0</v>
      </c>
      <c r="L2384" t="n">
        <v>0</v>
      </c>
      <c r="M2384" t="n">
        <v>0</v>
      </c>
      <c r="N2384" t="n">
        <v>0</v>
      </c>
      <c r="O2384" t="n">
        <v>0</v>
      </c>
      <c r="P2384" t="n">
        <v>0</v>
      </c>
      <c r="Q2384" t="n">
        <v>0</v>
      </c>
      <c r="R2384" s="2" t="inlineStr"/>
    </row>
    <row r="2385" ht="15" customHeight="1">
      <c r="A2385" t="inlineStr">
        <is>
          <t>A 871-2022</t>
        </is>
      </c>
      <c r="B2385" s="1" t="n">
        <v>44571</v>
      </c>
      <c r="C2385" s="1" t="n">
        <v>45846</v>
      </c>
      <c r="D2385" t="inlineStr">
        <is>
          <t>UPPSALA LÄN</t>
        </is>
      </c>
      <c r="E2385" t="inlineStr">
        <is>
          <t>TIERP</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874-2022</t>
        </is>
      </c>
      <c r="B2386" s="1" t="n">
        <v>44571</v>
      </c>
      <c r="C2386" s="1" t="n">
        <v>45846</v>
      </c>
      <c r="D2386" t="inlineStr">
        <is>
          <t>UPPSALA LÄN</t>
        </is>
      </c>
      <c r="E2386" t="inlineStr">
        <is>
          <t>UPPSALA</t>
        </is>
      </c>
      <c r="G2386" t="n">
        <v>7.2</v>
      </c>
      <c r="H2386" t="n">
        <v>0</v>
      </c>
      <c r="I2386" t="n">
        <v>0</v>
      </c>
      <c r="J2386" t="n">
        <v>0</v>
      </c>
      <c r="K2386" t="n">
        <v>0</v>
      </c>
      <c r="L2386" t="n">
        <v>0</v>
      </c>
      <c r="M2386" t="n">
        <v>0</v>
      </c>
      <c r="N2386" t="n">
        <v>0</v>
      </c>
      <c r="O2386" t="n">
        <v>0</v>
      </c>
      <c r="P2386" t="n">
        <v>0</v>
      </c>
      <c r="Q2386" t="n">
        <v>0</v>
      </c>
      <c r="R2386" s="2" t="inlineStr"/>
    </row>
    <row r="2387" ht="15" customHeight="1">
      <c r="A2387" t="inlineStr">
        <is>
          <t>A 1037-2022</t>
        </is>
      </c>
      <c r="B2387" s="1" t="n">
        <v>44571</v>
      </c>
      <c r="C2387" s="1" t="n">
        <v>45846</v>
      </c>
      <c r="D2387" t="inlineStr">
        <is>
          <t>UPPSALA LÄN</t>
        </is>
      </c>
      <c r="E2387" t="inlineStr">
        <is>
          <t>UPPSALA</t>
        </is>
      </c>
      <c r="F2387" t="inlineStr">
        <is>
          <t>Holmen skog AB</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1148-2022</t>
        </is>
      </c>
      <c r="B2388" s="1" t="n">
        <v>44572</v>
      </c>
      <c r="C2388" s="1" t="n">
        <v>45846</v>
      </c>
      <c r="D2388" t="inlineStr">
        <is>
          <t>UPPSALA LÄN</t>
        </is>
      </c>
      <c r="E2388" t="inlineStr">
        <is>
          <t>UPPSALA</t>
        </is>
      </c>
      <c r="F2388" t="inlineStr">
        <is>
          <t>Kyrkan</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1238-2022</t>
        </is>
      </c>
      <c r="B2389" s="1" t="n">
        <v>44572</v>
      </c>
      <c r="C2389" s="1" t="n">
        <v>45846</v>
      </c>
      <c r="D2389" t="inlineStr">
        <is>
          <t>UPPSALA LÄN</t>
        </is>
      </c>
      <c r="E2389" t="inlineStr">
        <is>
          <t>ÖSTHAMMAR</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1323-2022</t>
        </is>
      </c>
      <c r="B2390" s="1" t="n">
        <v>44572</v>
      </c>
      <c r="C2390" s="1" t="n">
        <v>45846</v>
      </c>
      <c r="D2390" t="inlineStr">
        <is>
          <t>UPPSALA LÄN</t>
        </is>
      </c>
      <c r="E2390" t="inlineStr">
        <is>
          <t>KNIVSTA</t>
        </is>
      </c>
      <c r="F2390" t="inlineStr">
        <is>
          <t>Holmen skog AB</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1298-2022</t>
        </is>
      </c>
      <c r="B2391" s="1" t="n">
        <v>44572</v>
      </c>
      <c r="C2391" s="1" t="n">
        <v>45846</v>
      </c>
      <c r="D2391" t="inlineStr">
        <is>
          <t>UPPSALA LÄN</t>
        </is>
      </c>
      <c r="E2391" t="inlineStr">
        <is>
          <t>UPPSALA</t>
        </is>
      </c>
      <c r="F2391" t="inlineStr">
        <is>
          <t>Holmen skog AB</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1462-2022</t>
        </is>
      </c>
      <c r="B2392" s="1" t="n">
        <v>44573</v>
      </c>
      <c r="C2392" s="1" t="n">
        <v>45846</v>
      </c>
      <c r="D2392" t="inlineStr">
        <is>
          <t>UPPSALA LÄN</t>
        </is>
      </c>
      <c r="E2392" t="inlineStr">
        <is>
          <t>HEBY</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1609-2022</t>
        </is>
      </c>
      <c r="B2393" s="1" t="n">
        <v>44573</v>
      </c>
      <c r="C2393" s="1" t="n">
        <v>45846</v>
      </c>
      <c r="D2393" t="inlineStr">
        <is>
          <t>UPPSALA LÄN</t>
        </is>
      </c>
      <c r="E2393" t="inlineStr">
        <is>
          <t>ÖSTHAMMAR</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1731-2022</t>
        </is>
      </c>
      <c r="B2394" s="1" t="n">
        <v>44574</v>
      </c>
      <c r="C2394" s="1" t="n">
        <v>45846</v>
      </c>
      <c r="D2394" t="inlineStr">
        <is>
          <t>UPPSALA LÄN</t>
        </is>
      </c>
      <c r="E2394" t="inlineStr">
        <is>
          <t>UPPSALA</t>
        </is>
      </c>
      <c r="G2394" t="n">
        <v>10.1</v>
      </c>
      <c r="H2394" t="n">
        <v>0</v>
      </c>
      <c r="I2394" t="n">
        <v>0</v>
      </c>
      <c r="J2394" t="n">
        <v>0</v>
      </c>
      <c r="K2394" t="n">
        <v>0</v>
      </c>
      <c r="L2394" t="n">
        <v>0</v>
      </c>
      <c r="M2394" t="n">
        <v>0</v>
      </c>
      <c r="N2394" t="n">
        <v>0</v>
      </c>
      <c r="O2394" t="n">
        <v>0</v>
      </c>
      <c r="P2394" t="n">
        <v>0</v>
      </c>
      <c r="Q2394" t="n">
        <v>0</v>
      </c>
      <c r="R2394" s="2" t="inlineStr"/>
    </row>
    <row r="2395" ht="15" customHeight="1">
      <c r="A2395" t="inlineStr">
        <is>
          <t>A 1755-2022</t>
        </is>
      </c>
      <c r="B2395" s="1" t="n">
        <v>44574</v>
      </c>
      <c r="C2395" s="1" t="n">
        <v>45846</v>
      </c>
      <c r="D2395" t="inlineStr">
        <is>
          <t>UPPSALA LÄN</t>
        </is>
      </c>
      <c r="E2395" t="inlineStr">
        <is>
          <t>HEBY</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1752-2022</t>
        </is>
      </c>
      <c r="B2396" s="1" t="n">
        <v>44574</v>
      </c>
      <c r="C2396" s="1" t="n">
        <v>45846</v>
      </c>
      <c r="D2396" t="inlineStr">
        <is>
          <t>UPPSALA LÄN</t>
        </is>
      </c>
      <c r="E2396" t="inlineStr">
        <is>
          <t>HEBY</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1760-2022</t>
        </is>
      </c>
      <c r="B2397" s="1" t="n">
        <v>44574</v>
      </c>
      <c r="C2397" s="1" t="n">
        <v>45846</v>
      </c>
      <c r="D2397" t="inlineStr">
        <is>
          <t>UPPSALA LÄN</t>
        </is>
      </c>
      <c r="E2397" t="inlineStr">
        <is>
          <t>HEBY</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1963-2022</t>
        </is>
      </c>
      <c r="B2398" s="1" t="n">
        <v>44575</v>
      </c>
      <c r="C2398" s="1" t="n">
        <v>45846</v>
      </c>
      <c r="D2398" t="inlineStr">
        <is>
          <t>UPPSALA LÄN</t>
        </is>
      </c>
      <c r="E2398" t="inlineStr">
        <is>
          <t>UPPSALA</t>
        </is>
      </c>
      <c r="F2398" t="inlineStr">
        <is>
          <t>Bergvik skog öst AB</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1971-2022</t>
        </is>
      </c>
      <c r="B2399" s="1" t="n">
        <v>44575</v>
      </c>
      <c r="C2399" s="1" t="n">
        <v>45846</v>
      </c>
      <c r="D2399" t="inlineStr">
        <is>
          <t>UPPSALA LÄN</t>
        </is>
      </c>
      <c r="E2399" t="inlineStr">
        <is>
          <t>ENKÖPING</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1962-2022</t>
        </is>
      </c>
      <c r="B2400" s="1" t="n">
        <v>44575</v>
      </c>
      <c r="C2400" s="1" t="n">
        <v>45846</v>
      </c>
      <c r="D2400" t="inlineStr">
        <is>
          <t>UPPSALA LÄN</t>
        </is>
      </c>
      <c r="E2400" t="inlineStr">
        <is>
          <t>ENKÖPING</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1975-2022</t>
        </is>
      </c>
      <c r="B2401" s="1" t="n">
        <v>44575</v>
      </c>
      <c r="C2401" s="1" t="n">
        <v>45846</v>
      </c>
      <c r="D2401" t="inlineStr">
        <is>
          <t>UPPSALA LÄN</t>
        </is>
      </c>
      <c r="E2401" t="inlineStr">
        <is>
          <t>UPPSALA</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1979-2022</t>
        </is>
      </c>
      <c r="B2402" s="1" t="n">
        <v>44575</v>
      </c>
      <c r="C2402" s="1" t="n">
        <v>45846</v>
      </c>
      <c r="D2402" t="inlineStr">
        <is>
          <t>UPPSALA LÄN</t>
        </is>
      </c>
      <c r="E2402" t="inlineStr">
        <is>
          <t>ENKÖPING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1936-2022</t>
        </is>
      </c>
      <c r="B2403" s="1" t="n">
        <v>44575</v>
      </c>
      <c r="C2403" s="1" t="n">
        <v>45846</v>
      </c>
      <c r="D2403" t="inlineStr">
        <is>
          <t>UPPSALA LÄN</t>
        </is>
      </c>
      <c r="E2403" t="inlineStr">
        <is>
          <t>UPPSALA</t>
        </is>
      </c>
      <c r="F2403" t="inlineStr">
        <is>
          <t>Bergvik skog öst AB</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1992-2022</t>
        </is>
      </c>
      <c r="B2404" s="1" t="n">
        <v>44575</v>
      </c>
      <c r="C2404" s="1" t="n">
        <v>45846</v>
      </c>
      <c r="D2404" t="inlineStr">
        <is>
          <t>UPPSALA LÄN</t>
        </is>
      </c>
      <c r="E2404" t="inlineStr">
        <is>
          <t>ENKÖPING</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1960-2022</t>
        </is>
      </c>
      <c r="B2405" s="1" t="n">
        <v>44575</v>
      </c>
      <c r="C2405" s="1" t="n">
        <v>45846</v>
      </c>
      <c r="D2405" t="inlineStr">
        <is>
          <t>UPPSALA LÄN</t>
        </is>
      </c>
      <c r="E2405" t="inlineStr">
        <is>
          <t>ENKÖPING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1965-2022</t>
        </is>
      </c>
      <c r="B2406" s="1" t="n">
        <v>44575</v>
      </c>
      <c r="C2406" s="1" t="n">
        <v>45846</v>
      </c>
      <c r="D2406" t="inlineStr">
        <is>
          <t>UPPSALA LÄN</t>
        </is>
      </c>
      <c r="E2406" t="inlineStr">
        <is>
          <t>ENKÖPING</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1978-2022</t>
        </is>
      </c>
      <c r="B2407" s="1" t="n">
        <v>44575</v>
      </c>
      <c r="C2407" s="1" t="n">
        <v>45846</v>
      </c>
      <c r="D2407" t="inlineStr">
        <is>
          <t>UPPSALA LÄN</t>
        </is>
      </c>
      <c r="E2407" t="inlineStr">
        <is>
          <t>UPPSALA</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2017-2022</t>
        </is>
      </c>
      <c r="B2408" s="1" t="n">
        <v>44575</v>
      </c>
      <c r="C2408" s="1" t="n">
        <v>45846</v>
      </c>
      <c r="D2408" t="inlineStr">
        <is>
          <t>UPPSALA LÄN</t>
        </is>
      </c>
      <c r="E2408" t="inlineStr">
        <is>
          <t>UPPSALA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2085-2022</t>
        </is>
      </c>
      <c r="B2409" s="1" t="n">
        <v>44576</v>
      </c>
      <c r="C2409" s="1" t="n">
        <v>45846</v>
      </c>
      <c r="D2409" t="inlineStr">
        <is>
          <t>UPPSALA LÄN</t>
        </is>
      </c>
      <c r="E2409" t="inlineStr">
        <is>
          <t>ÖSTHAMMAR</t>
        </is>
      </c>
      <c r="F2409" t="inlineStr">
        <is>
          <t>Bergvik skog öst AB</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2108-2022</t>
        </is>
      </c>
      <c r="B2410" s="1" t="n">
        <v>44577</v>
      </c>
      <c r="C2410" s="1" t="n">
        <v>45846</v>
      </c>
      <c r="D2410" t="inlineStr">
        <is>
          <t>UPPSALA LÄN</t>
        </is>
      </c>
      <c r="E2410" t="inlineStr">
        <is>
          <t>ÖSTHAMMAR</t>
        </is>
      </c>
      <c r="F2410" t="inlineStr">
        <is>
          <t>Bergvik skog öst AB</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2168-2022</t>
        </is>
      </c>
      <c r="B2411" s="1" t="n">
        <v>44578</v>
      </c>
      <c r="C2411" s="1" t="n">
        <v>45846</v>
      </c>
      <c r="D2411" t="inlineStr">
        <is>
          <t>UPPSALA LÄN</t>
        </is>
      </c>
      <c r="E2411" t="inlineStr">
        <is>
          <t>ÖSTHAMMAR</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2228-2022</t>
        </is>
      </c>
      <c r="B2412" s="1" t="n">
        <v>44578</v>
      </c>
      <c r="C2412" s="1" t="n">
        <v>45846</v>
      </c>
      <c r="D2412" t="inlineStr">
        <is>
          <t>UPPSALA LÄN</t>
        </is>
      </c>
      <c r="E2412" t="inlineStr">
        <is>
          <t>UPPSALA</t>
        </is>
      </c>
      <c r="F2412" t="inlineStr">
        <is>
          <t>Bergvik skog öst AB</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2128-2022</t>
        </is>
      </c>
      <c r="B2413" s="1" t="n">
        <v>44578</v>
      </c>
      <c r="C2413" s="1" t="n">
        <v>45846</v>
      </c>
      <c r="D2413" t="inlineStr">
        <is>
          <t>UPPSALA LÄN</t>
        </is>
      </c>
      <c r="E2413" t="inlineStr">
        <is>
          <t>HEBY</t>
        </is>
      </c>
      <c r="F2413" t="inlineStr">
        <is>
          <t>Bergvik skog väst AB</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2248-2022</t>
        </is>
      </c>
      <c r="B2414" s="1" t="n">
        <v>44578</v>
      </c>
      <c r="C2414" s="1" t="n">
        <v>45846</v>
      </c>
      <c r="D2414" t="inlineStr">
        <is>
          <t>UPPSALA LÄN</t>
        </is>
      </c>
      <c r="E2414" t="inlineStr">
        <is>
          <t>TIERP</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3638-2022</t>
        </is>
      </c>
      <c r="B2415" s="1" t="n">
        <v>44578</v>
      </c>
      <c r="C2415" s="1" t="n">
        <v>45846</v>
      </c>
      <c r="D2415" t="inlineStr">
        <is>
          <t>UPPSALA LÄN</t>
        </is>
      </c>
      <c r="E2415" t="inlineStr">
        <is>
          <t>ÖSTHAMMAR</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2535-2022</t>
        </is>
      </c>
      <c r="B2416" s="1" t="n">
        <v>44579</v>
      </c>
      <c r="C2416" s="1" t="n">
        <v>45846</v>
      </c>
      <c r="D2416" t="inlineStr">
        <is>
          <t>UPPSALA LÄN</t>
        </is>
      </c>
      <c r="E2416" t="inlineStr">
        <is>
          <t>TIERP</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2534-2022</t>
        </is>
      </c>
      <c r="B2417" s="1" t="n">
        <v>44579</v>
      </c>
      <c r="C2417" s="1" t="n">
        <v>45846</v>
      </c>
      <c r="D2417" t="inlineStr">
        <is>
          <t>UPPSALA LÄN</t>
        </is>
      </c>
      <c r="E2417" t="inlineStr">
        <is>
          <t>TIERP</t>
        </is>
      </c>
      <c r="G2417" t="n">
        <v>7.1</v>
      </c>
      <c r="H2417" t="n">
        <v>0</v>
      </c>
      <c r="I2417" t="n">
        <v>0</v>
      </c>
      <c r="J2417" t="n">
        <v>0</v>
      </c>
      <c r="K2417" t="n">
        <v>0</v>
      </c>
      <c r="L2417" t="n">
        <v>0</v>
      </c>
      <c r="M2417" t="n">
        <v>0</v>
      </c>
      <c r="N2417" t="n">
        <v>0</v>
      </c>
      <c r="O2417" t="n">
        <v>0</v>
      </c>
      <c r="P2417" t="n">
        <v>0</v>
      </c>
      <c r="Q2417" t="n">
        <v>0</v>
      </c>
      <c r="R2417" s="2" t="inlineStr"/>
    </row>
    <row r="2418" ht="15" customHeight="1">
      <c r="A2418" t="inlineStr">
        <is>
          <t>A 2559-2022</t>
        </is>
      </c>
      <c r="B2418" s="1" t="n">
        <v>44580</v>
      </c>
      <c r="C2418" s="1" t="n">
        <v>45846</v>
      </c>
      <c r="D2418" t="inlineStr">
        <is>
          <t>UPPSALA LÄN</t>
        </is>
      </c>
      <c r="E2418" t="inlineStr">
        <is>
          <t>TIERP</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2680-2022</t>
        </is>
      </c>
      <c r="B2419" s="1" t="n">
        <v>44580</v>
      </c>
      <c r="C2419" s="1" t="n">
        <v>45846</v>
      </c>
      <c r="D2419" t="inlineStr">
        <is>
          <t>UPPSALA LÄN</t>
        </is>
      </c>
      <c r="E2419" t="inlineStr">
        <is>
          <t>ENKÖPING</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2771-2022</t>
        </is>
      </c>
      <c r="B2420" s="1" t="n">
        <v>44581</v>
      </c>
      <c r="C2420" s="1" t="n">
        <v>45846</v>
      </c>
      <c r="D2420" t="inlineStr">
        <is>
          <t>UPPSALA LÄN</t>
        </is>
      </c>
      <c r="E2420" t="inlineStr">
        <is>
          <t>TIERP</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2795-2022</t>
        </is>
      </c>
      <c r="B2421" s="1" t="n">
        <v>44581</v>
      </c>
      <c r="C2421" s="1" t="n">
        <v>45846</v>
      </c>
      <c r="D2421" t="inlineStr">
        <is>
          <t>UPPSALA LÄN</t>
        </is>
      </c>
      <c r="E2421" t="inlineStr">
        <is>
          <t>TIERP</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2814-2022</t>
        </is>
      </c>
      <c r="B2422" s="1" t="n">
        <v>44581</v>
      </c>
      <c r="C2422" s="1" t="n">
        <v>45846</v>
      </c>
      <c r="D2422" t="inlineStr">
        <is>
          <t>UPPSALA LÄN</t>
        </is>
      </c>
      <c r="E2422" t="inlineStr">
        <is>
          <t>TIERP</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2927-2022</t>
        </is>
      </c>
      <c r="B2423" s="1" t="n">
        <v>44581</v>
      </c>
      <c r="C2423" s="1" t="n">
        <v>45846</v>
      </c>
      <c r="D2423" t="inlineStr">
        <is>
          <t>UPPSALA LÄN</t>
        </is>
      </c>
      <c r="E2423" t="inlineStr">
        <is>
          <t>UPPSALA</t>
        </is>
      </c>
      <c r="F2423" t="inlineStr">
        <is>
          <t>Holmen skog AB</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3259-2022</t>
        </is>
      </c>
      <c r="B2424" s="1" t="n">
        <v>44583</v>
      </c>
      <c r="C2424" s="1" t="n">
        <v>45846</v>
      </c>
      <c r="D2424" t="inlineStr">
        <is>
          <t>UPPSALA LÄN</t>
        </is>
      </c>
      <c r="E2424" t="inlineStr">
        <is>
          <t>UPPSALA</t>
        </is>
      </c>
      <c r="F2424" t="inlineStr">
        <is>
          <t>Holmen skog AB</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3261-2022</t>
        </is>
      </c>
      <c r="B2425" s="1" t="n">
        <v>44583</v>
      </c>
      <c r="C2425" s="1" t="n">
        <v>45846</v>
      </c>
      <c r="D2425" t="inlineStr">
        <is>
          <t>UPPSALA LÄN</t>
        </is>
      </c>
      <c r="E2425" t="inlineStr">
        <is>
          <t>UPPSALA</t>
        </is>
      </c>
      <c r="F2425" t="inlineStr">
        <is>
          <t>Holmen skog AB</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3252-2022</t>
        </is>
      </c>
      <c r="B2426" s="1" t="n">
        <v>44583</v>
      </c>
      <c r="C2426" s="1" t="n">
        <v>45846</v>
      </c>
      <c r="D2426" t="inlineStr">
        <is>
          <t>UPPSALA LÄN</t>
        </is>
      </c>
      <c r="E2426" t="inlineStr">
        <is>
          <t>UPPSALA</t>
        </is>
      </c>
      <c r="F2426" t="inlineStr">
        <is>
          <t>Holmen skog AB</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3258-2022</t>
        </is>
      </c>
      <c r="B2427" s="1" t="n">
        <v>44583</v>
      </c>
      <c r="C2427" s="1" t="n">
        <v>45846</v>
      </c>
      <c r="D2427" t="inlineStr">
        <is>
          <t>UPPSALA LÄN</t>
        </is>
      </c>
      <c r="E2427" t="inlineStr">
        <is>
          <t>UPPSALA</t>
        </is>
      </c>
      <c r="F2427" t="inlineStr">
        <is>
          <t>Holmen skog AB</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3262-2022</t>
        </is>
      </c>
      <c r="B2428" s="1" t="n">
        <v>44583</v>
      </c>
      <c r="C2428" s="1" t="n">
        <v>45846</v>
      </c>
      <c r="D2428" t="inlineStr">
        <is>
          <t>UPPSALA LÄN</t>
        </is>
      </c>
      <c r="E2428" t="inlineStr">
        <is>
          <t>UPPSALA</t>
        </is>
      </c>
      <c r="F2428" t="inlineStr">
        <is>
          <t>Holmen skog AB</t>
        </is>
      </c>
      <c r="G2428" t="n">
        <v>5.4</v>
      </c>
      <c r="H2428" t="n">
        <v>0</v>
      </c>
      <c r="I2428" t="n">
        <v>0</v>
      </c>
      <c r="J2428" t="n">
        <v>0</v>
      </c>
      <c r="K2428" t="n">
        <v>0</v>
      </c>
      <c r="L2428" t="n">
        <v>0</v>
      </c>
      <c r="M2428" t="n">
        <v>0</v>
      </c>
      <c r="N2428" t="n">
        <v>0</v>
      </c>
      <c r="O2428" t="n">
        <v>0</v>
      </c>
      <c r="P2428" t="n">
        <v>0</v>
      </c>
      <c r="Q2428" t="n">
        <v>0</v>
      </c>
      <c r="R2428" s="2" t="inlineStr"/>
    </row>
    <row r="2429" ht="15" customHeight="1">
      <c r="A2429" t="inlineStr">
        <is>
          <t>A 3255-2022</t>
        </is>
      </c>
      <c r="B2429" s="1" t="n">
        <v>44583</v>
      </c>
      <c r="C2429" s="1" t="n">
        <v>45846</v>
      </c>
      <c r="D2429" t="inlineStr">
        <is>
          <t>UPPSALA LÄN</t>
        </is>
      </c>
      <c r="E2429" t="inlineStr">
        <is>
          <t>UPPSALA</t>
        </is>
      </c>
      <c r="F2429" t="inlineStr">
        <is>
          <t>Holmen skog AB</t>
        </is>
      </c>
      <c r="G2429" t="n">
        <v>5.6</v>
      </c>
      <c r="H2429" t="n">
        <v>0</v>
      </c>
      <c r="I2429" t="n">
        <v>0</v>
      </c>
      <c r="J2429" t="n">
        <v>0</v>
      </c>
      <c r="K2429" t="n">
        <v>0</v>
      </c>
      <c r="L2429" t="n">
        <v>0</v>
      </c>
      <c r="M2429" t="n">
        <v>0</v>
      </c>
      <c r="N2429" t="n">
        <v>0</v>
      </c>
      <c r="O2429" t="n">
        <v>0</v>
      </c>
      <c r="P2429" t="n">
        <v>0</v>
      </c>
      <c r="Q2429" t="n">
        <v>0</v>
      </c>
      <c r="R2429" s="2" t="inlineStr"/>
    </row>
    <row r="2430" ht="15" customHeight="1">
      <c r="A2430" t="inlineStr">
        <is>
          <t>A 3260-2022</t>
        </is>
      </c>
      <c r="B2430" s="1" t="n">
        <v>44583</v>
      </c>
      <c r="C2430" s="1" t="n">
        <v>45846</v>
      </c>
      <c r="D2430" t="inlineStr">
        <is>
          <t>UPPSALA LÄN</t>
        </is>
      </c>
      <c r="E2430" t="inlineStr">
        <is>
          <t>UPPSALA</t>
        </is>
      </c>
      <c r="F2430" t="inlineStr">
        <is>
          <t>Holmen skog AB</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3284-2022</t>
        </is>
      </c>
      <c r="B2431" s="1" t="n">
        <v>44584</v>
      </c>
      <c r="C2431" s="1" t="n">
        <v>45846</v>
      </c>
      <c r="D2431" t="inlineStr">
        <is>
          <t>UPPSALA LÄN</t>
        </is>
      </c>
      <c r="E2431" t="inlineStr">
        <is>
          <t>UPPSALA</t>
        </is>
      </c>
      <c r="F2431" t="inlineStr">
        <is>
          <t>Holmen skog AB</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3287-2022</t>
        </is>
      </c>
      <c r="B2432" s="1" t="n">
        <v>44584</v>
      </c>
      <c r="C2432" s="1" t="n">
        <v>45846</v>
      </c>
      <c r="D2432" t="inlineStr">
        <is>
          <t>UPPSALA LÄN</t>
        </is>
      </c>
      <c r="E2432" t="inlineStr">
        <is>
          <t>UPPSALA</t>
        </is>
      </c>
      <c r="F2432" t="inlineStr">
        <is>
          <t>Holmen skog AB</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3496-2022</t>
        </is>
      </c>
      <c r="B2433" s="1" t="n">
        <v>44585</v>
      </c>
      <c r="C2433" s="1" t="n">
        <v>45846</v>
      </c>
      <c r="D2433" t="inlineStr">
        <is>
          <t>UPPSALA LÄN</t>
        </is>
      </c>
      <c r="E2433" t="inlineStr">
        <is>
          <t>HEBY</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3574-2022</t>
        </is>
      </c>
      <c r="B2434" s="1" t="n">
        <v>44586</v>
      </c>
      <c r="C2434" s="1" t="n">
        <v>45846</v>
      </c>
      <c r="D2434" t="inlineStr">
        <is>
          <t>UPPSALA LÄN</t>
        </is>
      </c>
      <c r="E2434" t="inlineStr">
        <is>
          <t>HEBY</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3641-2022</t>
        </is>
      </c>
      <c r="B2435" s="1" t="n">
        <v>44586</v>
      </c>
      <c r="C2435" s="1" t="n">
        <v>45846</v>
      </c>
      <c r="D2435" t="inlineStr">
        <is>
          <t>UPPSALA LÄN</t>
        </is>
      </c>
      <c r="E2435" t="inlineStr">
        <is>
          <t>HEBY</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3725-2022</t>
        </is>
      </c>
      <c r="B2436" s="1" t="n">
        <v>44586</v>
      </c>
      <c r="C2436" s="1" t="n">
        <v>45846</v>
      </c>
      <c r="D2436" t="inlineStr">
        <is>
          <t>UPPSALA LÄN</t>
        </is>
      </c>
      <c r="E2436" t="inlineStr">
        <is>
          <t>ÖSTHAMMAR</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3732-2022</t>
        </is>
      </c>
      <c r="B2437" s="1" t="n">
        <v>44586</v>
      </c>
      <c r="C2437" s="1" t="n">
        <v>45846</v>
      </c>
      <c r="D2437" t="inlineStr">
        <is>
          <t>UPPSALA LÄN</t>
        </is>
      </c>
      <c r="E2437" t="inlineStr">
        <is>
          <t>ÖSTHAMMAR</t>
        </is>
      </c>
      <c r="F2437" t="inlineStr">
        <is>
          <t>Bergvik skog öst AB</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3740-2022</t>
        </is>
      </c>
      <c r="B2438" s="1" t="n">
        <v>44586</v>
      </c>
      <c r="C2438" s="1" t="n">
        <v>45846</v>
      </c>
      <c r="D2438" t="inlineStr">
        <is>
          <t>UPPSALA LÄN</t>
        </is>
      </c>
      <c r="E2438" t="inlineStr">
        <is>
          <t>ÖSTHAMMAR</t>
        </is>
      </c>
      <c r="F2438" t="inlineStr">
        <is>
          <t>Bergvik skog öst AB</t>
        </is>
      </c>
      <c r="G2438" t="n">
        <v>7.7</v>
      </c>
      <c r="H2438" t="n">
        <v>0</v>
      </c>
      <c r="I2438" t="n">
        <v>0</v>
      </c>
      <c r="J2438" t="n">
        <v>0</v>
      </c>
      <c r="K2438" t="n">
        <v>0</v>
      </c>
      <c r="L2438" t="n">
        <v>0</v>
      </c>
      <c r="M2438" t="n">
        <v>0</v>
      </c>
      <c r="N2438" t="n">
        <v>0</v>
      </c>
      <c r="O2438" t="n">
        <v>0</v>
      </c>
      <c r="P2438" t="n">
        <v>0</v>
      </c>
      <c r="Q2438" t="n">
        <v>0</v>
      </c>
      <c r="R2438" s="2" t="inlineStr"/>
    </row>
    <row r="2439" ht="15" customHeight="1">
      <c r="A2439" t="inlineStr">
        <is>
          <t>A 3861-2022</t>
        </is>
      </c>
      <c r="B2439" s="1" t="n">
        <v>44587</v>
      </c>
      <c r="C2439" s="1" t="n">
        <v>45846</v>
      </c>
      <c r="D2439" t="inlineStr">
        <is>
          <t>UPPSALA LÄN</t>
        </is>
      </c>
      <c r="E2439" t="inlineStr">
        <is>
          <t>ENKÖPING</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3991-2022</t>
        </is>
      </c>
      <c r="B2440" s="1" t="n">
        <v>44587</v>
      </c>
      <c r="C2440" s="1" t="n">
        <v>45846</v>
      </c>
      <c r="D2440" t="inlineStr">
        <is>
          <t>UPPSALA LÄN</t>
        </is>
      </c>
      <c r="E2440" t="inlineStr">
        <is>
          <t>ÖSTHAMMAR</t>
        </is>
      </c>
      <c r="F2440" t="inlineStr">
        <is>
          <t>Bergvik skog öst AB</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3988-2022</t>
        </is>
      </c>
      <c r="B2441" s="1" t="n">
        <v>44587</v>
      </c>
      <c r="C2441" s="1" t="n">
        <v>45846</v>
      </c>
      <c r="D2441" t="inlineStr">
        <is>
          <t>UPPSALA LÄN</t>
        </is>
      </c>
      <c r="E2441" t="inlineStr">
        <is>
          <t>HEBY</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4059-2022</t>
        </is>
      </c>
      <c r="B2442" s="1" t="n">
        <v>44588</v>
      </c>
      <c r="C2442" s="1" t="n">
        <v>45846</v>
      </c>
      <c r="D2442" t="inlineStr">
        <is>
          <t>UPPSALA LÄN</t>
        </is>
      </c>
      <c r="E2442" t="inlineStr">
        <is>
          <t>UPPSALA</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4083-2022</t>
        </is>
      </c>
      <c r="B2443" s="1" t="n">
        <v>44588</v>
      </c>
      <c r="C2443" s="1" t="n">
        <v>45846</v>
      </c>
      <c r="D2443" t="inlineStr">
        <is>
          <t>UPPSALA LÄN</t>
        </is>
      </c>
      <c r="E2443" t="inlineStr">
        <is>
          <t>TIERP</t>
        </is>
      </c>
      <c r="G2443" t="n">
        <v>26.1</v>
      </c>
      <c r="H2443" t="n">
        <v>0</v>
      </c>
      <c r="I2443" t="n">
        <v>0</v>
      </c>
      <c r="J2443" t="n">
        <v>0</v>
      </c>
      <c r="K2443" t="n">
        <v>0</v>
      </c>
      <c r="L2443" t="n">
        <v>0</v>
      </c>
      <c r="M2443" t="n">
        <v>0</v>
      </c>
      <c r="N2443" t="n">
        <v>0</v>
      </c>
      <c r="O2443" t="n">
        <v>0</v>
      </c>
      <c r="P2443" t="n">
        <v>0</v>
      </c>
      <c r="Q2443" t="n">
        <v>0</v>
      </c>
      <c r="R2443" s="2" t="inlineStr"/>
    </row>
    <row r="2444" ht="15" customHeight="1">
      <c r="A2444" t="inlineStr">
        <is>
          <t>A 4101-2022</t>
        </is>
      </c>
      <c r="B2444" s="1" t="n">
        <v>44588</v>
      </c>
      <c r="C2444" s="1" t="n">
        <v>45846</v>
      </c>
      <c r="D2444" t="inlineStr">
        <is>
          <t>UPPSALA LÄN</t>
        </is>
      </c>
      <c r="E2444" t="inlineStr">
        <is>
          <t>ÖSTHAMMAR</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4170-2022</t>
        </is>
      </c>
      <c r="B2445" s="1" t="n">
        <v>44588</v>
      </c>
      <c r="C2445" s="1" t="n">
        <v>45846</v>
      </c>
      <c r="D2445" t="inlineStr">
        <is>
          <t>UPPSALA LÄN</t>
        </is>
      </c>
      <c r="E2445" t="inlineStr">
        <is>
          <t>ENKÖPING</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4312-2022</t>
        </is>
      </c>
      <c r="B2446" s="1" t="n">
        <v>44588</v>
      </c>
      <c r="C2446" s="1" t="n">
        <v>45846</v>
      </c>
      <c r="D2446" t="inlineStr">
        <is>
          <t>UPPSALA LÄN</t>
        </is>
      </c>
      <c r="E2446" t="inlineStr">
        <is>
          <t>UPPSALA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4318-2022</t>
        </is>
      </c>
      <c r="B2447" s="1" t="n">
        <v>44588</v>
      </c>
      <c r="C2447" s="1" t="n">
        <v>45846</v>
      </c>
      <c r="D2447" t="inlineStr">
        <is>
          <t>UPPSALA LÄN</t>
        </is>
      </c>
      <c r="E2447" t="inlineStr">
        <is>
          <t>ÖSTHAMMAR</t>
        </is>
      </c>
      <c r="F2447" t="inlineStr">
        <is>
          <t>Bergvik skog öst AB</t>
        </is>
      </c>
      <c r="G2447" t="n">
        <v>9.6</v>
      </c>
      <c r="H2447" t="n">
        <v>0</v>
      </c>
      <c r="I2447" t="n">
        <v>0</v>
      </c>
      <c r="J2447" t="n">
        <v>0</v>
      </c>
      <c r="K2447" t="n">
        <v>0</v>
      </c>
      <c r="L2447" t="n">
        <v>0</v>
      </c>
      <c r="M2447" t="n">
        <v>0</v>
      </c>
      <c r="N2447" t="n">
        <v>0</v>
      </c>
      <c r="O2447" t="n">
        <v>0</v>
      </c>
      <c r="P2447" t="n">
        <v>0</v>
      </c>
      <c r="Q2447" t="n">
        <v>0</v>
      </c>
      <c r="R2447" s="2" t="inlineStr"/>
    </row>
    <row r="2448" ht="15" customHeight="1">
      <c r="A2448" t="inlineStr">
        <is>
          <t>A 4315-2022</t>
        </is>
      </c>
      <c r="B2448" s="1" t="n">
        <v>44588</v>
      </c>
      <c r="C2448" s="1" t="n">
        <v>45846</v>
      </c>
      <c r="D2448" t="inlineStr">
        <is>
          <t>UPPSALA LÄN</t>
        </is>
      </c>
      <c r="E2448" t="inlineStr">
        <is>
          <t>ÖSTHAMMAR</t>
        </is>
      </c>
      <c r="F2448" t="inlineStr">
        <is>
          <t>Bergvik skog öst AB</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4444-2022</t>
        </is>
      </c>
      <c r="B2449" s="1" t="n">
        <v>44589</v>
      </c>
      <c r="C2449" s="1" t="n">
        <v>45846</v>
      </c>
      <c r="D2449" t="inlineStr">
        <is>
          <t>UPPSALA LÄN</t>
        </is>
      </c>
      <c r="E2449" t="inlineStr">
        <is>
          <t>UPPSALA</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4491-2022</t>
        </is>
      </c>
      <c r="B2450" s="1" t="n">
        <v>44589</v>
      </c>
      <c r="C2450" s="1" t="n">
        <v>45846</v>
      </c>
      <c r="D2450" t="inlineStr">
        <is>
          <t>UPPSALA LÄN</t>
        </is>
      </c>
      <c r="E2450" t="inlineStr">
        <is>
          <t>ÖSTHAMMAR</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4357-2022</t>
        </is>
      </c>
      <c r="B2451" s="1" t="n">
        <v>44589</v>
      </c>
      <c r="C2451" s="1" t="n">
        <v>45846</v>
      </c>
      <c r="D2451" t="inlineStr">
        <is>
          <t>UPPSALA LÄN</t>
        </is>
      </c>
      <c r="E2451" t="inlineStr">
        <is>
          <t>ÖSTHAMMAR</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4563-2022</t>
        </is>
      </c>
      <c r="B2452" s="1" t="n">
        <v>44591</v>
      </c>
      <c r="C2452" s="1" t="n">
        <v>45846</v>
      </c>
      <c r="D2452" t="inlineStr">
        <is>
          <t>UPPSALA LÄN</t>
        </is>
      </c>
      <c r="E2452" t="inlineStr">
        <is>
          <t>ÖSTHAMMAR</t>
        </is>
      </c>
      <c r="F2452" t="inlineStr">
        <is>
          <t>Bergvik skog öst AB</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4562-2022</t>
        </is>
      </c>
      <c r="B2453" s="1" t="n">
        <v>44591</v>
      </c>
      <c r="C2453" s="1" t="n">
        <v>45846</v>
      </c>
      <c r="D2453" t="inlineStr">
        <is>
          <t>UPPSALA LÄN</t>
        </is>
      </c>
      <c r="E2453" t="inlineStr">
        <is>
          <t>ÖSTHAMMAR</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4561-2022</t>
        </is>
      </c>
      <c r="B2454" s="1" t="n">
        <v>44591</v>
      </c>
      <c r="C2454" s="1" t="n">
        <v>45846</v>
      </c>
      <c r="D2454" t="inlineStr">
        <is>
          <t>UPPSALA LÄN</t>
        </is>
      </c>
      <c r="E2454" t="inlineStr">
        <is>
          <t>ÖSTHAMMAR</t>
        </is>
      </c>
      <c r="F2454" t="inlineStr">
        <is>
          <t>Bergvik skog öst AB</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4559-2022</t>
        </is>
      </c>
      <c r="B2455" s="1" t="n">
        <v>44591</v>
      </c>
      <c r="C2455" s="1" t="n">
        <v>45846</v>
      </c>
      <c r="D2455" t="inlineStr">
        <is>
          <t>UPPSALA LÄN</t>
        </is>
      </c>
      <c r="E2455" t="inlineStr">
        <is>
          <t>ÖSTHAMMAR</t>
        </is>
      </c>
      <c r="F2455" t="inlineStr">
        <is>
          <t>Bergvik skog öst AB</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4565-2022</t>
        </is>
      </c>
      <c r="B2456" s="1" t="n">
        <v>44591</v>
      </c>
      <c r="C2456" s="1" t="n">
        <v>45846</v>
      </c>
      <c r="D2456" t="inlineStr">
        <is>
          <t>UPPSALA LÄN</t>
        </is>
      </c>
      <c r="E2456" t="inlineStr">
        <is>
          <t>ÖSTHAMMAR</t>
        </is>
      </c>
      <c r="F2456" t="inlineStr">
        <is>
          <t>Bergvik skog öst AB</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4597-2022</t>
        </is>
      </c>
      <c r="B2457" s="1" t="n">
        <v>44592</v>
      </c>
      <c r="C2457" s="1" t="n">
        <v>45846</v>
      </c>
      <c r="D2457" t="inlineStr">
        <is>
          <t>UPPSALA LÄN</t>
        </is>
      </c>
      <c r="E2457" t="inlineStr">
        <is>
          <t>TIERP</t>
        </is>
      </c>
      <c r="F2457" t="inlineStr">
        <is>
          <t>Bergvik skog öst AB</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4929-2022</t>
        </is>
      </c>
      <c r="B2458" s="1" t="n">
        <v>44593</v>
      </c>
      <c r="C2458" s="1" t="n">
        <v>45846</v>
      </c>
      <c r="D2458" t="inlineStr">
        <is>
          <t>UPPSALA LÄN</t>
        </is>
      </c>
      <c r="E2458" t="inlineStr">
        <is>
          <t>UPPSALA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5023-2022</t>
        </is>
      </c>
      <c r="B2459" s="1" t="n">
        <v>44593</v>
      </c>
      <c r="C2459" s="1" t="n">
        <v>45846</v>
      </c>
      <c r="D2459" t="inlineStr">
        <is>
          <t>UPPSALA LÄN</t>
        </is>
      </c>
      <c r="E2459" t="inlineStr">
        <is>
          <t>TIERP</t>
        </is>
      </c>
      <c r="F2459" t="inlineStr">
        <is>
          <t>Bergvik skog väst AB</t>
        </is>
      </c>
      <c r="G2459" t="n">
        <v>14.8</v>
      </c>
      <c r="H2459" t="n">
        <v>0</v>
      </c>
      <c r="I2459" t="n">
        <v>0</v>
      </c>
      <c r="J2459" t="n">
        <v>0</v>
      </c>
      <c r="K2459" t="n">
        <v>0</v>
      </c>
      <c r="L2459" t="n">
        <v>0</v>
      </c>
      <c r="M2459" t="n">
        <v>0</v>
      </c>
      <c r="N2459" t="n">
        <v>0</v>
      </c>
      <c r="O2459" t="n">
        <v>0</v>
      </c>
      <c r="P2459" t="n">
        <v>0</v>
      </c>
      <c r="Q2459" t="n">
        <v>0</v>
      </c>
      <c r="R2459" s="2" t="inlineStr"/>
    </row>
    <row r="2460" ht="15" customHeight="1">
      <c r="A2460" t="inlineStr">
        <is>
          <t>A 5027-2022</t>
        </is>
      </c>
      <c r="B2460" s="1" t="n">
        <v>44593</v>
      </c>
      <c r="C2460" s="1" t="n">
        <v>45846</v>
      </c>
      <c r="D2460" t="inlineStr">
        <is>
          <t>UPPSALA LÄN</t>
        </is>
      </c>
      <c r="E2460" t="inlineStr">
        <is>
          <t>UPPSALA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5081-2022</t>
        </is>
      </c>
      <c r="B2461" s="1" t="n">
        <v>44593</v>
      </c>
      <c r="C2461" s="1" t="n">
        <v>45846</v>
      </c>
      <c r="D2461" t="inlineStr">
        <is>
          <t>UPPSALA LÄN</t>
        </is>
      </c>
      <c r="E2461" t="inlineStr">
        <is>
          <t>UPPSALA</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5007-2022</t>
        </is>
      </c>
      <c r="B2462" s="1" t="n">
        <v>44593</v>
      </c>
      <c r="C2462" s="1" t="n">
        <v>45846</v>
      </c>
      <c r="D2462" t="inlineStr">
        <is>
          <t>UPPSALA LÄN</t>
        </is>
      </c>
      <c r="E2462" t="inlineStr">
        <is>
          <t>UPPSALA</t>
        </is>
      </c>
      <c r="F2462" t="inlineStr">
        <is>
          <t>BillerudKorsnäs AB</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5006-2022</t>
        </is>
      </c>
      <c r="B2463" s="1" t="n">
        <v>44593</v>
      </c>
      <c r="C2463" s="1" t="n">
        <v>45846</v>
      </c>
      <c r="D2463" t="inlineStr">
        <is>
          <t>UPPSALA LÄN</t>
        </is>
      </c>
      <c r="E2463" t="inlineStr">
        <is>
          <t>UPPSALA</t>
        </is>
      </c>
      <c r="F2463" t="inlineStr">
        <is>
          <t>BillerudKorsnäs AB</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5028-2022</t>
        </is>
      </c>
      <c r="B2464" s="1" t="n">
        <v>44593</v>
      </c>
      <c r="C2464" s="1" t="n">
        <v>45846</v>
      </c>
      <c r="D2464" t="inlineStr">
        <is>
          <t>UPPSALA LÄN</t>
        </is>
      </c>
      <c r="E2464" t="inlineStr">
        <is>
          <t>UPPSALA</t>
        </is>
      </c>
      <c r="F2464" t="inlineStr">
        <is>
          <t>Holmen skog AB</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5161-2022</t>
        </is>
      </c>
      <c r="B2465" s="1" t="n">
        <v>44594</v>
      </c>
      <c r="C2465" s="1" t="n">
        <v>45846</v>
      </c>
      <c r="D2465" t="inlineStr">
        <is>
          <t>UPPSALA LÄN</t>
        </is>
      </c>
      <c r="E2465" t="inlineStr">
        <is>
          <t>HEBY</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5188-2022</t>
        </is>
      </c>
      <c r="B2466" s="1" t="n">
        <v>44594</v>
      </c>
      <c r="C2466" s="1" t="n">
        <v>45846</v>
      </c>
      <c r="D2466" t="inlineStr">
        <is>
          <t>UPPSALA LÄN</t>
        </is>
      </c>
      <c r="E2466" t="inlineStr">
        <is>
          <t>ENKÖPING</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5309-2022</t>
        </is>
      </c>
      <c r="B2467" s="1" t="n">
        <v>44594</v>
      </c>
      <c r="C2467" s="1" t="n">
        <v>45846</v>
      </c>
      <c r="D2467" t="inlineStr">
        <is>
          <t>UPPSALA LÄN</t>
        </is>
      </c>
      <c r="E2467" t="inlineStr">
        <is>
          <t>UPPSALA</t>
        </is>
      </c>
      <c r="G2467" t="n">
        <v>4.8</v>
      </c>
      <c r="H2467" t="n">
        <v>0</v>
      </c>
      <c r="I2467" t="n">
        <v>0</v>
      </c>
      <c r="J2467" t="n">
        <v>0</v>
      </c>
      <c r="K2467" t="n">
        <v>0</v>
      </c>
      <c r="L2467" t="n">
        <v>0</v>
      </c>
      <c r="M2467" t="n">
        <v>0</v>
      </c>
      <c r="N2467" t="n">
        <v>0</v>
      </c>
      <c r="O2467" t="n">
        <v>0</v>
      </c>
      <c r="P2467" t="n">
        <v>0</v>
      </c>
      <c r="Q2467" t="n">
        <v>0</v>
      </c>
      <c r="R2467" s="2" t="inlineStr"/>
    </row>
    <row r="2468" ht="15" customHeight="1">
      <c r="A2468" t="inlineStr">
        <is>
          <t>A 5170-2022</t>
        </is>
      </c>
      <c r="B2468" s="1" t="n">
        <v>44594</v>
      </c>
      <c r="C2468" s="1" t="n">
        <v>45846</v>
      </c>
      <c r="D2468" t="inlineStr">
        <is>
          <t>UPPSALA LÄN</t>
        </is>
      </c>
      <c r="E2468" t="inlineStr">
        <is>
          <t>TIERP</t>
        </is>
      </c>
      <c r="F2468" t="inlineStr">
        <is>
          <t>Bergvik skog öst AB</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5189-2022</t>
        </is>
      </c>
      <c r="B2469" s="1" t="n">
        <v>44594</v>
      </c>
      <c r="C2469" s="1" t="n">
        <v>45846</v>
      </c>
      <c r="D2469" t="inlineStr">
        <is>
          <t>UPPSALA LÄN</t>
        </is>
      </c>
      <c r="E2469" t="inlineStr">
        <is>
          <t>UPPSALA</t>
        </is>
      </c>
      <c r="G2469" t="n">
        <v>5.9</v>
      </c>
      <c r="H2469" t="n">
        <v>0</v>
      </c>
      <c r="I2469" t="n">
        <v>0</v>
      </c>
      <c r="J2469" t="n">
        <v>0</v>
      </c>
      <c r="K2469" t="n">
        <v>0</v>
      </c>
      <c r="L2469" t="n">
        <v>0</v>
      </c>
      <c r="M2469" t="n">
        <v>0</v>
      </c>
      <c r="N2469" t="n">
        <v>0</v>
      </c>
      <c r="O2469" t="n">
        <v>0</v>
      </c>
      <c r="P2469" t="n">
        <v>0</v>
      </c>
      <c r="Q2469" t="n">
        <v>0</v>
      </c>
      <c r="R2469" s="2" t="inlineStr"/>
    </row>
    <row r="2470" ht="15" customHeight="1">
      <c r="A2470" t="inlineStr">
        <is>
          <t>A 5204-2022</t>
        </is>
      </c>
      <c r="B2470" s="1" t="n">
        <v>44594</v>
      </c>
      <c r="C2470" s="1" t="n">
        <v>45846</v>
      </c>
      <c r="D2470" t="inlineStr">
        <is>
          <t>UPPSALA LÄN</t>
        </is>
      </c>
      <c r="E2470" t="inlineStr">
        <is>
          <t>TIERP</t>
        </is>
      </c>
      <c r="F2470" t="inlineStr">
        <is>
          <t>Bergvik skog öst AB</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5266-2022</t>
        </is>
      </c>
      <c r="B2471" s="1" t="n">
        <v>44594</v>
      </c>
      <c r="C2471" s="1" t="n">
        <v>45846</v>
      </c>
      <c r="D2471" t="inlineStr">
        <is>
          <t>UPPSALA LÄN</t>
        </is>
      </c>
      <c r="E2471" t="inlineStr">
        <is>
          <t>TIERP</t>
        </is>
      </c>
      <c r="F2471" t="inlineStr">
        <is>
          <t>Bergvik skog väst AB</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5589-2022</t>
        </is>
      </c>
      <c r="B2472" s="1" t="n">
        <v>44595</v>
      </c>
      <c r="C2472" s="1" t="n">
        <v>45846</v>
      </c>
      <c r="D2472" t="inlineStr">
        <is>
          <t>UPPSALA LÄN</t>
        </is>
      </c>
      <c r="E2472" t="inlineStr">
        <is>
          <t>HEBY</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5526-2022</t>
        </is>
      </c>
      <c r="B2473" s="1" t="n">
        <v>44595</v>
      </c>
      <c r="C2473" s="1" t="n">
        <v>45846</v>
      </c>
      <c r="D2473" t="inlineStr">
        <is>
          <t>UPPSALA LÄN</t>
        </is>
      </c>
      <c r="E2473" t="inlineStr">
        <is>
          <t>ENKÖPING</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5855-2022</t>
        </is>
      </c>
      <c r="B2474" s="1" t="n">
        <v>44596</v>
      </c>
      <c r="C2474" s="1" t="n">
        <v>45846</v>
      </c>
      <c r="D2474" t="inlineStr">
        <is>
          <t>UPPSALA LÄN</t>
        </is>
      </c>
      <c r="E2474" t="inlineStr">
        <is>
          <t>ÖSTHAMMAR</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5918-2022</t>
        </is>
      </c>
      <c r="B2475" s="1" t="n">
        <v>44597</v>
      </c>
      <c r="C2475" s="1" t="n">
        <v>45846</v>
      </c>
      <c r="D2475" t="inlineStr">
        <is>
          <t>UPPSALA LÄN</t>
        </is>
      </c>
      <c r="E2475" t="inlineStr">
        <is>
          <t>TIERP</t>
        </is>
      </c>
      <c r="G2475" t="n">
        <v>4.7</v>
      </c>
      <c r="H2475" t="n">
        <v>0</v>
      </c>
      <c r="I2475" t="n">
        <v>0</v>
      </c>
      <c r="J2475" t="n">
        <v>0</v>
      </c>
      <c r="K2475" t="n">
        <v>0</v>
      </c>
      <c r="L2475" t="n">
        <v>0</v>
      </c>
      <c r="M2475" t="n">
        <v>0</v>
      </c>
      <c r="N2475" t="n">
        <v>0</v>
      </c>
      <c r="O2475" t="n">
        <v>0</v>
      </c>
      <c r="P2475" t="n">
        <v>0</v>
      </c>
      <c r="Q2475" t="n">
        <v>0</v>
      </c>
      <c r="R2475" s="2" t="inlineStr"/>
    </row>
    <row r="2476" ht="15" customHeight="1">
      <c r="A2476" t="inlineStr">
        <is>
          <t>A 5974-2022</t>
        </is>
      </c>
      <c r="B2476" s="1" t="n">
        <v>44597</v>
      </c>
      <c r="C2476" s="1" t="n">
        <v>45846</v>
      </c>
      <c r="D2476" t="inlineStr">
        <is>
          <t>UPPSALA LÄN</t>
        </is>
      </c>
      <c r="E2476" t="inlineStr">
        <is>
          <t>ÖSTHAMMAR</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5933-2022</t>
        </is>
      </c>
      <c r="B2477" s="1" t="n">
        <v>44598</v>
      </c>
      <c r="C2477" s="1" t="n">
        <v>45846</v>
      </c>
      <c r="D2477" t="inlineStr">
        <is>
          <t>UPPSALA LÄN</t>
        </is>
      </c>
      <c r="E2477" t="inlineStr">
        <is>
          <t>ÖSTHAMMAR</t>
        </is>
      </c>
      <c r="F2477" t="inlineStr">
        <is>
          <t>Bergvik skog öst AB</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5934-2022</t>
        </is>
      </c>
      <c r="B2478" s="1" t="n">
        <v>44598</v>
      </c>
      <c r="C2478" s="1" t="n">
        <v>45846</v>
      </c>
      <c r="D2478" t="inlineStr">
        <is>
          <t>UPPSALA LÄN</t>
        </is>
      </c>
      <c r="E2478" t="inlineStr">
        <is>
          <t>ÖSTHAMMAR</t>
        </is>
      </c>
      <c r="F2478" t="inlineStr">
        <is>
          <t>Bergvik skog öst AB</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5932-2022</t>
        </is>
      </c>
      <c r="B2479" s="1" t="n">
        <v>44598</v>
      </c>
      <c r="C2479" s="1" t="n">
        <v>45846</v>
      </c>
      <c r="D2479" t="inlineStr">
        <is>
          <t>UPPSALA LÄN</t>
        </is>
      </c>
      <c r="E2479" t="inlineStr">
        <is>
          <t>ÖSTHAMMAR</t>
        </is>
      </c>
      <c r="F2479" t="inlineStr">
        <is>
          <t>Bergvik skog öst AB</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5924-2022</t>
        </is>
      </c>
      <c r="B2480" s="1" t="n">
        <v>44598</v>
      </c>
      <c r="C2480" s="1" t="n">
        <v>45846</v>
      </c>
      <c r="D2480" t="inlineStr">
        <is>
          <t>UPPSALA LÄN</t>
        </is>
      </c>
      <c r="E2480" t="inlineStr">
        <is>
          <t>UPPSALA</t>
        </is>
      </c>
      <c r="G2480" t="n">
        <v>6.8</v>
      </c>
      <c r="H2480" t="n">
        <v>0</v>
      </c>
      <c r="I2480" t="n">
        <v>0</v>
      </c>
      <c r="J2480" t="n">
        <v>0</v>
      </c>
      <c r="K2480" t="n">
        <v>0</v>
      </c>
      <c r="L2480" t="n">
        <v>0</v>
      </c>
      <c r="M2480" t="n">
        <v>0</v>
      </c>
      <c r="N2480" t="n">
        <v>0</v>
      </c>
      <c r="O2480" t="n">
        <v>0</v>
      </c>
      <c r="P2480" t="n">
        <v>0</v>
      </c>
      <c r="Q2480" t="n">
        <v>0</v>
      </c>
      <c r="R2480" s="2" t="inlineStr"/>
    </row>
    <row r="2481" ht="15" customHeight="1">
      <c r="A2481" t="inlineStr">
        <is>
          <t>A 5931-2022</t>
        </is>
      </c>
      <c r="B2481" s="1" t="n">
        <v>44598</v>
      </c>
      <c r="C2481" s="1" t="n">
        <v>45846</v>
      </c>
      <c r="D2481" t="inlineStr">
        <is>
          <t>UPPSALA LÄN</t>
        </is>
      </c>
      <c r="E2481" t="inlineStr">
        <is>
          <t>ÖSTHAMMAR</t>
        </is>
      </c>
      <c r="F2481" t="inlineStr">
        <is>
          <t>Bergvik skog öst AB</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5989-2022</t>
        </is>
      </c>
      <c r="B2482" s="1" t="n">
        <v>44599</v>
      </c>
      <c r="C2482" s="1" t="n">
        <v>45846</v>
      </c>
      <c r="D2482" t="inlineStr">
        <is>
          <t>UPPSALA LÄN</t>
        </is>
      </c>
      <c r="E2482" t="inlineStr">
        <is>
          <t>UPPSALA</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6009-2022</t>
        </is>
      </c>
      <c r="B2483" s="1" t="n">
        <v>44599</v>
      </c>
      <c r="C2483" s="1" t="n">
        <v>45846</v>
      </c>
      <c r="D2483" t="inlineStr">
        <is>
          <t>UPPSALA LÄN</t>
        </is>
      </c>
      <c r="E2483" t="inlineStr">
        <is>
          <t>UPPSALA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5996-2022</t>
        </is>
      </c>
      <c r="B2484" s="1" t="n">
        <v>44599</v>
      </c>
      <c r="C2484" s="1" t="n">
        <v>45846</v>
      </c>
      <c r="D2484" t="inlineStr">
        <is>
          <t>UPPSALA LÄN</t>
        </is>
      </c>
      <c r="E2484" t="inlineStr">
        <is>
          <t>UPPSALA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6044-2022</t>
        </is>
      </c>
      <c r="B2485" s="1" t="n">
        <v>44599</v>
      </c>
      <c r="C2485" s="1" t="n">
        <v>45846</v>
      </c>
      <c r="D2485" t="inlineStr">
        <is>
          <t>UPPSALA LÄN</t>
        </is>
      </c>
      <c r="E2485" t="inlineStr">
        <is>
          <t>HEBY</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6143-2022</t>
        </is>
      </c>
      <c r="B2486" s="1" t="n">
        <v>44599</v>
      </c>
      <c r="C2486" s="1" t="n">
        <v>45846</v>
      </c>
      <c r="D2486" t="inlineStr">
        <is>
          <t>UPPSALA LÄN</t>
        </is>
      </c>
      <c r="E2486" t="inlineStr">
        <is>
          <t>ÖSTHAMMAR</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6153-2022</t>
        </is>
      </c>
      <c r="B2487" s="1" t="n">
        <v>44599</v>
      </c>
      <c r="C2487" s="1" t="n">
        <v>45846</v>
      </c>
      <c r="D2487" t="inlineStr">
        <is>
          <t>UPPSALA LÄN</t>
        </is>
      </c>
      <c r="E2487" t="inlineStr">
        <is>
          <t>ÖSTHAMMAR</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6254-2022</t>
        </is>
      </c>
      <c r="B2488" s="1" t="n">
        <v>44600</v>
      </c>
      <c r="C2488" s="1" t="n">
        <v>45846</v>
      </c>
      <c r="D2488" t="inlineStr">
        <is>
          <t>UPPSALA LÄN</t>
        </is>
      </c>
      <c r="E2488" t="inlineStr">
        <is>
          <t>TIERP</t>
        </is>
      </c>
      <c r="F2488" t="inlineStr">
        <is>
          <t>Bergvik skog öst AB</t>
        </is>
      </c>
      <c r="G2488" t="n">
        <v>6.1</v>
      </c>
      <c r="H2488" t="n">
        <v>0</v>
      </c>
      <c r="I2488" t="n">
        <v>0</v>
      </c>
      <c r="J2488" t="n">
        <v>0</v>
      </c>
      <c r="K2488" t="n">
        <v>0</v>
      </c>
      <c r="L2488" t="n">
        <v>0</v>
      </c>
      <c r="M2488" t="n">
        <v>0</v>
      </c>
      <c r="N2488" t="n">
        <v>0</v>
      </c>
      <c r="O2488" t="n">
        <v>0</v>
      </c>
      <c r="P2488" t="n">
        <v>0</v>
      </c>
      <c r="Q2488" t="n">
        <v>0</v>
      </c>
      <c r="R2488" s="2" t="inlineStr"/>
    </row>
    <row r="2489" ht="15" customHeight="1">
      <c r="A2489" t="inlineStr">
        <is>
          <t>A 6206-2022</t>
        </is>
      </c>
      <c r="B2489" s="1" t="n">
        <v>44600</v>
      </c>
      <c r="C2489" s="1" t="n">
        <v>45846</v>
      </c>
      <c r="D2489" t="inlineStr">
        <is>
          <t>UPPSALA LÄN</t>
        </is>
      </c>
      <c r="E2489" t="inlineStr">
        <is>
          <t>ÖSTHAMMAR</t>
        </is>
      </c>
      <c r="G2489" t="n">
        <v>7.4</v>
      </c>
      <c r="H2489" t="n">
        <v>0</v>
      </c>
      <c r="I2489" t="n">
        <v>0</v>
      </c>
      <c r="J2489" t="n">
        <v>0</v>
      </c>
      <c r="K2489" t="n">
        <v>0</v>
      </c>
      <c r="L2489" t="n">
        <v>0</v>
      </c>
      <c r="M2489" t="n">
        <v>0</v>
      </c>
      <c r="N2489" t="n">
        <v>0</v>
      </c>
      <c r="O2489" t="n">
        <v>0</v>
      </c>
      <c r="P2489" t="n">
        <v>0</v>
      </c>
      <c r="Q2489" t="n">
        <v>0</v>
      </c>
      <c r="R2489" s="2" t="inlineStr"/>
    </row>
    <row r="2490" ht="15" customHeight="1">
      <c r="A2490" t="inlineStr">
        <is>
          <t>A 6339-2022</t>
        </is>
      </c>
      <c r="B2490" s="1" t="n">
        <v>44600</v>
      </c>
      <c r="C2490" s="1" t="n">
        <v>45846</v>
      </c>
      <c r="D2490" t="inlineStr">
        <is>
          <t>UPPSALA LÄN</t>
        </is>
      </c>
      <c r="E2490" t="inlineStr">
        <is>
          <t>UPPSALA</t>
        </is>
      </c>
      <c r="G2490" t="n">
        <v>18.7</v>
      </c>
      <c r="H2490" t="n">
        <v>0</v>
      </c>
      <c r="I2490" t="n">
        <v>0</v>
      </c>
      <c r="J2490" t="n">
        <v>0</v>
      </c>
      <c r="K2490" t="n">
        <v>0</v>
      </c>
      <c r="L2490" t="n">
        <v>0</v>
      </c>
      <c r="M2490" t="n">
        <v>0</v>
      </c>
      <c r="N2490" t="n">
        <v>0</v>
      </c>
      <c r="O2490" t="n">
        <v>0</v>
      </c>
      <c r="P2490" t="n">
        <v>0</v>
      </c>
      <c r="Q2490" t="n">
        <v>0</v>
      </c>
      <c r="R2490" s="2" t="inlineStr"/>
    </row>
    <row r="2491" ht="15" customHeight="1">
      <c r="A2491" t="inlineStr">
        <is>
          <t>A 6356-2022</t>
        </is>
      </c>
      <c r="B2491" s="1" t="n">
        <v>44600</v>
      </c>
      <c r="C2491" s="1" t="n">
        <v>45846</v>
      </c>
      <c r="D2491" t="inlineStr">
        <is>
          <t>UPPSALA LÄN</t>
        </is>
      </c>
      <c r="E2491" t="inlineStr">
        <is>
          <t>ENKÖPING</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6313-2022</t>
        </is>
      </c>
      <c r="B2492" s="1" t="n">
        <v>44600</v>
      </c>
      <c r="C2492" s="1" t="n">
        <v>45846</v>
      </c>
      <c r="D2492" t="inlineStr">
        <is>
          <t>UPPSALA LÄN</t>
        </is>
      </c>
      <c r="E2492" t="inlineStr">
        <is>
          <t>ÖSTHAMMAR</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6408-2022</t>
        </is>
      </c>
      <c r="B2493" s="1" t="n">
        <v>44600</v>
      </c>
      <c r="C2493" s="1" t="n">
        <v>45846</v>
      </c>
      <c r="D2493" t="inlineStr">
        <is>
          <t>UPPSALA LÄN</t>
        </is>
      </c>
      <c r="E2493" t="inlineStr">
        <is>
          <t>UPPSALA</t>
        </is>
      </c>
      <c r="F2493" t="inlineStr">
        <is>
          <t>Bergvik skog öst AB</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6523-2022</t>
        </is>
      </c>
      <c r="B2494" s="1" t="n">
        <v>44601</v>
      </c>
      <c r="C2494" s="1" t="n">
        <v>45846</v>
      </c>
      <c r="D2494" t="inlineStr">
        <is>
          <t>UPPSALA LÄN</t>
        </is>
      </c>
      <c r="E2494" t="inlineStr">
        <is>
          <t>HEBY</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6717-2022</t>
        </is>
      </c>
      <c r="B2495" s="1" t="n">
        <v>44602</v>
      </c>
      <c r="C2495" s="1" t="n">
        <v>45846</v>
      </c>
      <c r="D2495" t="inlineStr">
        <is>
          <t>UPPSALA LÄN</t>
        </is>
      </c>
      <c r="E2495" t="inlineStr">
        <is>
          <t>UPPSALA</t>
        </is>
      </c>
      <c r="F2495" t="inlineStr">
        <is>
          <t>Övriga Aktiebolag</t>
        </is>
      </c>
      <c r="G2495" t="n">
        <v>6.7</v>
      </c>
      <c r="H2495" t="n">
        <v>0</v>
      </c>
      <c r="I2495" t="n">
        <v>0</v>
      </c>
      <c r="J2495" t="n">
        <v>0</v>
      </c>
      <c r="K2495" t="n">
        <v>0</v>
      </c>
      <c r="L2495" t="n">
        <v>0</v>
      </c>
      <c r="M2495" t="n">
        <v>0</v>
      </c>
      <c r="N2495" t="n">
        <v>0</v>
      </c>
      <c r="O2495" t="n">
        <v>0</v>
      </c>
      <c r="P2495" t="n">
        <v>0</v>
      </c>
      <c r="Q2495" t="n">
        <v>0</v>
      </c>
      <c r="R2495" s="2" t="inlineStr"/>
    </row>
    <row r="2496" ht="15" customHeight="1">
      <c r="A2496" t="inlineStr">
        <is>
          <t>A 6853-2022</t>
        </is>
      </c>
      <c r="B2496" s="1" t="n">
        <v>44602</v>
      </c>
      <c r="C2496" s="1" t="n">
        <v>45846</v>
      </c>
      <c r="D2496" t="inlineStr">
        <is>
          <t>UPPSALA LÄN</t>
        </is>
      </c>
      <c r="E2496" t="inlineStr">
        <is>
          <t>UPPSALA</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6863-2022</t>
        </is>
      </c>
      <c r="B2497" s="1" t="n">
        <v>44602</v>
      </c>
      <c r="C2497" s="1" t="n">
        <v>45846</v>
      </c>
      <c r="D2497" t="inlineStr">
        <is>
          <t>UPPSALA LÄN</t>
        </is>
      </c>
      <c r="E2497" t="inlineStr">
        <is>
          <t>UPPSALA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6892-2022</t>
        </is>
      </c>
      <c r="B2498" s="1" t="n">
        <v>44602</v>
      </c>
      <c r="C2498" s="1" t="n">
        <v>45846</v>
      </c>
      <c r="D2498" t="inlineStr">
        <is>
          <t>UPPSALA LÄN</t>
        </is>
      </c>
      <c r="E2498" t="inlineStr">
        <is>
          <t>ÖSTHAMMAR</t>
        </is>
      </c>
      <c r="F2498" t="inlineStr">
        <is>
          <t>Bergvik skog öst AB</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6850-2022</t>
        </is>
      </c>
      <c r="B2499" s="1" t="n">
        <v>44602</v>
      </c>
      <c r="C2499" s="1" t="n">
        <v>45846</v>
      </c>
      <c r="D2499" t="inlineStr">
        <is>
          <t>UPPSALA LÄN</t>
        </is>
      </c>
      <c r="E2499" t="inlineStr">
        <is>
          <t>UPPSALA</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6851-2022</t>
        </is>
      </c>
      <c r="B2500" s="1" t="n">
        <v>44602</v>
      </c>
      <c r="C2500" s="1" t="n">
        <v>45846</v>
      </c>
      <c r="D2500" t="inlineStr">
        <is>
          <t>UPPSALA LÄN</t>
        </is>
      </c>
      <c r="E2500" t="inlineStr">
        <is>
          <t>UPPSALA</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6855-2022</t>
        </is>
      </c>
      <c r="B2501" s="1" t="n">
        <v>44602</v>
      </c>
      <c r="C2501" s="1" t="n">
        <v>45846</v>
      </c>
      <c r="D2501" t="inlineStr">
        <is>
          <t>UPPSALA LÄN</t>
        </is>
      </c>
      <c r="E2501" t="inlineStr">
        <is>
          <t>UPPSALA</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6860-2022</t>
        </is>
      </c>
      <c r="B2502" s="1" t="n">
        <v>44602</v>
      </c>
      <c r="C2502" s="1" t="n">
        <v>45846</v>
      </c>
      <c r="D2502" t="inlineStr">
        <is>
          <t>UPPSALA LÄN</t>
        </is>
      </c>
      <c r="E2502" t="inlineStr">
        <is>
          <t>UPPSALA</t>
        </is>
      </c>
      <c r="G2502" t="n">
        <v>14.8</v>
      </c>
      <c r="H2502" t="n">
        <v>0</v>
      </c>
      <c r="I2502" t="n">
        <v>0</v>
      </c>
      <c r="J2502" t="n">
        <v>0</v>
      </c>
      <c r="K2502" t="n">
        <v>0</v>
      </c>
      <c r="L2502" t="n">
        <v>0</v>
      </c>
      <c r="M2502" t="n">
        <v>0</v>
      </c>
      <c r="N2502" t="n">
        <v>0</v>
      </c>
      <c r="O2502" t="n">
        <v>0</v>
      </c>
      <c r="P2502" t="n">
        <v>0</v>
      </c>
      <c r="Q2502" t="n">
        <v>0</v>
      </c>
      <c r="R2502" s="2" t="inlineStr"/>
    </row>
    <row r="2503" ht="15" customHeight="1">
      <c r="A2503" t="inlineStr">
        <is>
          <t>A 6866-2022</t>
        </is>
      </c>
      <c r="B2503" s="1" t="n">
        <v>44602</v>
      </c>
      <c r="C2503" s="1" t="n">
        <v>45846</v>
      </c>
      <c r="D2503" t="inlineStr">
        <is>
          <t>UPPSALA LÄN</t>
        </is>
      </c>
      <c r="E2503" t="inlineStr">
        <is>
          <t>HEBY</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7068-2022</t>
        </is>
      </c>
      <c r="B2504" s="1" t="n">
        <v>44603</v>
      </c>
      <c r="C2504" s="1" t="n">
        <v>45846</v>
      </c>
      <c r="D2504" t="inlineStr">
        <is>
          <t>UPPSALA LÄN</t>
        </is>
      </c>
      <c r="E2504" t="inlineStr">
        <is>
          <t>TIERP</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6989-2022</t>
        </is>
      </c>
      <c r="B2505" s="1" t="n">
        <v>44603</v>
      </c>
      <c r="C2505" s="1" t="n">
        <v>45846</v>
      </c>
      <c r="D2505" t="inlineStr">
        <is>
          <t>UPPSALA LÄN</t>
        </is>
      </c>
      <c r="E2505" t="inlineStr">
        <is>
          <t>UPPSALA</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7040-2022</t>
        </is>
      </c>
      <c r="B2506" s="1" t="n">
        <v>44603</v>
      </c>
      <c r="C2506" s="1" t="n">
        <v>45846</v>
      </c>
      <c r="D2506" t="inlineStr">
        <is>
          <t>UPPSALA LÄN</t>
        </is>
      </c>
      <c r="E2506" t="inlineStr">
        <is>
          <t>UPPSALA</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7090-2022</t>
        </is>
      </c>
      <c r="B2507" s="1" t="n">
        <v>44603</v>
      </c>
      <c r="C2507" s="1" t="n">
        <v>45846</v>
      </c>
      <c r="D2507" t="inlineStr">
        <is>
          <t>UPPSALA LÄN</t>
        </is>
      </c>
      <c r="E2507" t="inlineStr">
        <is>
          <t>ENKÖPING</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7124-2022</t>
        </is>
      </c>
      <c r="B2508" s="1" t="n">
        <v>44603</v>
      </c>
      <c r="C2508" s="1" t="n">
        <v>45846</v>
      </c>
      <c r="D2508" t="inlineStr">
        <is>
          <t>UPPSALA LÄN</t>
        </is>
      </c>
      <c r="E2508" t="inlineStr">
        <is>
          <t>UPPSALA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7181-2022</t>
        </is>
      </c>
      <c r="B2509" s="1" t="n">
        <v>44605</v>
      </c>
      <c r="C2509" s="1" t="n">
        <v>45846</v>
      </c>
      <c r="D2509" t="inlineStr">
        <is>
          <t>UPPSALA LÄN</t>
        </is>
      </c>
      <c r="E2509" t="inlineStr">
        <is>
          <t>ÖSTHAMMAR</t>
        </is>
      </c>
      <c r="F2509" t="inlineStr">
        <is>
          <t>Bergvik skog öst AB</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7302-2022</t>
        </is>
      </c>
      <c r="B2510" s="1" t="n">
        <v>44606</v>
      </c>
      <c r="C2510" s="1" t="n">
        <v>45846</v>
      </c>
      <c r="D2510" t="inlineStr">
        <is>
          <t>UPPSALA LÄN</t>
        </is>
      </c>
      <c r="E2510" t="inlineStr">
        <is>
          <t>ÖSTHAMMAR</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7284-2022</t>
        </is>
      </c>
      <c r="B2511" s="1" t="n">
        <v>44606</v>
      </c>
      <c r="C2511" s="1" t="n">
        <v>45846</v>
      </c>
      <c r="D2511" t="inlineStr">
        <is>
          <t>UPPSALA LÄN</t>
        </is>
      </c>
      <c r="E2511" t="inlineStr">
        <is>
          <t>ENKÖPING</t>
        </is>
      </c>
      <c r="G2511" t="n">
        <v>6.4</v>
      </c>
      <c r="H2511" t="n">
        <v>0</v>
      </c>
      <c r="I2511" t="n">
        <v>0</v>
      </c>
      <c r="J2511" t="n">
        <v>0</v>
      </c>
      <c r="K2511" t="n">
        <v>0</v>
      </c>
      <c r="L2511" t="n">
        <v>0</v>
      </c>
      <c r="M2511" t="n">
        <v>0</v>
      </c>
      <c r="N2511" t="n">
        <v>0</v>
      </c>
      <c r="O2511" t="n">
        <v>0</v>
      </c>
      <c r="P2511" t="n">
        <v>0</v>
      </c>
      <c r="Q2511" t="n">
        <v>0</v>
      </c>
      <c r="R2511" s="2" t="inlineStr"/>
    </row>
    <row r="2512" ht="15" customHeight="1">
      <c r="A2512" t="inlineStr">
        <is>
          <t>A 7409-2022</t>
        </is>
      </c>
      <c r="B2512" s="1" t="n">
        <v>44606</v>
      </c>
      <c r="C2512" s="1" t="n">
        <v>45846</v>
      </c>
      <c r="D2512" t="inlineStr">
        <is>
          <t>UPPSALA LÄN</t>
        </is>
      </c>
      <c r="E2512" t="inlineStr">
        <is>
          <t>UPPSALA</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7463-2022</t>
        </is>
      </c>
      <c r="B2513" s="1" t="n">
        <v>44607</v>
      </c>
      <c r="C2513" s="1" t="n">
        <v>45846</v>
      </c>
      <c r="D2513" t="inlineStr">
        <is>
          <t>UPPSALA LÄN</t>
        </is>
      </c>
      <c r="E2513" t="inlineStr">
        <is>
          <t>ENKÖPING</t>
        </is>
      </c>
      <c r="F2513" t="inlineStr">
        <is>
          <t>Övriga statliga verk och myndigheter</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7475-2022</t>
        </is>
      </c>
      <c r="B2514" s="1" t="n">
        <v>44607</v>
      </c>
      <c r="C2514" s="1" t="n">
        <v>45846</v>
      </c>
      <c r="D2514" t="inlineStr">
        <is>
          <t>UPPSALA LÄN</t>
        </is>
      </c>
      <c r="E2514" t="inlineStr">
        <is>
          <t>ÖSTHAMMAR</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7488-2022</t>
        </is>
      </c>
      <c r="B2515" s="1" t="n">
        <v>44607</v>
      </c>
      <c r="C2515" s="1" t="n">
        <v>45846</v>
      </c>
      <c r="D2515" t="inlineStr">
        <is>
          <t>UPPSALA LÄN</t>
        </is>
      </c>
      <c r="E2515" t="inlineStr">
        <is>
          <t>ÖSTHAMMAR</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7858-2022</t>
        </is>
      </c>
      <c r="B2516" s="1" t="n">
        <v>44608</v>
      </c>
      <c r="C2516" s="1" t="n">
        <v>45846</v>
      </c>
      <c r="D2516" t="inlineStr">
        <is>
          <t>UPPSALA LÄN</t>
        </is>
      </c>
      <c r="E2516" t="inlineStr">
        <is>
          <t>ÖSTHAMMAR</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7871-2022</t>
        </is>
      </c>
      <c r="B2517" s="1" t="n">
        <v>44608</v>
      </c>
      <c r="C2517" s="1" t="n">
        <v>45846</v>
      </c>
      <c r="D2517" t="inlineStr">
        <is>
          <t>UPPSALA LÄN</t>
        </is>
      </c>
      <c r="E2517" t="inlineStr">
        <is>
          <t>ÖSTHAMMAR</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7899-2022</t>
        </is>
      </c>
      <c r="B2518" s="1" t="n">
        <v>44608</v>
      </c>
      <c r="C2518" s="1" t="n">
        <v>45846</v>
      </c>
      <c r="D2518" t="inlineStr">
        <is>
          <t>UPPSALA LÄN</t>
        </is>
      </c>
      <c r="E2518" t="inlineStr">
        <is>
          <t>UPPSALA</t>
        </is>
      </c>
      <c r="F2518" t="inlineStr">
        <is>
          <t>Övriga Aktiebolag</t>
        </is>
      </c>
      <c r="G2518" t="n">
        <v>7.1</v>
      </c>
      <c r="H2518" t="n">
        <v>0</v>
      </c>
      <c r="I2518" t="n">
        <v>0</v>
      </c>
      <c r="J2518" t="n">
        <v>0</v>
      </c>
      <c r="K2518" t="n">
        <v>0</v>
      </c>
      <c r="L2518" t="n">
        <v>0</v>
      </c>
      <c r="M2518" t="n">
        <v>0</v>
      </c>
      <c r="N2518" t="n">
        <v>0</v>
      </c>
      <c r="O2518" t="n">
        <v>0</v>
      </c>
      <c r="P2518" t="n">
        <v>0</v>
      </c>
      <c r="Q2518" t="n">
        <v>0</v>
      </c>
      <c r="R2518" s="2" t="inlineStr"/>
    </row>
    <row r="2519" ht="15" customHeight="1">
      <c r="A2519" t="inlineStr">
        <is>
          <t>A 8090-2022</t>
        </is>
      </c>
      <c r="B2519" s="1" t="n">
        <v>44608</v>
      </c>
      <c r="C2519" s="1" t="n">
        <v>45846</v>
      </c>
      <c r="D2519" t="inlineStr">
        <is>
          <t>UPPSALA LÄN</t>
        </is>
      </c>
      <c r="E2519" t="inlineStr">
        <is>
          <t>UPPSALA</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7996-2022</t>
        </is>
      </c>
      <c r="B2520" s="1" t="n">
        <v>44609</v>
      </c>
      <c r="C2520" s="1" t="n">
        <v>45846</v>
      </c>
      <c r="D2520" t="inlineStr">
        <is>
          <t>UPPSALA LÄN</t>
        </is>
      </c>
      <c r="E2520" t="inlineStr">
        <is>
          <t>UPPSALA</t>
        </is>
      </c>
      <c r="F2520" t="inlineStr">
        <is>
          <t>Övriga Aktiebolag</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8007-2022</t>
        </is>
      </c>
      <c r="B2521" s="1" t="n">
        <v>44609</v>
      </c>
      <c r="C2521" s="1" t="n">
        <v>45846</v>
      </c>
      <c r="D2521" t="inlineStr">
        <is>
          <t>UPPSALA LÄN</t>
        </is>
      </c>
      <c r="E2521" t="inlineStr">
        <is>
          <t>UPPSALA</t>
        </is>
      </c>
      <c r="F2521" t="inlineStr">
        <is>
          <t>Övriga Aktiebolag</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7997-2022</t>
        </is>
      </c>
      <c r="B2522" s="1" t="n">
        <v>44609</v>
      </c>
      <c r="C2522" s="1" t="n">
        <v>45846</v>
      </c>
      <c r="D2522" t="inlineStr">
        <is>
          <t>UPPSALA LÄN</t>
        </is>
      </c>
      <c r="E2522" t="inlineStr">
        <is>
          <t>ÖSTHAMMAR</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8020-2022</t>
        </is>
      </c>
      <c r="B2523" s="1" t="n">
        <v>44609</v>
      </c>
      <c r="C2523" s="1" t="n">
        <v>45846</v>
      </c>
      <c r="D2523" t="inlineStr">
        <is>
          <t>UPPSALA LÄN</t>
        </is>
      </c>
      <c r="E2523" t="inlineStr">
        <is>
          <t>ENKÖPING</t>
        </is>
      </c>
      <c r="G2523" t="n">
        <v>6</v>
      </c>
      <c r="H2523" t="n">
        <v>0</v>
      </c>
      <c r="I2523" t="n">
        <v>0</v>
      </c>
      <c r="J2523" t="n">
        <v>0</v>
      </c>
      <c r="K2523" t="n">
        <v>0</v>
      </c>
      <c r="L2523" t="n">
        <v>0</v>
      </c>
      <c r="M2523" t="n">
        <v>0</v>
      </c>
      <c r="N2523" t="n">
        <v>0</v>
      </c>
      <c r="O2523" t="n">
        <v>0</v>
      </c>
      <c r="P2523" t="n">
        <v>0</v>
      </c>
      <c r="Q2523" t="n">
        <v>0</v>
      </c>
      <c r="R2523" s="2" t="inlineStr"/>
    </row>
    <row r="2524" ht="15" customHeight="1">
      <c r="A2524" t="inlineStr">
        <is>
          <t>A 8132-2022</t>
        </is>
      </c>
      <c r="B2524" s="1" t="n">
        <v>44609</v>
      </c>
      <c r="C2524" s="1" t="n">
        <v>45846</v>
      </c>
      <c r="D2524" t="inlineStr">
        <is>
          <t>UPPSALA LÄN</t>
        </is>
      </c>
      <c r="E2524" t="inlineStr">
        <is>
          <t>UPPSALA</t>
        </is>
      </c>
      <c r="F2524" t="inlineStr">
        <is>
          <t>Kommuner</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8152-2022</t>
        </is>
      </c>
      <c r="B2525" s="1" t="n">
        <v>44609</v>
      </c>
      <c r="C2525" s="1" t="n">
        <v>45846</v>
      </c>
      <c r="D2525" t="inlineStr">
        <is>
          <t>UPPSALA LÄN</t>
        </is>
      </c>
      <c r="E2525" t="inlineStr">
        <is>
          <t>ENKÖPING</t>
        </is>
      </c>
      <c r="F2525" t="inlineStr">
        <is>
          <t>Kyrkan</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8169-2022</t>
        </is>
      </c>
      <c r="B2526" s="1" t="n">
        <v>44609</v>
      </c>
      <c r="C2526" s="1" t="n">
        <v>45846</v>
      </c>
      <c r="D2526" t="inlineStr">
        <is>
          <t>UPPSALA LÄN</t>
        </is>
      </c>
      <c r="E2526" t="inlineStr">
        <is>
          <t>HEBY</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8182-2022</t>
        </is>
      </c>
      <c r="B2527" s="1" t="n">
        <v>44609</v>
      </c>
      <c r="C2527" s="1" t="n">
        <v>45846</v>
      </c>
      <c r="D2527" t="inlineStr">
        <is>
          <t>UPPSALA LÄN</t>
        </is>
      </c>
      <c r="E2527" t="inlineStr">
        <is>
          <t>HEBY</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8139-2022</t>
        </is>
      </c>
      <c r="B2528" s="1" t="n">
        <v>44609</v>
      </c>
      <c r="C2528" s="1" t="n">
        <v>45846</v>
      </c>
      <c r="D2528" t="inlineStr">
        <is>
          <t>UPPSALA LÄN</t>
        </is>
      </c>
      <c r="E2528" t="inlineStr">
        <is>
          <t>UPPSALA</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8283-2022</t>
        </is>
      </c>
      <c r="B2529" s="1" t="n">
        <v>44610</v>
      </c>
      <c r="C2529" s="1" t="n">
        <v>45846</v>
      </c>
      <c r="D2529" t="inlineStr">
        <is>
          <t>UPPSALA LÄN</t>
        </is>
      </c>
      <c r="E2529" t="inlineStr">
        <is>
          <t>ÖSTHAMMAR</t>
        </is>
      </c>
      <c r="F2529" t="inlineStr">
        <is>
          <t>Övriga Aktiebolag</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8404-2022</t>
        </is>
      </c>
      <c r="B2530" s="1" t="n">
        <v>44610</v>
      </c>
      <c r="C2530" s="1" t="n">
        <v>45846</v>
      </c>
      <c r="D2530" t="inlineStr">
        <is>
          <t>UPPSALA LÄN</t>
        </is>
      </c>
      <c r="E2530" t="inlineStr">
        <is>
          <t>UPPSALA</t>
        </is>
      </c>
      <c r="F2530" t="inlineStr">
        <is>
          <t>Allmännings- och besparingsskogar</t>
        </is>
      </c>
      <c r="G2530" t="n">
        <v>5.4</v>
      </c>
      <c r="H2530" t="n">
        <v>0</v>
      </c>
      <c r="I2530" t="n">
        <v>0</v>
      </c>
      <c r="J2530" t="n">
        <v>0</v>
      </c>
      <c r="K2530" t="n">
        <v>0</v>
      </c>
      <c r="L2530" t="n">
        <v>0</v>
      </c>
      <c r="M2530" t="n">
        <v>0</v>
      </c>
      <c r="N2530" t="n">
        <v>0</v>
      </c>
      <c r="O2530" t="n">
        <v>0</v>
      </c>
      <c r="P2530" t="n">
        <v>0</v>
      </c>
      <c r="Q2530" t="n">
        <v>0</v>
      </c>
      <c r="R2530" s="2" t="inlineStr"/>
    </row>
    <row r="2531" ht="15" customHeight="1">
      <c r="A2531" t="inlineStr">
        <is>
          <t>A 8475-2022</t>
        </is>
      </c>
      <c r="B2531" s="1" t="n">
        <v>44610</v>
      </c>
      <c r="C2531" s="1" t="n">
        <v>45846</v>
      </c>
      <c r="D2531" t="inlineStr">
        <is>
          <t>UPPSALA LÄN</t>
        </is>
      </c>
      <c r="E2531" t="inlineStr">
        <is>
          <t>UPPSALA</t>
        </is>
      </c>
      <c r="F2531" t="inlineStr">
        <is>
          <t>Allmännings- och besparingsskogar</t>
        </is>
      </c>
      <c r="G2531" t="n">
        <v>32.7</v>
      </c>
      <c r="H2531" t="n">
        <v>0</v>
      </c>
      <c r="I2531" t="n">
        <v>0</v>
      </c>
      <c r="J2531" t="n">
        <v>0</v>
      </c>
      <c r="K2531" t="n">
        <v>0</v>
      </c>
      <c r="L2531" t="n">
        <v>0</v>
      </c>
      <c r="M2531" t="n">
        <v>0</v>
      </c>
      <c r="N2531" t="n">
        <v>0</v>
      </c>
      <c r="O2531" t="n">
        <v>0</v>
      </c>
      <c r="P2531" t="n">
        <v>0</v>
      </c>
      <c r="Q2531" t="n">
        <v>0</v>
      </c>
      <c r="R2531" s="2" t="inlineStr"/>
    </row>
    <row r="2532" ht="15" customHeight="1">
      <c r="A2532" t="inlineStr">
        <is>
          <t>A 8465-2022</t>
        </is>
      </c>
      <c r="B2532" s="1" t="n">
        <v>44610</v>
      </c>
      <c r="C2532" s="1" t="n">
        <v>45846</v>
      </c>
      <c r="D2532" t="inlineStr">
        <is>
          <t>UPPSALA LÄN</t>
        </is>
      </c>
      <c r="E2532" t="inlineStr">
        <is>
          <t>UPPSALA</t>
        </is>
      </c>
      <c r="F2532" t="inlineStr">
        <is>
          <t>Allmännings- och besparingsskogar</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8451-2022</t>
        </is>
      </c>
      <c r="B2533" s="1" t="n">
        <v>44612</v>
      </c>
      <c r="C2533" s="1" t="n">
        <v>45846</v>
      </c>
      <c r="D2533" t="inlineStr">
        <is>
          <t>UPPSALA LÄN</t>
        </is>
      </c>
      <c r="E2533" t="inlineStr">
        <is>
          <t>UPPSALA</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8576-2022</t>
        </is>
      </c>
      <c r="B2534" s="1" t="n">
        <v>44613</v>
      </c>
      <c r="C2534" s="1" t="n">
        <v>45846</v>
      </c>
      <c r="D2534" t="inlineStr">
        <is>
          <t>UPPSALA LÄN</t>
        </is>
      </c>
      <c r="E2534" t="inlineStr">
        <is>
          <t>KNIVSTA</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8660-2022</t>
        </is>
      </c>
      <c r="B2535" s="1" t="n">
        <v>44613</v>
      </c>
      <c r="C2535" s="1" t="n">
        <v>45846</v>
      </c>
      <c r="D2535" t="inlineStr">
        <is>
          <t>UPPSALA LÄN</t>
        </is>
      </c>
      <c r="E2535" t="inlineStr">
        <is>
          <t>HEBY</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8592-2022</t>
        </is>
      </c>
      <c r="B2536" s="1" t="n">
        <v>44613</v>
      </c>
      <c r="C2536" s="1" t="n">
        <v>45846</v>
      </c>
      <c r="D2536" t="inlineStr">
        <is>
          <t>UPPSALA LÄN</t>
        </is>
      </c>
      <c r="E2536" t="inlineStr">
        <is>
          <t>ÖSTHAMMAR</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8708-2022</t>
        </is>
      </c>
      <c r="B2537" s="1" t="n">
        <v>44613</v>
      </c>
      <c r="C2537" s="1" t="n">
        <v>45846</v>
      </c>
      <c r="D2537" t="inlineStr">
        <is>
          <t>UPPSALA LÄN</t>
        </is>
      </c>
      <c r="E2537" t="inlineStr">
        <is>
          <t>ÖSTHAMMAR</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8710-2022</t>
        </is>
      </c>
      <c r="B2538" s="1" t="n">
        <v>44613</v>
      </c>
      <c r="C2538" s="1" t="n">
        <v>45846</v>
      </c>
      <c r="D2538" t="inlineStr">
        <is>
          <t>UPPSALA LÄN</t>
        </is>
      </c>
      <c r="E2538" t="inlineStr">
        <is>
          <t>ÖSTHAMMAR</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8537-2022</t>
        </is>
      </c>
      <c r="B2539" s="1" t="n">
        <v>44613</v>
      </c>
      <c r="C2539" s="1" t="n">
        <v>45846</v>
      </c>
      <c r="D2539" t="inlineStr">
        <is>
          <t>UPPSALA LÄN</t>
        </is>
      </c>
      <c r="E2539" t="inlineStr">
        <is>
          <t>ÖSTHAMMAR</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8554-2022</t>
        </is>
      </c>
      <c r="B2540" s="1" t="n">
        <v>44613</v>
      </c>
      <c r="C2540" s="1" t="n">
        <v>45846</v>
      </c>
      <c r="D2540" t="inlineStr">
        <is>
          <t>UPPSALA LÄN</t>
        </is>
      </c>
      <c r="E2540" t="inlineStr">
        <is>
          <t>ÖSTHAMMAR</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8556-2022</t>
        </is>
      </c>
      <c r="B2541" s="1" t="n">
        <v>44613</v>
      </c>
      <c r="C2541" s="1" t="n">
        <v>45846</v>
      </c>
      <c r="D2541" t="inlineStr">
        <is>
          <t>UPPSALA LÄN</t>
        </is>
      </c>
      <c r="E2541" t="inlineStr">
        <is>
          <t>ÖSTHAMMAR</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8775-2022</t>
        </is>
      </c>
      <c r="B2542" s="1" t="n">
        <v>44614</v>
      </c>
      <c r="C2542" s="1" t="n">
        <v>45846</v>
      </c>
      <c r="D2542" t="inlineStr">
        <is>
          <t>UPPSALA LÄN</t>
        </is>
      </c>
      <c r="E2542" t="inlineStr">
        <is>
          <t>ÖSTHAMMAR</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8758-2022</t>
        </is>
      </c>
      <c r="B2543" s="1" t="n">
        <v>44614</v>
      </c>
      <c r="C2543" s="1" t="n">
        <v>45846</v>
      </c>
      <c r="D2543" t="inlineStr">
        <is>
          <t>UPPSALA LÄN</t>
        </is>
      </c>
      <c r="E2543" t="inlineStr">
        <is>
          <t>HEBY</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8837-2022</t>
        </is>
      </c>
      <c r="B2544" s="1" t="n">
        <v>44614</v>
      </c>
      <c r="C2544" s="1" t="n">
        <v>45846</v>
      </c>
      <c r="D2544" t="inlineStr">
        <is>
          <t>UPPSALA LÄN</t>
        </is>
      </c>
      <c r="E2544" t="inlineStr">
        <is>
          <t>HEBY</t>
        </is>
      </c>
      <c r="G2544" t="n">
        <v>9.5</v>
      </c>
      <c r="H2544" t="n">
        <v>0</v>
      </c>
      <c r="I2544" t="n">
        <v>0</v>
      </c>
      <c r="J2544" t="n">
        <v>0</v>
      </c>
      <c r="K2544" t="n">
        <v>0</v>
      </c>
      <c r="L2544" t="n">
        <v>0</v>
      </c>
      <c r="M2544" t="n">
        <v>0</v>
      </c>
      <c r="N2544" t="n">
        <v>0</v>
      </c>
      <c r="O2544" t="n">
        <v>0</v>
      </c>
      <c r="P2544" t="n">
        <v>0</v>
      </c>
      <c r="Q2544" t="n">
        <v>0</v>
      </c>
      <c r="R2544" s="2" t="inlineStr"/>
    </row>
    <row r="2545" ht="15" customHeight="1">
      <c r="A2545" t="inlineStr">
        <is>
          <t>A 8762-2022</t>
        </is>
      </c>
      <c r="B2545" s="1" t="n">
        <v>44614</v>
      </c>
      <c r="C2545" s="1" t="n">
        <v>45846</v>
      </c>
      <c r="D2545" t="inlineStr">
        <is>
          <t>UPPSALA LÄN</t>
        </is>
      </c>
      <c r="E2545" t="inlineStr">
        <is>
          <t>HEBY</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8750-2022</t>
        </is>
      </c>
      <c r="B2546" s="1" t="n">
        <v>44614</v>
      </c>
      <c r="C2546" s="1" t="n">
        <v>45846</v>
      </c>
      <c r="D2546" t="inlineStr">
        <is>
          <t>UPPSALA LÄN</t>
        </is>
      </c>
      <c r="E2546" t="inlineStr">
        <is>
          <t>ÖSTHAMMAR</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8856-2022</t>
        </is>
      </c>
      <c r="B2547" s="1" t="n">
        <v>44614</v>
      </c>
      <c r="C2547" s="1" t="n">
        <v>45846</v>
      </c>
      <c r="D2547" t="inlineStr">
        <is>
          <t>UPPSALA LÄN</t>
        </is>
      </c>
      <c r="E2547" t="inlineStr">
        <is>
          <t>HEBY</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8850-2022</t>
        </is>
      </c>
      <c r="B2548" s="1" t="n">
        <v>44614</v>
      </c>
      <c r="C2548" s="1" t="n">
        <v>45846</v>
      </c>
      <c r="D2548" t="inlineStr">
        <is>
          <t>UPPSALA LÄN</t>
        </is>
      </c>
      <c r="E2548" t="inlineStr">
        <is>
          <t>HEBY</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8877-2022</t>
        </is>
      </c>
      <c r="B2549" s="1" t="n">
        <v>44614</v>
      </c>
      <c r="C2549" s="1" t="n">
        <v>45846</v>
      </c>
      <c r="D2549" t="inlineStr">
        <is>
          <t>UPPSALA LÄN</t>
        </is>
      </c>
      <c r="E2549" t="inlineStr">
        <is>
          <t>UPPSALA</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8933-2022</t>
        </is>
      </c>
      <c r="B2550" s="1" t="n">
        <v>44614</v>
      </c>
      <c r="C2550" s="1" t="n">
        <v>45846</v>
      </c>
      <c r="D2550" t="inlineStr">
        <is>
          <t>UPPSALA LÄN</t>
        </is>
      </c>
      <c r="E2550" t="inlineStr">
        <is>
          <t>UPPSALA</t>
        </is>
      </c>
      <c r="F2550" t="inlineStr">
        <is>
          <t>Holmen skog AB</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9167-2022</t>
        </is>
      </c>
      <c r="B2551" s="1" t="n">
        <v>44615</v>
      </c>
      <c r="C2551" s="1" t="n">
        <v>45846</v>
      </c>
      <c r="D2551" t="inlineStr">
        <is>
          <t>UPPSALA LÄN</t>
        </is>
      </c>
      <c r="E2551" t="inlineStr">
        <is>
          <t>HEBY</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9288-2022</t>
        </is>
      </c>
      <c r="B2552" s="1" t="n">
        <v>44616</v>
      </c>
      <c r="C2552" s="1" t="n">
        <v>45846</v>
      </c>
      <c r="D2552" t="inlineStr">
        <is>
          <t>UPPSALA LÄN</t>
        </is>
      </c>
      <c r="E2552" t="inlineStr">
        <is>
          <t>TIERP</t>
        </is>
      </c>
      <c r="G2552" t="n">
        <v>7.9</v>
      </c>
      <c r="H2552" t="n">
        <v>0</v>
      </c>
      <c r="I2552" t="n">
        <v>0</v>
      </c>
      <c r="J2552" t="n">
        <v>0</v>
      </c>
      <c r="K2552" t="n">
        <v>0</v>
      </c>
      <c r="L2552" t="n">
        <v>0</v>
      </c>
      <c r="M2552" t="n">
        <v>0</v>
      </c>
      <c r="N2552" t="n">
        <v>0</v>
      </c>
      <c r="O2552" t="n">
        <v>0</v>
      </c>
      <c r="P2552" t="n">
        <v>0</v>
      </c>
      <c r="Q2552" t="n">
        <v>0</v>
      </c>
      <c r="R2552" s="2" t="inlineStr"/>
    </row>
    <row r="2553" ht="15" customHeight="1">
      <c r="A2553" t="inlineStr">
        <is>
          <t>A 9206-2022</t>
        </is>
      </c>
      <c r="B2553" s="1" t="n">
        <v>44616</v>
      </c>
      <c r="C2553" s="1" t="n">
        <v>45846</v>
      </c>
      <c r="D2553" t="inlineStr">
        <is>
          <t>UPPSALA LÄN</t>
        </is>
      </c>
      <c r="E2553" t="inlineStr">
        <is>
          <t>UPPSALA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9246-2022</t>
        </is>
      </c>
      <c r="B2554" s="1" t="n">
        <v>44616</v>
      </c>
      <c r="C2554" s="1" t="n">
        <v>45846</v>
      </c>
      <c r="D2554" t="inlineStr">
        <is>
          <t>UPPSALA LÄN</t>
        </is>
      </c>
      <c r="E2554" t="inlineStr">
        <is>
          <t>HEBY</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9242-2022</t>
        </is>
      </c>
      <c r="B2555" s="1" t="n">
        <v>44616</v>
      </c>
      <c r="C2555" s="1" t="n">
        <v>45846</v>
      </c>
      <c r="D2555" t="inlineStr">
        <is>
          <t>UPPSALA LÄN</t>
        </is>
      </c>
      <c r="E2555" t="inlineStr">
        <is>
          <t>UPPSALA</t>
        </is>
      </c>
      <c r="F2555" t="inlineStr">
        <is>
          <t>Övriga Aktiebolag</t>
        </is>
      </c>
      <c r="G2555" t="n">
        <v>5.9</v>
      </c>
      <c r="H2555" t="n">
        <v>0</v>
      </c>
      <c r="I2555" t="n">
        <v>0</v>
      </c>
      <c r="J2555" t="n">
        <v>0</v>
      </c>
      <c r="K2555" t="n">
        <v>0</v>
      </c>
      <c r="L2555" t="n">
        <v>0</v>
      </c>
      <c r="M2555" t="n">
        <v>0</v>
      </c>
      <c r="N2555" t="n">
        <v>0</v>
      </c>
      <c r="O2555" t="n">
        <v>0</v>
      </c>
      <c r="P2555" t="n">
        <v>0</v>
      </c>
      <c r="Q2555" t="n">
        <v>0</v>
      </c>
      <c r="R2555" s="2" t="inlineStr"/>
    </row>
    <row r="2556" ht="15" customHeight="1">
      <c r="A2556" t="inlineStr">
        <is>
          <t>A 9564-2022</t>
        </is>
      </c>
      <c r="B2556" s="1" t="n">
        <v>44617</v>
      </c>
      <c r="C2556" s="1" t="n">
        <v>45846</v>
      </c>
      <c r="D2556" t="inlineStr">
        <is>
          <t>UPPSALA LÄN</t>
        </is>
      </c>
      <c r="E2556" t="inlineStr">
        <is>
          <t>TIERP</t>
        </is>
      </c>
      <c r="G2556" t="n">
        <v>11.9</v>
      </c>
      <c r="H2556" t="n">
        <v>0</v>
      </c>
      <c r="I2556" t="n">
        <v>0</v>
      </c>
      <c r="J2556" t="n">
        <v>0</v>
      </c>
      <c r="K2556" t="n">
        <v>0</v>
      </c>
      <c r="L2556" t="n">
        <v>0</v>
      </c>
      <c r="M2556" t="n">
        <v>0</v>
      </c>
      <c r="N2556" t="n">
        <v>0</v>
      </c>
      <c r="O2556" t="n">
        <v>0</v>
      </c>
      <c r="P2556" t="n">
        <v>0</v>
      </c>
      <c r="Q2556" t="n">
        <v>0</v>
      </c>
      <c r="R2556" s="2" t="inlineStr"/>
    </row>
    <row r="2557" ht="15" customHeight="1">
      <c r="A2557" t="inlineStr">
        <is>
          <t>A 9592-2022</t>
        </is>
      </c>
      <c r="B2557" s="1" t="n">
        <v>44617</v>
      </c>
      <c r="C2557" s="1" t="n">
        <v>45846</v>
      </c>
      <c r="D2557" t="inlineStr">
        <is>
          <t>UPPSALA LÄN</t>
        </is>
      </c>
      <c r="E2557" t="inlineStr">
        <is>
          <t>UPPSALA</t>
        </is>
      </c>
      <c r="G2557" t="n">
        <v>7.5</v>
      </c>
      <c r="H2557" t="n">
        <v>0</v>
      </c>
      <c r="I2557" t="n">
        <v>0</v>
      </c>
      <c r="J2557" t="n">
        <v>0</v>
      </c>
      <c r="K2557" t="n">
        <v>0</v>
      </c>
      <c r="L2557" t="n">
        <v>0</v>
      </c>
      <c r="M2557" t="n">
        <v>0</v>
      </c>
      <c r="N2557" t="n">
        <v>0</v>
      </c>
      <c r="O2557" t="n">
        <v>0</v>
      </c>
      <c r="P2557" t="n">
        <v>0</v>
      </c>
      <c r="Q2557" t="n">
        <v>0</v>
      </c>
      <c r="R2557" s="2" t="inlineStr"/>
    </row>
    <row r="2558" ht="15" customHeight="1">
      <c r="A2558" t="inlineStr">
        <is>
          <t>A 9755-2022</t>
        </is>
      </c>
      <c r="B2558" s="1" t="n">
        <v>44618</v>
      </c>
      <c r="C2558" s="1" t="n">
        <v>45846</v>
      </c>
      <c r="D2558" t="inlineStr">
        <is>
          <t>UPPSALA LÄN</t>
        </is>
      </c>
      <c r="E2558" t="inlineStr">
        <is>
          <t>ÖSTHAMMAR</t>
        </is>
      </c>
      <c r="F2558" t="inlineStr">
        <is>
          <t>Bergvik skog öst AB</t>
        </is>
      </c>
      <c r="G2558" t="n">
        <v>13.9</v>
      </c>
      <c r="H2558" t="n">
        <v>0</v>
      </c>
      <c r="I2558" t="n">
        <v>0</v>
      </c>
      <c r="J2558" t="n">
        <v>0</v>
      </c>
      <c r="K2558" t="n">
        <v>0</v>
      </c>
      <c r="L2558" t="n">
        <v>0</v>
      </c>
      <c r="M2558" t="n">
        <v>0</v>
      </c>
      <c r="N2558" t="n">
        <v>0</v>
      </c>
      <c r="O2558" t="n">
        <v>0</v>
      </c>
      <c r="P2558" t="n">
        <v>0</v>
      </c>
      <c r="Q2558" t="n">
        <v>0</v>
      </c>
      <c r="R2558" s="2" t="inlineStr"/>
    </row>
    <row r="2559" ht="15" customHeight="1">
      <c r="A2559" t="inlineStr">
        <is>
          <t>A 9794-2022</t>
        </is>
      </c>
      <c r="B2559" s="1" t="n">
        <v>44620</v>
      </c>
      <c r="C2559" s="1" t="n">
        <v>45846</v>
      </c>
      <c r="D2559" t="inlineStr">
        <is>
          <t>UPPSALA LÄN</t>
        </is>
      </c>
      <c r="E2559" t="inlineStr">
        <is>
          <t>HEBY</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9824-2022</t>
        </is>
      </c>
      <c r="B2560" s="1" t="n">
        <v>44620</v>
      </c>
      <c r="C2560" s="1" t="n">
        <v>45846</v>
      </c>
      <c r="D2560" t="inlineStr">
        <is>
          <t>UPPSALA LÄN</t>
        </is>
      </c>
      <c r="E2560" t="inlineStr">
        <is>
          <t>HEBY</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9895-2022</t>
        </is>
      </c>
      <c r="B2561" s="1" t="n">
        <v>44620</v>
      </c>
      <c r="C2561" s="1" t="n">
        <v>45846</v>
      </c>
      <c r="D2561" t="inlineStr">
        <is>
          <t>UPPSALA LÄN</t>
        </is>
      </c>
      <c r="E2561" t="inlineStr">
        <is>
          <t>TIERP</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9789-2022</t>
        </is>
      </c>
      <c r="B2562" s="1" t="n">
        <v>44620</v>
      </c>
      <c r="C2562" s="1" t="n">
        <v>45846</v>
      </c>
      <c r="D2562" t="inlineStr">
        <is>
          <t>UPPSALA LÄN</t>
        </is>
      </c>
      <c r="E2562" t="inlineStr">
        <is>
          <t>ÖSTHAMMAR</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9795-2022</t>
        </is>
      </c>
      <c r="B2563" s="1" t="n">
        <v>44620</v>
      </c>
      <c r="C2563" s="1" t="n">
        <v>45846</v>
      </c>
      <c r="D2563" t="inlineStr">
        <is>
          <t>UPPSALA LÄN</t>
        </is>
      </c>
      <c r="E2563" t="inlineStr">
        <is>
          <t>ÖSTHAMMAR</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9815-2022</t>
        </is>
      </c>
      <c r="B2564" s="1" t="n">
        <v>44620</v>
      </c>
      <c r="C2564" s="1" t="n">
        <v>45846</v>
      </c>
      <c r="D2564" t="inlineStr">
        <is>
          <t>UPPSALA LÄN</t>
        </is>
      </c>
      <c r="E2564" t="inlineStr">
        <is>
          <t>HEBY</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10202-2022</t>
        </is>
      </c>
      <c r="B2565" s="1" t="n">
        <v>44622</v>
      </c>
      <c r="C2565" s="1" t="n">
        <v>45846</v>
      </c>
      <c r="D2565" t="inlineStr">
        <is>
          <t>UPPSALA LÄN</t>
        </is>
      </c>
      <c r="E2565" t="inlineStr">
        <is>
          <t>ENKÖPING</t>
        </is>
      </c>
      <c r="G2565" t="n">
        <v>5.6</v>
      </c>
      <c r="H2565" t="n">
        <v>0</v>
      </c>
      <c r="I2565" t="n">
        <v>0</v>
      </c>
      <c r="J2565" t="n">
        <v>0</v>
      </c>
      <c r="K2565" t="n">
        <v>0</v>
      </c>
      <c r="L2565" t="n">
        <v>0</v>
      </c>
      <c r="M2565" t="n">
        <v>0</v>
      </c>
      <c r="N2565" t="n">
        <v>0</v>
      </c>
      <c r="O2565" t="n">
        <v>0</v>
      </c>
      <c r="P2565" t="n">
        <v>0</v>
      </c>
      <c r="Q2565" t="n">
        <v>0</v>
      </c>
      <c r="R2565" s="2" t="inlineStr"/>
    </row>
    <row r="2566" ht="15" customHeight="1">
      <c r="A2566" t="inlineStr">
        <is>
          <t>A 10207-2022</t>
        </is>
      </c>
      <c r="B2566" s="1" t="n">
        <v>44622</v>
      </c>
      <c r="C2566" s="1" t="n">
        <v>45846</v>
      </c>
      <c r="D2566" t="inlineStr">
        <is>
          <t>UPPSALA LÄN</t>
        </is>
      </c>
      <c r="E2566" t="inlineStr">
        <is>
          <t>ENKÖPING</t>
        </is>
      </c>
      <c r="G2566" t="n">
        <v>4.9</v>
      </c>
      <c r="H2566" t="n">
        <v>0</v>
      </c>
      <c r="I2566" t="n">
        <v>0</v>
      </c>
      <c r="J2566" t="n">
        <v>0</v>
      </c>
      <c r="K2566" t="n">
        <v>0</v>
      </c>
      <c r="L2566" t="n">
        <v>0</v>
      </c>
      <c r="M2566" t="n">
        <v>0</v>
      </c>
      <c r="N2566" t="n">
        <v>0</v>
      </c>
      <c r="O2566" t="n">
        <v>0</v>
      </c>
      <c r="P2566" t="n">
        <v>0</v>
      </c>
      <c r="Q2566" t="n">
        <v>0</v>
      </c>
      <c r="R2566" s="2" t="inlineStr"/>
    </row>
    <row r="2567" ht="15" customHeight="1">
      <c r="A2567" t="inlineStr">
        <is>
          <t>A 10287-2022</t>
        </is>
      </c>
      <c r="B2567" s="1" t="n">
        <v>44622</v>
      </c>
      <c r="C2567" s="1" t="n">
        <v>45846</v>
      </c>
      <c r="D2567" t="inlineStr">
        <is>
          <t>UPPSALA LÄN</t>
        </is>
      </c>
      <c r="E2567" t="inlineStr">
        <is>
          <t>ÖSTHAMMAR</t>
        </is>
      </c>
      <c r="F2567" t="inlineStr">
        <is>
          <t>Bergvik skog öst AB</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10294-2022</t>
        </is>
      </c>
      <c r="B2568" s="1" t="n">
        <v>44622</v>
      </c>
      <c r="C2568" s="1" t="n">
        <v>45846</v>
      </c>
      <c r="D2568" t="inlineStr">
        <is>
          <t>UPPSALA LÄN</t>
        </is>
      </c>
      <c r="E2568" t="inlineStr">
        <is>
          <t>ÖSTHAMMAR</t>
        </is>
      </c>
      <c r="F2568" t="inlineStr">
        <is>
          <t>Bergvik skog öst AB</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10288-2022</t>
        </is>
      </c>
      <c r="B2569" s="1" t="n">
        <v>44622</v>
      </c>
      <c r="C2569" s="1" t="n">
        <v>45846</v>
      </c>
      <c r="D2569" t="inlineStr">
        <is>
          <t>UPPSALA LÄN</t>
        </is>
      </c>
      <c r="E2569" t="inlineStr">
        <is>
          <t>ÖSTHAMMAR</t>
        </is>
      </c>
      <c r="F2569" t="inlineStr">
        <is>
          <t>Bergvik skog öst AB</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10298-2022</t>
        </is>
      </c>
      <c r="B2570" s="1" t="n">
        <v>44622</v>
      </c>
      <c r="C2570" s="1" t="n">
        <v>45846</v>
      </c>
      <c r="D2570" t="inlineStr">
        <is>
          <t>UPPSALA LÄN</t>
        </is>
      </c>
      <c r="E2570" t="inlineStr">
        <is>
          <t>ÖSTHAMMAR</t>
        </is>
      </c>
      <c r="F2570" t="inlineStr">
        <is>
          <t>Bergvik skog öst AB</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10414-2022</t>
        </is>
      </c>
      <c r="B2571" s="1" t="n">
        <v>44623</v>
      </c>
      <c r="C2571" s="1" t="n">
        <v>45846</v>
      </c>
      <c r="D2571" t="inlineStr">
        <is>
          <t>UPPSALA LÄN</t>
        </is>
      </c>
      <c r="E2571" t="inlineStr">
        <is>
          <t>HEBY</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10411-2022</t>
        </is>
      </c>
      <c r="B2572" s="1" t="n">
        <v>44623</v>
      </c>
      <c r="C2572" s="1" t="n">
        <v>45846</v>
      </c>
      <c r="D2572" t="inlineStr">
        <is>
          <t>UPPSALA LÄN</t>
        </is>
      </c>
      <c r="E2572" t="inlineStr">
        <is>
          <t>UPPSALA</t>
        </is>
      </c>
      <c r="F2572" t="inlineStr">
        <is>
          <t>Övriga Aktiebolag</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10447-2022</t>
        </is>
      </c>
      <c r="B2573" s="1" t="n">
        <v>44623</v>
      </c>
      <c r="C2573" s="1" t="n">
        <v>45846</v>
      </c>
      <c r="D2573" t="inlineStr">
        <is>
          <t>UPPSALA LÄN</t>
        </is>
      </c>
      <c r="E2573" t="inlineStr">
        <is>
          <t>HEBY</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10383-2022</t>
        </is>
      </c>
      <c r="B2574" s="1" t="n">
        <v>44623</v>
      </c>
      <c r="C2574" s="1" t="n">
        <v>45846</v>
      </c>
      <c r="D2574" t="inlineStr">
        <is>
          <t>UPPSALA LÄN</t>
        </is>
      </c>
      <c r="E2574" t="inlineStr">
        <is>
          <t>UPPSALA</t>
        </is>
      </c>
      <c r="F2574" t="inlineStr">
        <is>
          <t>Övriga Aktiebolag</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10456-2022</t>
        </is>
      </c>
      <c r="B2575" s="1" t="n">
        <v>44623</v>
      </c>
      <c r="C2575" s="1" t="n">
        <v>45846</v>
      </c>
      <c r="D2575" t="inlineStr">
        <is>
          <t>UPPSALA LÄN</t>
        </is>
      </c>
      <c r="E2575" t="inlineStr">
        <is>
          <t>UPPSALA</t>
        </is>
      </c>
      <c r="F2575" t="inlineStr">
        <is>
          <t>Övriga Aktiebolag</t>
        </is>
      </c>
      <c r="G2575" t="n">
        <v>12.6</v>
      </c>
      <c r="H2575" t="n">
        <v>0</v>
      </c>
      <c r="I2575" t="n">
        <v>0</v>
      </c>
      <c r="J2575" t="n">
        <v>0</v>
      </c>
      <c r="K2575" t="n">
        <v>0</v>
      </c>
      <c r="L2575" t="n">
        <v>0</v>
      </c>
      <c r="M2575" t="n">
        <v>0</v>
      </c>
      <c r="N2575" t="n">
        <v>0</v>
      </c>
      <c r="O2575" t="n">
        <v>0</v>
      </c>
      <c r="P2575" t="n">
        <v>0</v>
      </c>
      <c r="Q2575" t="n">
        <v>0</v>
      </c>
      <c r="R2575" s="2" t="inlineStr"/>
    </row>
    <row r="2576" ht="15" customHeight="1">
      <c r="A2576" t="inlineStr">
        <is>
          <t>A 10458-2022</t>
        </is>
      </c>
      <c r="B2576" s="1" t="n">
        <v>44623</v>
      </c>
      <c r="C2576" s="1" t="n">
        <v>45846</v>
      </c>
      <c r="D2576" t="inlineStr">
        <is>
          <t>UPPSALA LÄN</t>
        </is>
      </c>
      <c r="E2576" t="inlineStr">
        <is>
          <t>ENKÖPING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10465-2022</t>
        </is>
      </c>
      <c r="B2577" s="1" t="n">
        <v>44623</v>
      </c>
      <c r="C2577" s="1" t="n">
        <v>45846</v>
      </c>
      <c r="D2577" t="inlineStr">
        <is>
          <t>UPPSALA LÄN</t>
        </is>
      </c>
      <c r="E2577" t="inlineStr">
        <is>
          <t>ENKÖPING</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10464-2022</t>
        </is>
      </c>
      <c r="B2578" s="1" t="n">
        <v>44623</v>
      </c>
      <c r="C2578" s="1" t="n">
        <v>45846</v>
      </c>
      <c r="D2578" t="inlineStr">
        <is>
          <t>UPPSALA LÄN</t>
        </is>
      </c>
      <c r="E2578" t="inlineStr">
        <is>
          <t>UPPSALA</t>
        </is>
      </c>
      <c r="F2578" t="inlineStr">
        <is>
          <t>Övriga Aktiebolag</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10645-2022</t>
        </is>
      </c>
      <c r="B2579" s="1" t="n">
        <v>44624</v>
      </c>
      <c r="C2579" s="1" t="n">
        <v>45846</v>
      </c>
      <c r="D2579" t="inlineStr">
        <is>
          <t>UPPSALA LÄN</t>
        </is>
      </c>
      <c r="E2579" t="inlineStr">
        <is>
          <t>HEBY</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10565-2022</t>
        </is>
      </c>
      <c r="B2580" s="1" t="n">
        <v>44624</v>
      </c>
      <c r="C2580" s="1" t="n">
        <v>45846</v>
      </c>
      <c r="D2580" t="inlineStr">
        <is>
          <t>UPPSALA LÄN</t>
        </is>
      </c>
      <c r="E2580" t="inlineStr">
        <is>
          <t>UPPSALA</t>
        </is>
      </c>
      <c r="F2580" t="inlineStr">
        <is>
          <t>Bergvik skog öst AB</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10646-2022</t>
        </is>
      </c>
      <c r="B2581" s="1" t="n">
        <v>44624</v>
      </c>
      <c r="C2581" s="1" t="n">
        <v>45846</v>
      </c>
      <c r="D2581" t="inlineStr">
        <is>
          <t>UPPSALA LÄN</t>
        </is>
      </c>
      <c r="E2581" t="inlineStr">
        <is>
          <t>HEBY</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10674-2022</t>
        </is>
      </c>
      <c r="B2582" s="1" t="n">
        <v>44624</v>
      </c>
      <c r="C2582" s="1" t="n">
        <v>45846</v>
      </c>
      <c r="D2582" t="inlineStr">
        <is>
          <t>UPPSALA LÄN</t>
        </is>
      </c>
      <c r="E2582" t="inlineStr">
        <is>
          <t>UPPSALA</t>
        </is>
      </c>
      <c r="F2582" t="inlineStr">
        <is>
          <t>Bergvik skog öst AB</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10783-2022</t>
        </is>
      </c>
      <c r="B2583" s="1" t="n">
        <v>44627</v>
      </c>
      <c r="C2583" s="1" t="n">
        <v>45846</v>
      </c>
      <c r="D2583" t="inlineStr">
        <is>
          <t>UPPSALA LÄN</t>
        </is>
      </c>
      <c r="E2583" t="inlineStr">
        <is>
          <t>TIERP</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10780-2022</t>
        </is>
      </c>
      <c r="B2584" s="1" t="n">
        <v>44627</v>
      </c>
      <c r="C2584" s="1" t="n">
        <v>45846</v>
      </c>
      <c r="D2584" t="inlineStr">
        <is>
          <t>UPPSALA LÄN</t>
        </is>
      </c>
      <c r="E2584" t="inlineStr">
        <is>
          <t>TIERP</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10785-2022</t>
        </is>
      </c>
      <c r="B2585" s="1" t="n">
        <v>44627</v>
      </c>
      <c r="C2585" s="1" t="n">
        <v>45846</v>
      </c>
      <c r="D2585" t="inlineStr">
        <is>
          <t>UPPSALA LÄN</t>
        </is>
      </c>
      <c r="E2585" t="inlineStr">
        <is>
          <t>TIERP</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10777-2022</t>
        </is>
      </c>
      <c r="B2586" s="1" t="n">
        <v>44627</v>
      </c>
      <c r="C2586" s="1" t="n">
        <v>45846</v>
      </c>
      <c r="D2586" t="inlineStr">
        <is>
          <t>UPPSALA LÄN</t>
        </is>
      </c>
      <c r="E2586" t="inlineStr">
        <is>
          <t>TIERP</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10980-2022</t>
        </is>
      </c>
      <c r="B2587" s="1" t="n">
        <v>44628</v>
      </c>
      <c r="C2587" s="1" t="n">
        <v>45846</v>
      </c>
      <c r="D2587" t="inlineStr">
        <is>
          <t>UPPSALA LÄN</t>
        </is>
      </c>
      <c r="E2587" t="inlineStr">
        <is>
          <t>ÖSTHAMMAR</t>
        </is>
      </c>
      <c r="G2587" t="n">
        <v>7.4</v>
      </c>
      <c r="H2587" t="n">
        <v>0</v>
      </c>
      <c r="I2587" t="n">
        <v>0</v>
      </c>
      <c r="J2587" t="n">
        <v>0</v>
      </c>
      <c r="K2587" t="n">
        <v>0</v>
      </c>
      <c r="L2587" t="n">
        <v>0</v>
      </c>
      <c r="M2587" t="n">
        <v>0</v>
      </c>
      <c r="N2587" t="n">
        <v>0</v>
      </c>
      <c r="O2587" t="n">
        <v>0</v>
      </c>
      <c r="P2587" t="n">
        <v>0</v>
      </c>
      <c r="Q2587" t="n">
        <v>0</v>
      </c>
      <c r="R2587" s="2" t="inlineStr"/>
    </row>
    <row r="2588" ht="15" customHeight="1">
      <c r="A2588" t="inlineStr">
        <is>
          <t>A 11162-2022</t>
        </is>
      </c>
      <c r="B2588" s="1" t="n">
        <v>44629</v>
      </c>
      <c r="C2588" s="1" t="n">
        <v>45846</v>
      </c>
      <c r="D2588" t="inlineStr">
        <is>
          <t>UPPSALA LÄN</t>
        </is>
      </c>
      <c r="E2588" t="inlineStr">
        <is>
          <t>UPPSALA</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11224-2022</t>
        </is>
      </c>
      <c r="B2589" s="1" t="n">
        <v>44629</v>
      </c>
      <c r="C2589" s="1" t="n">
        <v>45846</v>
      </c>
      <c r="D2589" t="inlineStr">
        <is>
          <t>UPPSALA LÄN</t>
        </is>
      </c>
      <c r="E2589" t="inlineStr">
        <is>
          <t>UPPSALA</t>
        </is>
      </c>
      <c r="F2589" t="inlineStr">
        <is>
          <t>Bergvik skog öst AB</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11547-2022</t>
        </is>
      </c>
      <c r="B2590" s="1" t="n">
        <v>44631</v>
      </c>
      <c r="C2590" s="1" t="n">
        <v>45846</v>
      </c>
      <c r="D2590" t="inlineStr">
        <is>
          <t>UPPSALA LÄN</t>
        </is>
      </c>
      <c r="E2590" t="inlineStr">
        <is>
          <t>ÖSTHAMMAR</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11529-2022</t>
        </is>
      </c>
      <c r="B2591" s="1" t="n">
        <v>44631</v>
      </c>
      <c r="C2591" s="1" t="n">
        <v>45846</v>
      </c>
      <c r="D2591" t="inlineStr">
        <is>
          <t>UPPSALA LÄN</t>
        </is>
      </c>
      <c r="E2591" t="inlineStr">
        <is>
          <t>TIERP</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11496-2022</t>
        </is>
      </c>
      <c r="B2592" s="1" t="n">
        <v>44631</v>
      </c>
      <c r="C2592" s="1" t="n">
        <v>45846</v>
      </c>
      <c r="D2592" t="inlineStr">
        <is>
          <t>UPPSALA LÄN</t>
        </is>
      </c>
      <c r="E2592" t="inlineStr">
        <is>
          <t>TIERP</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11643-2022</t>
        </is>
      </c>
      <c r="B2593" s="1" t="n">
        <v>44631</v>
      </c>
      <c r="C2593" s="1" t="n">
        <v>45846</v>
      </c>
      <c r="D2593" t="inlineStr">
        <is>
          <t>UPPSALA LÄN</t>
        </is>
      </c>
      <c r="E2593" t="inlineStr">
        <is>
          <t>ÖSTHAMMAR</t>
        </is>
      </c>
      <c r="F2593" t="inlineStr">
        <is>
          <t>Bergvik skog öst AB</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11787-2022</t>
        </is>
      </c>
      <c r="B2594" s="1" t="n">
        <v>44634</v>
      </c>
      <c r="C2594" s="1" t="n">
        <v>45846</v>
      </c>
      <c r="D2594" t="inlineStr">
        <is>
          <t>UPPSALA LÄN</t>
        </is>
      </c>
      <c r="E2594" t="inlineStr">
        <is>
          <t>UPPSALA</t>
        </is>
      </c>
      <c r="F2594" t="inlineStr">
        <is>
          <t>Holmen skog AB</t>
        </is>
      </c>
      <c r="G2594" t="n">
        <v>6.2</v>
      </c>
      <c r="H2594" t="n">
        <v>0</v>
      </c>
      <c r="I2594" t="n">
        <v>0</v>
      </c>
      <c r="J2594" t="n">
        <v>0</v>
      </c>
      <c r="K2594" t="n">
        <v>0</v>
      </c>
      <c r="L2594" t="n">
        <v>0</v>
      </c>
      <c r="M2594" t="n">
        <v>0</v>
      </c>
      <c r="N2594" t="n">
        <v>0</v>
      </c>
      <c r="O2594" t="n">
        <v>0</v>
      </c>
      <c r="P2594" t="n">
        <v>0</v>
      </c>
      <c r="Q2594" t="n">
        <v>0</v>
      </c>
      <c r="R2594" s="2" t="inlineStr"/>
    </row>
    <row r="2595" ht="15" customHeight="1">
      <c r="A2595" t="inlineStr">
        <is>
          <t>A 11824-2022</t>
        </is>
      </c>
      <c r="B2595" s="1" t="n">
        <v>44634</v>
      </c>
      <c r="C2595" s="1" t="n">
        <v>45846</v>
      </c>
      <c r="D2595" t="inlineStr">
        <is>
          <t>UPPSALA LÄN</t>
        </is>
      </c>
      <c r="E2595" t="inlineStr">
        <is>
          <t>TIERP</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11693-2022</t>
        </is>
      </c>
      <c r="B2596" s="1" t="n">
        <v>44634</v>
      </c>
      <c r="C2596" s="1" t="n">
        <v>45846</v>
      </c>
      <c r="D2596" t="inlineStr">
        <is>
          <t>UPPSALA LÄN</t>
        </is>
      </c>
      <c r="E2596" t="inlineStr">
        <is>
          <t>UPPSALA</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11884-2022</t>
        </is>
      </c>
      <c r="B2597" s="1" t="n">
        <v>44635</v>
      </c>
      <c r="C2597" s="1" t="n">
        <v>45846</v>
      </c>
      <c r="D2597" t="inlineStr">
        <is>
          <t>UPPSALA LÄN</t>
        </is>
      </c>
      <c r="E2597" t="inlineStr">
        <is>
          <t>ÖSTHAMMAR</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11987-2022</t>
        </is>
      </c>
      <c r="B2598" s="1" t="n">
        <v>44635</v>
      </c>
      <c r="C2598" s="1" t="n">
        <v>45846</v>
      </c>
      <c r="D2598" t="inlineStr">
        <is>
          <t>UPPSALA LÄN</t>
        </is>
      </c>
      <c r="E2598" t="inlineStr">
        <is>
          <t>ÖSTHAMMAR</t>
        </is>
      </c>
      <c r="F2598" t="inlineStr">
        <is>
          <t>Bergvik skog öst AB</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11986-2022</t>
        </is>
      </c>
      <c r="B2599" s="1" t="n">
        <v>44635</v>
      </c>
      <c r="C2599" s="1" t="n">
        <v>45846</v>
      </c>
      <c r="D2599" t="inlineStr">
        <is>
          <t>UPPSALA LÄN</t>
        </is>
      </c>
      <c r="E2599" t="inlineStr">
        <is>
          <t>ÖSTHAMMAR</t>
        </is>
      </c>
      <c r="F2599" t="inlineStr">
        <is>
          <t>Bergvik skog öst AB</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12176-2022</t>
        </is>
      </c>
      <c r="B2600" s="1" t="n">
        <v>44636</v>
      </c>
      <c r="C2600" s="1" t="n">
        <v>45846</v>
      </c>
      <c r="D2600" t="inlineStr">
        <is>
          <t>UPPSALA LÄN</t>
        </is>
      </c>
      <c r="E2600" t="inlineStr">
        <is>
          <t>ÖSTHAMMAR</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12189-2022</t>
        </is>
      </c>
      <c r="B2601" s="1" t="n">
        <v>44636</v>
      </c>
      <c r="C2601" s="1" t="n">
        <v>45846</v>
      </c>
      <c r="D2601" t="inlineStr">
        <is>
          <t>UPPSALA LÄN</t>
        </is>
      </c>
      <c r="E2601" t="inlineStr">
        <is>
          <t>TIERP</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12194-2022</t>
        </is>
      </c>
      <c r="B2602" s="1" t="n">
        <v>44636</v>
      </c>
      <c r="C2602" s="1" t="n">
        <v>45846</v>
      </c>
      <c r="D2602" t="inlineStr">
        <is>
          <t>UPPSALA LÄN</t>
        </is>
      </c>
      <c r="E2602" t="inlineStr">
        <is>
          <t>TIERP</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12221-2022</t>
        </is>
      </c>
      <c r="B2603" s="1" t="n">
        <v>44637</v>
      </c>
      <c r="C2603" s="1" t="n">
        <v>45846</v>
      </c>
      <c r="D2603" t="inlineStr">
        <is>
          <t>UPPSALA LÄN</t>
        </is>
      </c>
      <c r="E2603" t="inlineStr">
        <is>
          <t>UPPSALA</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12293-2022</t>
        </is>
      </c>
      <c r="B2604" s="1" t="n">
        <v>44637</v>
      </c>
      <c r="C2604" s="1" t="n">
        <v>45846</v>
      </c>
      <c r="D2604" t="inlineStr">
        <is>
          <t>UPPSALA LÄN</t>
        </is>
      </c>
      <c r="E2604" t="inlineStr">
        <is>
          <t>UPPSALA</t>
        </is>
      </c>
      <c r="F2604" t="inlineStr">
        <is>
          <t>Kommuner</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12449-2022</t>
        </is>
      </c>
      <c r="B2605" s="1" t="n">
        <v>44638</v>
      </c>
      <c r="C2605" s="1" t="n">
        <v>45846</v>
      </c>
      <c r="D2605" t="inlineStr">
        <is>
          <t>UPPSALA LÄN</t>
        </is>
      </c>
      <c r="E2605" t="inlineStr">
        <is>
          <t>TIERP</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12624-2022</t>
        </is>
      </c>
      <c r="B2606" s="1" t="n">
        <v>44641</v>
      </c>
      <c r="C2606" s="1" t="n">
        <v>45846</v>
      </c>
      <c r="D2606" t="inlineStr">
        <is>
          <t>UPPSALA LÄN</t>
        </is>
      </c>
      <c r="E2606" t="inlineStr">
        <is>
          <t>TIERP</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13009-2022</t>
        </is>
      </c>
      <c r="B2607" s="1" t="n">
        <v>44643</v>
      </c>
      <c r="C2607" s="1" t="n">
        <v>45846</v>
      </c>
      <c r="D2607" t="inlineStr">
        <is>
          <t>UPPSALA LÄN</t>
        </is>
      </c>
      <c r="E2607" t="inlineStr">
        <is>
          <t>UPPSALA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12999-2022</t>
        </is>
      </c>
      <c r="B2608" s="1" t="n">
        <v>44643</v>
      </c>
      <c r="C2608" s="1" t="n">
        <v>45846</v>
      </c>
      <c r="D2608" t="inlineStr">
        <is>
          <t>UPPSALA LÄN</t>
        </is>
      </c>
      <c r="E2608" t="inlineStr">
        <is>
          <t>ÖSTHAMMAR</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13044-2022</t>
        </is>
      </c>
      <c r="B2609" s="1" t="n">
        <v>44643</v>
      </c>
      <c r="C2609" s="1" t="n">
        <v>45846</v>
      </c>
      <c r="D2609" t="inlineStr">
        <is>
          <t>UPPSALA LÄN</t>
        </is>
      </c>
      <c r="E2609" t="inlineStr">
        <is>
          <t>ÖSTHAMMAR</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13093-2022</t>
        </is>
      </c>
      <c r="B2610" s="1" t="n">
        <v>44643</v>
      </c>
      <c r="C2610" s="1" t="n">
        <v>45846</v>
      </c>
      <c r="D2610" t="inlineStr">
        <is>
          <t>UPPSALA LÄN</t>
        </is>
      </c>
      <c r="E2610" t="inlineStr">
        <is>
          <t>ÖSTHAMMAR</t>
        </is>
      </c>
      <c r="F2610" t="inlineStr">
        <is>
          <t>Bergvik skog öst AB</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13134-2022</t>
        </is>
      </c>
      <c r="B2611" s="1" t="n">
        <v>44644</v>
      </c>
      <c r="C2611" s="1" t="n">
        <v>45846</v>
      </c>
      <c r="D2611" t="inlineStr">
        <is>
          <t>UPPSALA LÄN</t>
        </is>
      </c>
      <c r="E2611" t="inlineStr">
        <is>
          <t>UPPSALA</t>
        </is>
      </c>
      <c r="F2611" t="inlineStr">
        <is>
          <t>Övriga Aktiebolag</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13237-2022</t>
        </is>
      </c>
      <c r="B2612" s="1" t="n">
        <v>44644</v>
      </c>
      <c r="C2612" s="1" t="n">
        <v>45846</v>
      </c>
      <c r="D2612" t="inlineStr">
        <is>
          <t>UPPSALA LÄN</t>
        </is>
      </c>
      <c r="E2612" t="inlineStr">
        <is>
          <t>TIERP</t>
        </is>
      </c>
      <c r="G2612" t="n">
        <v>7.8</v>
      </c>
      <c r="H2612" t="n">
        <v>0</v>
      </c>
      <c r="I2612" t="n">
        <v>0</v>
      </c>
      <c r="J2612" t="n">
        <v>0</v>
      </c>
      <c r="K2612" t="n">
        <v>0</v>
      </c>
      <c r="L2612" t="n">
        <v>0</v>
      </c>
      <c r="M2612" t="n">
        <v>0</v>
      </c>
      <c r="N2612" t="n">
        <v>0</v>
      </c>
      <c r="O2612" t="n">
        <v>0</v>
      </c>
      <c r="P2612" t="n">
        <v>0</v>
      </c>
      <c r="Q2612" t="n">
        <v>0</v>
      </c>
      <c r="R2612" s="2" t="inlineStr"/>
    </row>
    <row r="2613" ht="15" customHeight="1">
      <c r="A2613" t="inlineStr">
        <is>
          <t>A 13213-2022</t>
        </is>
      </c>
      <c r="B2613" s="1" t="n">
        <v>44644</v>
      </c>
      <c r="C2613" s="1" t="n">
        <v>45846</v>
      </c>
      <c r="D2613" t="inlineStr">
        <is>
          <t>UPPSALA LÄN</t>
        </is>
      </c>
      <c r="E2613" t="inlineStr">
        <is>
          <t>HEBY</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13243-2022</t>
        </is>
      </c>
      <c r="B2614" s="1" t="n">
        <v>44644</v>
      </c>
      <c r="C2614" s="1" t="n">
        <v>45846</v>
      </c>
      <c r="D2614" t="inlineStr">
        <is>
          <t>UPPSALA LÄN</t>
        </is>
      </c>
      <c r="E2614" t="inlineStr">
        <is>
          <t>HEBY</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13128-2022</t>
        </is>
      </c>
      <c r="B2615" s="1" t="n">
        <v>44644</v>
      </c>
      <c r="C2615" s="1" t="n">
        <v>45846</v>
      </c>
      <c r="D2615" t="inlineStr">
        <is>
          <t>UPPSALA LÄN</t>
        </is>
      </c>
      <c r="E2615" t="inlineStr">
        <is>
          <t>UPPSALA</t>
        </is>
      </c>
      <c r="F2615" t="inlineStr">
        <is>
          <t>Övriga Aktiebolag</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13238-2022</t>
        </is>
      </c>
      <c r="B2616" s="1" t="n">
        <v>44644</v>
      </c>
      <c r="C2616" s="1" t="n">
        <v>45846</v>
      </c>
      <c r="D2616" t="inlineStr">
        <is>
          <t>UPPSALA LÄN</t>
        </is>
      </c>
      <c r="E2616" t="inlineStr">
        <is>
          <t>ÖSTHAMMAR</t>
        </is>
      </c>
      <c r="G2616" t="n">
        <v>6.5</v>
      </c>
      <c r="H2616" t="n">
        <v>0</v>
      </c>
      <c r="I2616" t="n">
        <v>0</v>
      </c>
      <c r="J2616" t="n">
        <v>0</v>
      </c>
      <c r="K2616" t="n">
        <v>0</v>
      </c>
      <c r="L2616" t="n">
        <v>0</v>
      </c>
      <c r="M2616" t="n">
        <v>0</v>
      </c>
      <c r="N2616" t="n">
        <v>0</v>
      </c>
      <c r="O2616" t="n">
        <v>0</v>
      </c>
      <c r="P2616" t="n">
        <v>0</v>
      </c>
      <c r="Q2616" t="n">
        <v>0</v>
      </c>
      <c r="R2616" s="2" t="inlineStr"/>
    </row>
    <row r="2617" ht="15" customHeight="1">
      <c r="A2617" t="inlineStr">
        <is>
          <t>A 13279-2022</t>
        </is>
      </c>
      <c r="B2617" s="1" t="n">
        <v>44644</v>
      </c>
      <c r="C2617" s="1" t="n">
        <v>45846</v>
      </c>
      <c r="D2617" t="inlineStr">
        <is>
          <t>UPPSALA LÄN</t>
        </is>
      </c>
      <c r="E2617" t="inlineStr">
        <is>
          <t>ÖSTHAMMAR</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13386-2022</t>
        </is>
      </c>
      <c r="B2618" s="1" t="n">
        <v>44645</v>
      </c>
      <c r="C2618" s="1" t="n">
        <v>45846</v>
      </c>
      <c r="D2618" t="inlineStr">
        <is>
          <t>UPPSALA LÄN</t>
        </is>
      </c>
      <c r="E2618" t="inlineStr">
        <is>
          <t>UPPSALA</t>
        </is>
      </c>
      <c r="G2618" t="n">
        <v>8.699999999999999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13343-2022</t>
        </is>
      </c>
      <c r="B2619" s="1" t="n">
        <v>44645</v>
      </c>
      <c r="C2619" s="1" t="n">
        <v>45846</v>
      </c>
      <c r="D2619" t="inlineStr">
        <is>
          <t>UPPSALA LÄN</t>
        </is>
      </c>
      <c r="E2619" t="inlineStr">
        <is>
          <t>UPPSALA</t>
        </is>
      </c>
      <c r="F2619" t="inlineStr">
        <is>
          <t>Övriga Aktiebolag</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13656-2022</t>
        </is>
      </c>
      <c r="B2620" s="1" t="n">
        <v>44648</v>
      </c>
      <c r="C2620" s="1" t="n">
        <v>45846</v>
      </c>
      <c r="D2620" t="inlineStr">
        <is>
          <t>UPPSALA LÄN</t>
        </is>
      </c>
      <c r="E2620" t="inlineStr">
        <is>
          <t>TIERP</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13650-2022</t>
        </is>
      </c>
      <c r="B2621" s="1" t="n">
        <v>44648</v>
      </c>
      <c r="C2621" s="1" t="n">
        <v>45846</v>
      </c>
      <c r="D2621" t="inlineStr">
        <is>
          <t>UPPSALA LÄN</t>
        </is>
      </c>
      <c r="E2621" t="inlineStr">
        <is>
          <t>TIERP</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13892-2022</t>
        </is>
      </c>
      <c r="B2622" s="1" t="n">
        <v>44649</v>
      </c>
      <c r="C2622" s="1" t="n">
        <v>45846</v>
      </c>
      <c r="D2622" t="inlineStr">
        <is>
          <t>UPPSALA LÄN</t>
        </is>
      </c>
      <c r="E2622" t="inlineStr">
        <is>
          <t>UPPSALA</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13867-2022</t>
        </is>
      </c>
      <c r="B2623" s="1" t="n">
        <v>44649</v>
      </c>
      <c r="C2623" s="1" t="n">
        <v>45846</v>
      </c>
      <c r="D2623" t="inlineStr">
        <is>
          <t>UPPSALA LÄN</t>
        </is>
      </c>
      <c r="E2623" t="inlineStr">
        <is>
          <t>ÖSTHAMMAR</t>
        </is>
      </c>
      <c r="F2623" t="inlineStr">
        <is>
          <t>Bergvik skog öst AB</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13901-2022</t>
        </is>
      </c>
      <c r="B2624" s="1" t="n">
        <v>44649</v>
      </c>
      <c r="C2624" s="1" t="n">
        <v>45846</v>
      </c>
      <c r="D2624" t="inlineStr">
        <is>
          <t>UPPSALA LÄN</t>
        </is>
      </c>
      <c r="E2624" t="inlineStr">
        <is>
          <t>UPPSALA</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13988-2022</t>
        </is>
      </c>
      <c r="B2625" s="1" t="n">
        <v>44650</v>
      </c>
      <c r="C2625" s="1" t="n">
        <v>45846</v>
      </c>
      <c r="D2625" t="inlineStr">
        <is>
          <t>UPPSALA LÄN</t>
        </is>
      </c>
      <c r="E2625" t="inlineStr">
        <is>
          <t>HEBY</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14008-2022</t>
        </is>
      </c>
      <c r="B2626" s="1" t="n">
        <v>44650</v>
      </c>
      <c r="C2626" s="1" t="n">
        <v>45846</v>
      </c>
      <c r="D2626" t="inlineStr">
        <is>
          <t>UPPSALA LÄN</t>
        </is>
      </c>
      <c r="E2626" t="inlineStr">
        <is>
          <t>HEBY</t>
        </is>
      </c>
      <c r="F2626" t="inlineStr">
        <is>
          <t>Bergvik skog öst AB</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14272-2022</t>
        </is>
      </c>
      <c r="B2627" s="1" t="n">
        <v>44651</v>
      </c>
      <c r="C2627" s="1" t="n">
        <v>45846</v>
      </c>
      <c r="D2627" t="inlineStr">
        <is>
          <t>UPPSALA LÄN</t>
        </is>
      </c>
      <c r="E2627" t="inlineStr">
        <is>
          <t>ÖSTHAMMAR</t>
        </is>
      </c>
      <c r="F2627" t="inlineStr">
        <is>
          <t>Bergvik skog öst AB</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14124-2022</t>
        </is>
      </c>
      <c r="B2628" s="1" t="n">
        <v>44651</v>
      </c>
      <c r="C2628" s="1" t="n">
        <v>45846</v>
      </c>
      <c r="D2628" t="inlineStr">
        <is>
          <t>UPPSALA LÄN</t>
        </is>
      </c>
      <c r="E2628" t="inlineStr">
        <is>
          <t>ÖSTHAMMAR</t>
        </is>
      </c>
      <c r="F2628" t="inlineStr">
        <is>
          <t>Bergvik skog öst AB</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14187-2022</t>
        </is>
      </c>
      <c r="B2629" s="1" t="n">
        <v>44651</v>
      </c>
      <c r="C2629" s="1" t="n">
        <v>45846</v>
      </c>
      <c r="D2629" t="inlineStr">
        <is>
          <t>UPPSALA LÄN</t>
        </is>
      </c>
      <c r="E2629" t="inlineStr">
        <is>
          <t>ÖSTHAMMAR</t>
        </is>
      </c>
      <c r="F2629" t="inlineStr">
        <is>
          <t>Övriga Aktiebolag</t>
        </is>
      </c>
      <c r="G2629" t="n">
        <v>14.1</v>
      </c>
      <c r="H2629" t="n">
        <v>0</v>
      </c>
      <c r="I2629" t="n">
        <v>0</v>
      </c>
      <c r="J2629" t="n">
        <v>0</v>
      </c>
      <c r="K2629" t="n">
        <v>0</v>
      </c>
      <c r="L2629" t="n">
        <v>0</v>
      </c>
      <c r="M2629" t="n">
        <v>0</v>
      </c>
      <c r="N2629" t="n">
        <v>0</v>
      </c>
      <c r="O2629" t="n">
        <v>0</v>
      </c>
      <c r="P2629" t="n">
        <v>0</v>
      </c>
      <c r="Q2629" t="n">
        <v>0</v>
      </c>
      <c r="R2629" s="2" t="inlineStr"/>
    </row>
    <row r="2630" ht="15" customHeight="1">
      <c r="A2630" t="inlineStr">
        <is>
          <t>A 14271-2022</t>
        </is>
      </c>
      <c r="B2630" s="1" t="n">
        <v>44651</v>
      </c>
      <c r="C2630" s="1" t="n">
        <v>45846</v>
      </c>
      <c r="D2630" t="inlineStr">
        <is>
          <t>UPPSALA LÄN</t>
        </is>
      </c>
      <c r="E2630" t="inlineStr">
        <is>
          <t>ÖSTHAMMAR</t>
        </is>
      </c>
      <c r="F2630" t="inlineStr">
        <is>
          <t>Bergvik skog öst AB</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14337-2022</t>
        </is>
      </c>
      <c r="B2631" s="1" t="n">
        <v>44652</v>
      </c>
      <c r="C2631" s="1" t="n">
        <v>45846</v>
      </c>
      <c r="D2631" t="inlineStr">
        <is>
          <t>UPPSALA LÄN</t>
        </is>
      </c>
      <c r="E2631" t="inlineStr">
        <is>
          <t>UPPSALA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14355-2022</t>
        </is>
      </c>
      <c r="B2632" s="1" t="n">
        <v>44652</v>
      </c>
      <c r="C2632" s="1" t="n">
        <v>45846</v>
      </c>
      <c r="D2632" t="inlineStr">
        <is>
          <t>UPPSALA LÄN</t>
        </is>
      </c>
      <c r="E2632" t="inlineStr">
        <is>
          <t>UPPSALA</t>
        </is>
      </c>
      <c r="F2632" t="inlineStr">
        <is>
          <t>Bergvik skog öst AB</t>
        </is>
      </c>
      <c r="G2632" t="n">
        <v>7.8</v>
      </c>
      <c r="H2632" t="n">
        <v>0</v>
      </c>
      <c r="I2632" t="n">
        <v>0</v>
      </c>
      <c r="J2632" t="n">
        <v>0</v>
      </c>
      <c r="K2632" t="n">
        <v>0</v>
      </c>
      <c r="L2632" t="n">
        <v>0</v>
      </c>
      <c r="M2632" t="n">
        <v>0</v>
      </c>
      <c r="N2632" t="n">
        <v>0</v>
      </c>
      <c r="O2632" t="n">
        <v>0</v>
      </c>
      <c r="P2632" t="n">
        <v>0</v>
      </c>
      <c r="Q2632" t="n">
        <v>0</v>
      </c>
      <c r="R2632" s="2" t="inlineStr"/>
    </row>
    <row r="2633" ht="15" customHeight="1">
      <c r="A2633" t="inlineStr">
        <is>
          <t>A 14340-2022</t>
        </is>
      </c>
      <c r="B2633" s="1" t="n">
        <v>44652</v>
      </c>
      <c r="C2633" s="1" t="n">
        <v>45846</v>
      </c>
      <c r="D2633" t="inlineStr">
        <is>
          <t>UPPSALA LÄN</t>
        </is>
      </c>
      <c r="E2633" t="inlineStr">
        <is>
          <t>UPPSALA</t>
        </is>
      </c>
      <c r="F2633" t="inlineStr">
        <is>
          <t>Bergvik skog öst AB</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14531-2022</t>
        </is>
      </c>
      <c r="B2634" s="1" t="n">
        <v>44655</v>
      </c>
      <c r="C2634" s="1" t="n">
        <v>45846</v>
      </c>
      <c r="D2634" t="inlineStr">
        <is>
          <t>UPPSALA LÄN</t>
        </is>
      </c>
      <c r="E2634" t="inlineStr">
        <is>
          <t>ENKÖPING</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14603-2022</t>
        </is>
      </c>
      <c r="B2635" s="1" t="n">
        <v>44655</v>
      </c>
      <c r="C2635" s="1" t="n">
        <v>45846</v>
      </c>
      <c r="D2635" t="inlineStr">
        <is>
          <t>UPPSALA LÄN</t>
        </is>
      </c>
      <c r="E2635" t="inlineStr">
        <is>
          <t>HEBY</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14602-2022</t>
        </is>
      </c>
      <c r="B2636" s="1" t="n">
        <v>44655</v>
      </c>
      <c r="C2636" s="1" t="n">
        <v>45846</v>
      </c>
      <c r="D2636" t="inlineStr">
        <is>
          <t>UPPSALA LÄN</t>
        </is>
      </c>
      <c r="E2636" t="inlineStr">
        <is>
          <t>HEBY</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14622-2022</t>
        </is>
      </c>
      <c r="B2637" s="1" t="n">
        <v>44655</v>
      </c>
      <c r="C2637" s="1" t="n">
        <v>45846</v>
      </c>
      <c r="D2637" t="inlineStr">
        <is>
          <t>UPPSALA LÄN</t>
        </is>
      </c>
      <c r="E2637" t="inlineStr">
        <is>
          <t>UPPSALA</t>
        </is>
      </c>
      <c r="F2637" t="inlineStr">
        <is>
          <t>Övriga Aktiebolag</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14671-2022</t>
        </is>
      </c>
      <c r="B2638" s="1" t="n">
        <v>44655</v>
      </c>
      <c r="C2638" s="1" t="n">
        <v>45846</v>
      </c>
      <c r="D2638" t="inlineStr">
        <is>
          <t>UPPSALA LÄN</t>
        </is>
      </c>
      <c r="E2638" t="inlineStr">
        <is>
          <t>ÖSTHAMMAR</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14860-2022</t>
        </is>
      </c>
      <c r="B2639" s="1" t="n">
        <v>44656</v>
      </c>
      <c r="C2639" s="1" t="n">
        <v>45846</v>
      </c>
      <c r="D2639" t="inlineStr">
        <is>
          <t>UPPSALA LÄN</t>
        </is>
      </c>
      <c r="E2639" t="inlineStr">
        <is>
          <t>TIERP</t>
        </is>
      </c>
      <c r="F2639" t="inlineStr">
        <is>
          <t>Bergvik skog öst AB</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15064-2022</t>
        </is>
      </c>
      <c r="B2640" s="1" t="n">
        <v>44657</v>
      </c>
      <c r="C2640" s="1" t="n">
        <v>45846</v>
      </c>
      <c r="D2640" t="inlineStr">
        <is>
          <t>UPPSALA LÄN</t>
        </is>
      </c>
      <c r="E2640" t="inlineStr">
        <is>
          <t>ÖSTHAMMAR</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15021-2022</t>
        </is>
      </c>
      <c r="B2641" s="1" t="n">
        <v>44657</v>
      </c>
      <c r="C2641" s="1" t="n">
        <v>45846</v>
      </c>
      <c r="D2641" t="inlineStr">
        <is>
          <t>UPPSALA LÄN</t>
        </is>
      </c>
      <c r="E2641" t="inlineStr">
        <is>
          <t>ENKÖPING</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15311-2022</t>
        </is>
      </c>
      <c r="B2642" s="1" t="n">
        <v>44659</v>
      </c>
      <c r="C2642" s="1" t="n">
        <v>45846</v>
      </c>
      <c r="D2642" t="inlineStr">
        <is>
          <t>UPPSALA LÄN</t>
        </is>
      </c>
      <c r="E2642" t="inlineStr">
        <is>
          <t>ÖSTHAMMAR</t>
        </is>
      </c>
      <c r="G2642" t="n">
        <v>5.5</v>
      </c>
      <c r="H2642" t="n">
        <v>0</v>
      </c>
      <c r="I2642" t="n">
        <v>0</v>
      </c>
      <c r="J2642" t="n">
        <v>0</v>
      </c>
      <c r="K2642" t="n">
        <v>0</v>
      </c>
      <c r="L2642" t="n">
        <v>0</v>
      </c>
      <c r="M2642" t="n">
        <v>0</v>
      </c>
      <c r="N2642" t="n">
        <v>0</v>
      </c>
      <c r="O2642" t="n">
        <v>0</v>
      </c>
      <c r="P2642" t="n">
        <v>0</v>
      </c>
      <c r="Q2642" t="n">
        <v>0</v>
      </c>
      <c r="R2642" s="2" t="inlineStr"/>
    </row>
    <row r="2643" ht="15" customHeight="1">
      <c r="A2643" t="inlineStr">
        <is>
          <t>A 15326-2022</t>
        </is>
      </c>
      <c r="B2643" s="1" t="n">
        <v>44659</v>
      </c>
      <c r="C2643" s="1" t="n">
        <v>45846</v>
      </c>
      <c r="D2643" t="inlineStr">
        <is>
          <t>UPPSALA LÄN</t>
        </is>
      </c>
      <c r="E2643" t="inlineStr">
        <is>
          <t>HEBY</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15436-2022</t>
        </is>
      </c>
      <c r="B2644" s="1" t="n">
        <v>44659</v>
      </c>
      <c r="C2644" s="1" t="n">
        <v>45846</v>
      </c>
      <c r="D2644" t="inlineStr">
        <is>
          <t>UPPSALA LÄN</t>
        </is>
      </c>
      <c r="E2644" t="inlineStr">
        <is>
          <t>UPPSALA</t>
        </is>
      </c>
      <c r="G2644" t="n">
        <v>14.4</v>
      </c>
      <c r="H2644" t="n">
        <v>0</v>
      </c>
      <c r="I2644" t="n">
        <v>0</v>
      </c>
      <c r="J2644" t="n">
        <v>0</v>
      </c>
      <c r="K2644" t="n">
        <v>0</v>
      </c>
      <c r="L2644" t="n">
        <v>0</v>
      </c>
      <c r="M2644" t="n">
        <v>0</v>
      </c>
      <c r="N2644" t="n">
        <v>0</v>
      </c>
      <c r="O2644" t="n">
        <v>0</v>
      </c>
      <c r="P2644" t="n">
        <v>0</v>
      </c>
      <c r="Q2644" t="n">
        <v>0</v>
      </c>
      <c r="R2644" s="2" t="inlineStr"/>
    </row>
    <row r="2645" ht="15" customHeight="1">
      <c r="A2645" t="inlineStr">
        <is>
          <t>A 15377-2022</t>
        </is>
      </c>
      <c r="B2645" s="1" t="n">
        <v>44659</v>
      </c>
      <c r="C2645" s="1" t="n">
        <v>45846</v>
      </c>
      <c r="D2645" t="inlineStr">
        <is>
          <t>UPPSALA LÄN</t>
        </is>
      </c>
      <c r="E2645" t="inlineStr">
        <is>
          <t>UPPSALA</t>
        </is>
      </c>
      <c r="F2645" t="inlineStr">
        <is>
          <t>Bergvik skog öst AB</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15310-2022</t>
        </is>
      </c>
      <c r="B2646" s="1" t="n">
        <v>44659</v>
      </c>
      <c r="C2646" s="1" t="n">
        <v>45846</v>
      </c>
      <c r="D2646" t="inlineStr">
        <is>
          <t>UPPSALA LÄN</t>
        </is>
      </c>
      <c r="E2646" t="inlineStr">
        <is>
          <t>UPPSALA</t>
        </is>
      </c>
      <c r="F2646" t="inlineStr">
        <is>
          <t>Bergvik skog öst AB</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15334-2022</t>
        </is>
      </c>
      <c r="B2647" s="1" t="n">
        <v>44659</v>
      </c>
      <c r="C2647" s="1" t="n">
        <v>45846</v>
      </c>
      <c r="D2647" t="inlineStr">
        <is>
          <t>UPPSALA LÄN</t>
        </is>
      </c>
      <c r="E2647" t="inlineStr">
        <is>
          <t>ÖSTHAMMAR</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15447-2022</t>
        </is>
      </c>
      <c r="B2648" s="1" t="n">
        <v>44660</v>
      </c>
      <c r="C2648" s="1" t="n">
        <v>45846</v>
      </c>
      <c r="D2648" t="inlineStr">
        <is>
          <t>UPPSALA LÄN</t>
        </is>
      </c>
      <c r="E2648" t="inlineStr">
        <is>
          <t>ÖSTHAMMAR</t>
        </is>
      </c>
      <c r="F2648" t="inlineStr">
        <is>
          <t>Bergvik skog öst AB</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15445-2022</t>
        </is>
      </c>
      <c r="B2649" s="1" t="n">
        <v>44660</v>
      </c>
      <c r="C2649" s="1" t="n">
        <v>45846</v>
      </c>
      <c r="D2649" t="inlineStr">
        <is>
          <t>UPPSALA LÄN</t>
        </is>
      </c>
      <c r="E2649" t="inlineStr">
        <is>
          <t>ÖSTHAMMAR</t>
        </is>
      </c>
      <c r="F2649" t="inlineStr">
        <is>
          <t>Bergvik skog öst AB</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15449-2022</t>
        </is>
      </c>
      <c r="B2650" s="1" t="n">
        <v>44660</v>
      </c>
      <c r="C2650" s="1" t="n">
        <v>45846</v>
      </c>
      <c r="D2650" t="inlineStr">
        <is>
          <t>UPPSALA LÄN</t>
        </is>
      </c>
      <c r="E2650" t="inlineStr">
        <is>
          <t>ÖSTHAMMAR</t>
        </is>
      </c>
      <c r="F2650" t="inlineStr">
        <is>
          <t>Bergvik skog öst AB</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15456-2022</t>
        </is>
      </c>
      <c r="B2651" s="1" t="n">
        <v>44661</v>
      </c>
      <c r="C2651" s="1" t="n">
        <v>45846</v>
      </c>
      <c r="D2651" t="inlineStr">
        <is>
          <t>UPPSALA LÄN</t>
        </is>
      </c>
      <c r="E2651" t="inlineStr">
        <is>
          <t>ÖSTHAMMAR</t>
        </is>
      </c>
      <c r="F2651" t="inlineStr">
        <is>
          <t>Bergvik skog öst AB</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15457-2022</t>
        </is>
      </c>
      <c r="B2652" s="1" t="n">
        <v>44661</v>
      </c>
      <c r="C2652" s="1" t="n">
        <v>45846</v>
      </c>
      <c r="D2652" t="inlineStr">
        <is>
          <t>UPPSALA LÄN</t>
        </is>
      </c>
      <c r="E2652" t="inlineStr">
        <is>
          <t>ÖSTHAMMAR</t>
        </is>
      </c>
      <c r="F2652" t="inlineStr">
        <is>
          <t>Bergvik skog öst AB</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15619-2022</t>
        </is>
      </c>
      <c r="B2653" s="1" t="n">
        <v>44662</v>
      </c>
      <c r="C2653" s="1" t="n">
        <v>45846</v>
      </c>
      <c r="D2653" t="inlineStr">
        <is>
          <t>UPPSALA LÄN</t>
        </is>
      </c>
      <c r="E2653" t="inlineStr">
        <is>
          <t>HEBY</t>
        </is>
      </c>
      <c r="F2653" t="inlineStr">
        <is>
          <t>Bergvik skog öst AB</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15614-2022</t>
        </is>
      </c>
      <c r="B2654" s="1" t="n">
        <v>44662</v>
      </c>
      <c r="C2654" s="1" t="n">
        <v>45846</v>
      </c>
      <c r="D2654" t="inlineStr">
        <is>
          <t>UPPSALA LÄN</t>
        </is>
      </c>
      <c r="E2654" t="inlineStr">
        <is>
          <t>HEBY</t>
        </is>
      </c>
      <c r="F2654" t="inlineStr">
        <is>
          <t>Bergvik skog öst AB</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15583-2022</t>
        </is>
      </c>
      <c r="B2655" s="1" t="n">
        <v>44662</v>
      </c>
      <c r="C2655" s="1" t="n">
        <v>45846</v>
      </c>
      <c r="D2655" t="inlineStr">
        <is>
          <t>UPPSALA LÄN</t>
        </is>
      </c>
      <c r="E2655" t="inlineStr">
        <is>
          <t>UPPSALA</t>
        </is>
      </c>
      <c r="F2655" t="inlineStr">
        <is>
          <t>Övriga Aktiebolag</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15735-2022</t>
        </is>
      </c>
      <c r="B2656" s="1" t="n">
        <v>44663</v>
      </c>
      <c r="C2656" s="1" t="n">
        <v>45846</v>
      </c>
      <c r="D2656" t="inlineStr">
        <is>
          <t>UPPSALA LÄN</t>
        </is>
      </c>
      <c r="E2656" t="inlineStr">
        <is>
          <t>UPPSALA</t>
        </is>
      </c>
      <c r="F2656" t="inlineStr">
        <is>
          <t>Bergvik skog öst AB</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15847-2022</t>
        </is>
      </c>
      <c r="B2657" s="1" t="n">
        <v>44664</v>
      </c>
      <c r="C2657" s="1" t="n">
        <v>45846</v>
      </c>
      <c r="D2657" t="inlineStr">
        <is>
          <t>UPPSALA LÄN</t>
        </is>
      </c>
      <c r="E2657" t="inlineStr">
        <is>
          <t>ÖSTHAMMAR</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15924-2022</t>
        </is>
      </c>
      <c r="B2658" s="1" t="n">
        <v>44664</v>
      </c>
      <c r="C2658" s="1" t="n">
        <v>45846</v>
      </c>
      <c r="D2658" t="inlineStr">
        <is>
          <t>UPPSALA LÄN</t>
        </is>
      </c>
      <c r="E2658" t="inlineStr">
        <is>
          <t>ENKÖPING</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15942-2022</t>
        </is>
      </c>
      <c r="B2659" s="1" t="n">
        <v>44664</v>
      </c>
      <c r="C2659" s="1" t="n">
        <v>45846</v>
      </c>
      <c r="D2659" t="inlineStr">
        <is>
          <t>UPPSALA LÄN</t>
        </is>
      </c>
      <c r="E2659" t="inlineStr">
        <is>
          <t>ENKÖPING</t>
        </is>
      </c>
      <c r="G2659" t="n">
        <v>6.6</v>
      </c>
      <c r="H2659" t="n">
        <v>0</v>
      </c>
      <c r="I2659" t="n">
        <v>0</v>
      </c>
      <c r="J2659" t="n">
        <v>0</v>
      </c>
      <c r="K2659" t="n">
        <v>0</v>
      </c>
      <c r="L2659" t="n">
        <v>0</v>
      </c>
      <c r="M2659" t="n">
        <v>0</v>
      </c>
      <c r="N2659" t="n">
        <v>0</v>
      </c>
      <c r="O2659" t="n">
        <v>0</v>
      </c>
      <c r="P2659" t="n">
        <v>0</v>
      </c>
      <c r="Q2659" t="n">
        <v>0</v>
      </c>
      <c r="R2659" s="2" t="inlineStr"/>
    </row>
    <row r="2660" ht="15" customHeight="1">
      <c r="A2660" t="inlineStr">
        <is>
          <t>A 15845-2022</t>
        </is>
      </c>
      <c r="B2660" s="1" t="n">
        <v>44664</v>
      </c>
      <c r="C2660" s="1" t="n">
        <v>45846</v>
      </c>
      <c r="D2660" t="inlineStr">
        <is>
          <t>UPPSALA LÄN</t>
        </is>
      </c>
      <c r="E2660" t="inlineStr">
        <is>
          <t>ÖSTHAMMAR</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15928-2022</t>
        </is>
      </c>
      <c r="B2661" s="1" t="n">
        <v>44664</v>
      </c>
      <c r="C2661" s="1" t="n">
        <v>45846</v>
      </c>
      <c r="D2661" t="inlineStr">
        <is>
          <t>UPPSALA LÄN</t>
        </is>
      </c>
      <c r="E2661" t="inlineStr">
        <is>
          <t>ÖSTHAMMAR</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15943-2022</t>
        </is>
      </c>
      <c r="B2662" s="1" t="n">
        <v>44664</v>
      </c>
      <c r="C2662" s="1" t="n">
        <v>45846</v>
      </c>
      <c r="D2662" t="inlineStr">
        <is>
          <t>UPPSALA LÄN</t>
        </is>
      </c>
      <c r="E2662" t="inlineStr">
        <is>
          <t>ENKÖPING</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15939-2022</t>
        </is>
      </c>
      <c r="B2663" s="1" t="n">
        <v>44664</v>
      </c>
      <c r="C2663" s="1" t="n">
        <v>45846</v>
      </c>
      <c r="D2663" t="inlineStr">
        <is>
          <t>UPPSALA LÄN</t>
        </is>
      </c>
      <c r="E2663" t="inlineStr">
        <is>
          <t>ENKÖPING</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16141-2022</t>
        </is>
      </c>
      <c r="B2664" s="1" t="n">
        <v>44665</v>
      </c>
      <c r="C2664" s="1" t="n">
        <v>45846</v>
      </c>
      <c r="D2664" t="inlineStr">
        <is>
          <t>UPPSALA LÄN</t>
        </is>
      </c>
      <c r="E2664" t="inlineStr">
        <is>
          <t>ÖSTHAMMAR</t>
        </is>
      </c>
      <c r="F2664" t="inlineStr">
        <is>
          <t>Bergvik skog öst AB</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16126-2022</t>
        </is>
      </c>
      <c r="B2665" s="1" t="n">
        <v>44665</v>
      </c>
      <c r="C2665" s="1" t="n">
        <v>45846</v>
      </c>
      <c r="D2665" t="inlineStr">
        <is>
          <t>UPPSALA LÄN</t>
        </is>
      </c>
      <c r="E2665" t="inlineStr">
        <is>
          <t>UPPSALA</t>
        </is>
      </c>
      <c r="F2665" t="inlineStr">
        <is>
          <t>Bergvik skog öst AB</t>
        </is>
      </c>
      <c r="G2665" t="n">
        <v>4.4</v>
      </c>
      <c r="H2665" t="n">
        <v>0</v>
      </c>
      <c r="I2665" t="n">
        <v>0</v>
      </c>
      <c r="J2665" t="n">
        <v>0</v>
      </c>
      <c r="K2665" t="n">
        <v>0</v>
      </c>
      <c r="L2665" t="n">
        <v>0</v>
      </c>
      <c r="M2665" t="n">
        <v>0</v>
      </c>
      <c r="N2665" t="n">
        <v>0</v>
      </c>
      <c r="O2665" t="n">
        <v>0</v>
      </c>
      <c r="P2665" t="n">
        <v>0</v>
      </c>
      <c r="Q2665" t="n">
        <v>0</v>
      </c>
      <c r="R2665" s="2" t="inlineStr"/>
    </row>
    <row r="2666" ht="15" customHeight="1">
      <c r="A2666" t="inlineStr">
        <is>
          <t>A 16142-2022</t>
        </is>
      </c>
      <c r="B2666" s="1" t="n">
        <v>44665</v>
      </c>
      <c r="C2666" s="1" t="n">
        <v>45846</v>
      </c>
      <c r="D2666" t="inlineStr">
        <is>
          <t>UPPSALA LÄN</t>
        </is>
      </c>
      <c r="E2666" t="inlineStr">
        <is>
          <t>ÖSTHAMMAR</t>
        </is>
      </c>
      <c r="F2666" t="inlineStr">
        <is>
          <t>Bergvik skog öst AB</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16167-2022</t>
        </is>
      </c>
      <c r="B2667" s="1" t="n">
        <v>44667</v>
      </c>
      <c r="C2667" s="1" t="n">
        <v>45846</v>
      </c>
      <c r="D2667" t="inlineStr">
        <is>
          <t>UPPSALA LÄN</t>
        </is>
      </c>
      <c r="E2667" t="inlineStr">
        <is>
          <t>ÖSTHAMMAR</t>
        </is>
      </c>
      <c r="F2667" t="inlineStr">
        <is>
          <t>Bergvik skog öst AB</t>
        </is>
      </c>
      <c r="G2667" t="n">
        <v>18.7</v>
      </c>
      <c r="H2667" t="n">
        <v>0</v>
      </c>
      <c r="I2667" t="n">
        <v>0</v>
      </c>
      <c r="J2667" t="n">
        <v>0</v>
      </c>
      <c r="K2667" t="n">
        <v>0</v>
      </c>
      <c r="L2667" t="n">
        <v>0</v>
      </c>
      <c r="M2667" t="n">
        <v>0</v>
      </c>
      <c r="N2667" t="n">
        <v>0</v>
      </c>
      <c r="O2667" t="n">
        <v>0</v>
      </c>
      <c r="P2667" t="n">
        <v>0</v>
      </c>
      <c r="Q2667" t="n">
        <v>0</v>
      </c>
      <c r="R2667" s="2" t="inlineStr"/>
    </row>
    <row r="2668" ht="15" customHeight="1">
      <c r="A2668" t="inlineStr">
        <is>
          <t>A 16185-2022</t>
        </is>
      </c>
      <c r="B2668" s="1" t="n">
        <v>44669</v>
      </c>
      <c r="C2668" s="1" t="n">
        <v>45846</v>
      </c>
      <c r="D2668" t="inlineStr">
        <is>
          <t>UPPSALA LÄN</t>
        </is>
      </c>
      <c r="E2668" t="inlineStr">
        <is>
          <t>ÖSTHAMMAR</t>
        </is>
      </c>
      <c r="F2668" t="inlineStr">
        <is>
          <t>Bergvik skog öst AB</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16184-2022</t>
        </is>
      </c>
      <c r="B2669" s="1" t="n">
        <v>44669</v>
      </c>
      <c r="C2669" s="1" t="n">
        <v>45846</v>
      </c>
      <c r="D2669" t="inlineStr">
        <is>
          <t>UPPSALA LÄN</t>
        </is>
      </c>
      <c r="E2669" t="inlineStr">
        <is>
          <t>ÖSTHAMMAR</t>
        </is>
      </c>
      <c r="F2669" t="inlineStr">
        <is>
          <t>Bergvik skog öst AB</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16253-2022</t>
        </is>
      </c>
      <c r="B2670" s="1" t="n">
        <v>44670</v>
      </c>
      <c r="C2670" s="1" t="n">
        <v>45846</v>
      </c>
      <c r="D2670" t="inlineStr">
        <is>
          <t>UPPSALA LÄN</t>
        </is>
      </c>
      <c r="E2670" t="inlineStr">
        <is>
          <t>TIERP</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16254-2022</t>
        </is>
      </c>
      <c r="B2671" s="1" t="n">
        <v>44670</v>
      </c>
      <c r="C2671" s="1" t="n">
        <v>45846</v>
      </c>
      <c r="D2671" t="inlineStr">
        <is>
          <t>UPPSALA LÄN</t>
        </is>
      </c>
      <c r="E2671" t="inlineStr">
        <is>
          <t>ÖSTHAMMAR</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16556-2022</t>
        </is>
      </c>
      <c r="B2672" s="1" t="n">
        <v>44672</v>
      </c>
      <c r="C2672" s="1" t="n">
        <v>45846</v>
      </c>
      <c r="D2672" t="inlineStr">
        <is>
          <t>UPPSALA LÄN</t>
        </is>
      </c>
      <c r="E2672" t="inlineStr">
        <is>
          <t>TIERP</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16773-2022</t>
        </is>
      </c>
      <c r="B2673" s="1" t="n">
        <v>44673</v>
      </c>
      <c r="C2673" s="1" t="n">
        <v>45846</v>
      </c>
      <c r="D2673" t="inlineStr">
        <is>
          <t>UPPSALA LÄN</t>
        </is>
      </c>
      <c r="E2673" t="inlineStr">
        <is>
          <t>KNIVSTA</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16804-2022</t>
        </is>
      </c>
      <c r="B2674" s="1" t="n">
        <v>44673</v>
      </c>
      <c r="C2674" s="1" t="n">
        <v>45846</v>
      </c>
      <c r="D2674" t="inlineStr">
        <is>
          <t>UPPSALA LÄN</t>
        </is>
      </c>
      <c r="E2674" t="inlineStr">
        <is>
          <t>UPPSALA</t>
        </is>
      </c>
      <c r="F2674" t="inlineStr">
        <is>
          <t>Bergvik skog öst AB</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16828-2022</t>
        </is>
      </c>
      <c r="B2675" s="1" t="n">
        <v>44673</v>
      </c>
      <c r="C2675" s="1" t="n">
        <v>45846</v>
      </c>
      <c r="D2675" t="inlineStr">
        <is>
          <t>UPPSALA LÄN</t>
        </is>
      </c>
      <c r="E2675" t="inlineStr">
        <is>
          <t>UPPSALA</t>
        </is>
      </c>
      <c r="F2675" t="inlineStr">
        <is>
          <t>Bergvik skog öst AB</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16827-2022</t>
        </is>
      </c>
      <c r="B2676" s="1" t="n">
        <v>44673</v>
      </c>
      <c r="C2676" s="1" t="n">
        <v>45846</v>
      </c>
      <c r="D2676" t="inlineStr">
        <is>
          <t>UPPSALA LÄN</t>
        </is>
      </c>
      <c r="E2676" t="inlineStr">
        <is>
          <t>UPPSALA</t>
        </is>
      </c>
      <c r="F2676" t="inlineStr">
        <is>
          <t>Bergvik skog öst AB</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16798-2022</t>
        </is>
      </c>
      <c r="B2677" s="1" t="n">
        <v>44673</v>
      </c>
      <c r="C2677" s="1" t="n">
        <v>45846</v>
      </c>
      <c r="D2677" t="inlineStr">
        <is>
          <t>UPPSALA LÄN</t>
        </is>
      </c>
      <c r="E2677" t="inlineStr">
        <is>
          <t>HEBY</t>
        </is>
      </c>
      <c r="F2677" t="inlineStr">
        <is>
          <t>Allmännings- och besparingsskogar</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16775-2022</t>
        </is>
      </c>
      <c r="B2678" s="1" t="n">
        <v>44673</v>
      </c>
      <c r="C2678" s="1" t="n">
        <v>45846</v>
      </c>
      <c r="D2678" t="inlineStr">
        <is>
          <t>UPPSALA LÄN</t>
        </is>
      </c>
      <c r="E2678" t="inlineStr">
        <is>
          <t>KNIVSTA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16831-2022</t>
        </is>
      </c>
      <c r="B2679" s="1" t="n">
        <v>44673</v>
      </c>
      <c r="C2679" s="1" t="n">
        <v>45846</v>
      </c>
      <c r="D2679" t="inlineStr">
        <is>
          <t>UPPSALA LÄN</t>
        </is>
      </c>
      <c r="E2679" t="inlineStr">
        <is>
          <t>UPPSALA</t>
        </is>
      </c>
      <c r="F2679" t="inlineStr">
        <is>
          <t>Bergvik skog öst AB</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16826-2022</t>
        </is>
      </c>
      <c r="B2680" s="1" t="n">
        <v>44673</v>
      </c>
      <c r="C2680" s="1" t="n">
        <v>45846</v>
      </c>
      <c r="D2680" t="inlineStr">
        <is>
          <t>UPPSALA LÄN</t>
        </is>
      </c>
      <c r="E2680" t="inlineStr">
        <is>
          <t>UPPSALA</t>
        </is>
      </c>
      <c r="F2680" t="inlineStr">
        <is>
          <t>Bergvik skog öst AB</t>
        </is>
      </c>
      <c r="G2680" t="n">
        <v>7.1</v>
      </c>
      <c r="H2680" t="n">
        <v>0</v>
      </c>
      <c r="I2680" t="n">
        <v>0</v>
      </c>
      <c r="J2680" t="n">
        <v>0</v>
      </c>
      <c r="K2680" t="n">
        <v>0</v>
      </c>
      <c r="L2680" t="n">
        <v>0</v>
      </c>
      <c r="M2680" t="n">
        <v>0</v>
      </c>
      <c r="N2680" t="n">
        <v>0</v>
      </c>
      <c r="O2680" t="n">
        <v>0</v>
      </c>
      <c r="P2680" t="n">
        <v>0</v>
      </c>
      <c r="Q2680" t="n">
        <v>0</v>
      </c>
      <c r="R2680" s="2" t="inlineStr"/>
    </row>
    <row r="2681" ht="15" customHeight="1">
      <c r="A2681" t="inlineStr">
        <is>
          <t>A 16942-2022</t>
        </is>
      </c>
      <c r="B2681" s="1" t="n">
        <v>44676</v>
      </c>
      <c r="C2681" s="1" t="n">
        <v>45846</v>
      </c>
      <c r="D2681" t="inlineStr">
        <is>
          <t>UPPSALA LÄN</t>
        </is>
      </c>
      <c r="E2681" t="inlineStr">
        <is>
          <t>UPPSALA</t>
        </is>
      </c>
      <c r="F2681" t="inlineStr">
        <is>
          <t>Bergvik skog öst AB</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16892-2022</t>
        </is>
      </c>
      <c r="B2682" s="1" t="n">
        <v>44676</v>
      </c>
      <c r="C2682" s="1" t="n">
        <v>45846</v>
      </c>
      <c r="D2682" t="inlineStr">
        <is>
          <t>UPPSALA LÄN</t>
        </is>
      </c>
      <c r="E2682" t="inlineStr">
        <is>
          <t>UPPSALA</t>
        </is>
      </c>
      <c r="F2682" t="inlineStr">
        <is>
          <t>Bergvik skog öst AB</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16916-2022</t>
        </is>
      </c>
      <c r="B2683" s="1" t="n">
        <v>44676</v>
      </c>
      <c r="C2683" s="1" t="n">
        <v>45846</v>
      </c>
      <c r="D2683" t="inlineStr">
        <is>
          <t>UPPSALA LÄN</t>
        </is>
      </c>
      <c r="E2683" t="inlineStr">
        <is>
          <t>ENKÖPING</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16967-2022</t>
        </is>
      </c>
      <c r="B2684" s="1" t="n">
        <v>44676</v>
      </c>
      <c r="C2684" s="1" t="n">
        <v>45846</v>
      </c>
      <c r="D2684" t="inlineStr">
        <is>
          <t>UPPSALA LÄN</t>
        </is>
      </c>
      <c r="E2684" t="inlineStr">
        <is>
          <t>ENKÖPING</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16978-2022</t>
        </is>
      </c>
      <c r="B2685" s="1" t="n">
        <v>44676</v>
      </c>
      <c r="C2685" s="1" t="n">
        <v>45846</v>
      </c>
      <c r="D2685" t="inlineStr">
        <is>
          <t>UPPSALA LÄN</t>
        </is>
      </c>
      <c r="E2685" t="inlineStr">
        <is>
          <t>UPPSALA</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16898-2022</t>
        </is>
      </c>
      <c r="B2686" s="1" t="n">
        <v>44676</v>
      </c>
      <c r="C2686" s="1" t="n">
        <v>45846</v>
      </c>
      <c r="D2686" t="inlineStr">
        <is>
          <t>UPPSALA LÄN</t>
        </is>
      </c>
      <c r="E2686" t="inlineStr">
        <is>
          <t>UPPSALA</t>
        </is>
      </c>
      <c r="F2686" t="inlineStr">
        <is>
          <t>Bergvik skog öst AB</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16933-2022</t>
        </is>
      </c>
      <c r="B2687" s="1" t="n">
        <v>44676</v>
      </c>
      <c r="C2687" s="1" t="n">
        <v>45846</v>
      </c>
      <c r="D2687" t="inlineStr">
        <is>
          <t>UPPSALA LÄN</t>
        </is>
      </c>
      <c r="E2687" t="inlineStr">
        <is>
          <t>ÖSTHAMMAR</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16990-2022</t>
        </is>
      </c>
      <c r="B2688" s="1" t="n">
        <v>44676</v>
      </c>
      <c r="C2688" s="1" t="n">
        <v>45846</v>
      </c>
      <c r="D2688" t="inlineStr">
        <is>
          <t>UPPSALA LÄN</t>
        </is>
      </c>
      <c r="E2688" t="inlineStr">
        <is>
          <t>ÄLVKARLEBY</t>
        </is>
      </c>
      <c r="F2688" t="inlineStr">
        <is>
          <t>Bergvik skog väst AB</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17013-2022</t>
        </is>
      </c>
      <c r="B2689" s="1" t="n">
        <v>44676</v>
      </c>
      <c r="C2689" s="1" t="n">
        <v>45846</v>
      </c>
      <c r="D2689" t="inlineStr">
        <is>
          <t>UPPSALA LÄN</t>
        </is>
      </c>
      <c r="E2689" t="inlineStr">
        <is>
          <t>ÖSTHAMMAR</t>
        </is>
      </c>
      <c r="F2689" t="inlineStr">
        <is>
          <t>Bergvik skog öst AB</t>
        </is>
      </c>
      <c r="G2689" t="n">
        <v>0.2</v>
      </c>
      <c r="H2689" t="n">
        <v>0</v>
      </c>
      <c r="I2689" t="n">
        <v>0</v>
      </c>
      <c r="J2689" t="n">
        <v>0</v>
      </c>
      <c r="K2689" t="n">
        <v>0</v>
      </c>
      <c r="L2689" t="n">
        <v>0</v>
      </c>
      <c r="M2689" t="n">
        <v>0</v>
      </c>
      <c r="N2689" t="n">
        <v>0</v>
      </c>
      <c r="O2689" t="n">
        <v>0</v>
      </c>
      <c r="P2689" t="n">
        <v>0</v>
      </c>
      <c r="Q2689" t="n">
        <v>0</v>
      </c>
      <c r="R2689" s="2" t="inlineStr"/>
    </row>
    <row r="2690" ht="15" customHeight="1">
      <c r="A2690" t="inlineStr">
        <is>
          <t>A 17158-2022</t>
        </is>
      </c>
      <c r="B2690" s="1" t="n">
        <v>44677</v>
      </c>
      <c r="C2690" s="1" t="n">
        <v>45846</v>
      </c>
      <c r="D2690" t="inlineStr">
        <is>
          <t>UPPSALA LÄN</t>
        </is>
      </c>
      <c r="E2690" t="inlineStr">
        <is>
          <t>TIERP</t>
        </is>
      </c>
      <c r="F2690" t="inlineStr">
        <is>
          <t>Övriga Aktiebolag</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17074-2022</t>
        </is>
      </c>
      <c r="B2691" s="1" t="n">
        <v>44677</v>
      </c>
      <c r="C2691" s="1" t="n">
        <v>45846</v>
      </c>
      <c r="D2691" t="inlineStr">
        <is>
          <t>UPPSALA LÄN</t>
        </is>
      </c>
      <c r="E2691" t="inlineStr">
        <is>
          <t>TIERP</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17298-2022</t>
        </is>
      </c>
      <c r="B2692" s="1" t="n">
        <v>44678</v>
      </c>
      <c r="C2692" s="1" t="n">
        <v>45846</v>
      </c>
      <c r="D2692" t="inlineStr">
        <is>
          <t>UPPSALA LÄN</t>
        </is>
      </c>
      <c r="E2692" t="inlineStr">
        <is>
          <t>ENKÖPING</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17332-2022</t>
        </is>
      </c>
      <c r="B2693" s="1" t="n">
        <v>44678</v>
      </c>
      <c r="C2693" s="1" t="n">
        <v>45846</v>
      </c>
      <c r="D2693" t="inlineStr">
        <is>
          <t>UPPSALA LÄN</t>
        </is>
      </c>
      <c r="E2693" t="inlineStr">
        <is>
          <t>HEBY</t>
        </is>
      </c>
      <c r="G2693" t="n">
        <v>5.8</v>
      </c>
      <c r="H2693" t="n">
        <v>0</v>
      </c>
      <c r="I2693" t="n">
        <v>0</v>
      </c>
      <c r="J2693" t="n">
        <v>0</v>
      </c>
      <c r="K2693" t="n">
        <v>0</v>
      </c>
      <c r="L2693" t="n">
        <v>0</v>
      </c>
      <c r="M2693" t="n">
        <v>0</v>
      </c>
      <c r="N2693" t="n">
        <v>0</v>
      </c>
      <c r="O2693" t="n">
        <v>0</v>
      </c>
      <c r="P2693" t="n">
        <v>0</v>
      </c>
      <c r="Q2693" t="n">
        <v>0</v>
      </c>
      <c r="R2693" s="2" t="inlineStr"/>
    </row>
    <row r="2694" ht="15" customHeight="1">
      <c r="A2694" t="inlineStr">
        <is>
          <t>A 17232-2022</t>
        </is>
      </c>
      <c r="B2694" s="1" t="n">
        <v>44678</v>
      </c>
      <c r="C2694" s="1" t="n">
        <v>45846</v>
      </c>
      <c r="D2694" t="inlineStr">
        <is>
          <t>UPPSALA LÄN</t>
        </is>
      </c>
      <c r="E2694" t="inlineStr">
        <is>
          <t>UPPSALA</t>
        </is>
      </c>
      <c r="F2694" t="inlineStr">
        <is>
          <t>Övriga Aktiebolag</t>
        </is>
      </c>
      <c r="G2694" t="n">
        <v>7.4</v>
      </c>
      <c r="H2694" t="n">
        <v>0</v>
      </c>
      <c r="I2694" t="n">
        <v>0</v>
      </c>
      <c r="J2694" t="n">
        <v>0</v>
      </c>
      <c r="K2694" t="n">
        <v>0</v>
      </c>
      <c r="L2694" t="n">
        <v>0</v>
      </c>
      <c r="M2694" t="n">
        <v>0</v>
      </c>
      <c r="N2694" t="n">
        <v>0</v>
      </c>
      <c r="O2694" t="n">
        <v>0</v>
      </c>
      <c r="P2694" t="n">
        <v>0</v>
      </c>
      <c r="Q2694" t="n">
        <v>0</v>
      </c>
      <c r="R2694" s="2" t="inlineStr"/>
    </row>
    <row r="2695" ht="15" customHeight="1">
      <c r="A2695" t="inlineStr">
        <is>
          <t>A 17465-2022</t>
        </is>
      </c>
      <c r="B2695" s="1" t="n">
        <v>44679</v>
      </c>
      <c r="C2695" s="1" t="n">
        <v>45846</v>
      </c>
      <c r="D2695" t="inlineStr">
        <is>
          <t>UPPSALA LÄN</t>
        </is>
      </c>
      <c r="E2695" t="inlineStr">
        <is>
          <t>ENKÖPING</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17467-2022</t>
        </is>
      </c>
      <c r="B2696" s="1" t="n">
        <v>44679</v>
      </c>
      <c r="C2696" s="1" t="n">
        <v>45846</v>
      </c>
      <c r="D2696" t="inlineStr">
        <is>
          <t>UPPSALA LÄN</t>
        </is>
      </c>
      <c r="E2696" t="inlineStr">
        <is>
          <t>ENKÖPING</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17562-2022</t>
        </is>
      </c>
      <c r="B2697" s="1" t="n">
        <v>44679</v>
      </c>
      <c r="C2697" s="1" t="n">
        <v>45846</v>
      </c>
      <c r="D2697" t="inlineStr">
        <is>
          <t>UPPSALA LÄN</t>
        </is>
      </c>
      <c r="E2697" t="inlineStr">
        <is>
          <t>UPPSALA</t>
        </is>
      </c>
      <c r="F2697" t="inlineStr">
        <is>
          <t>Bergvik skog öst AB</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17558-2022</t>
        </is>
      </c>
      <c r="B2698" s="1" t="n">
        <v>44679</v>
      </c>
      <c r="C2698" s="1" t="n">
        <v>45846</v>
      </c>
      <c r="D2698" t="inlineStr">
        <is>
          <t>UPPSALA LÄN</t>
        </is>
      </c>
      <c r="E2698" t="inlineStr">
        <is>
          <t>UPPSALA</t>
        </is>
      </c>
      <c r="F2698" t="inlineStr">
        <is>
          <t>Bergvik skog öst AB</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17453-2022</t>
        </is>
      </c>
      <c r="B2699" s="1" t="n">
        <v>44679</v>
      </c>
      <c r="C2699" s="1" t="n">
        <v>45846</v>
      </c>
      <c r="D2699" t="inlineStr">
        <is>
          <t>UPPSALA LÄN</t>
        </is>
      </c>
      <c r="E2699" t="inlineStr">
        <is>
          <t>ENKÖPING</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17719-2022</t>
        </is>
      </c>
      <c r="B2700" s="1" t="n">
        <v>44680</v>
      </c>
      <c r="C2700" s="1" t="n">
        <v>45846</v>
      </c>
      <c r="D2700" t="inlineStr">
        <is>
          <t>UPPSALA LÄN</t>
        </is>
      </c>
      <c r="E2700" t="inlineStr">
        <is>
          <t>ENKÖPING</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17704-2022</t>
        </is>
      </c>
      <c r="B2701" s="1" t="n">
        <v>44680</v>
      </c>
      <c r="C2701" s="1" t="n">
        <v>45846</v>
      </c>
      <c r="D2701" t="inlineStr">
        <is>
          <t>UPPSALA LÄN</t>
        </is>
      </c>
      <c r="E2701" t="inlineStr">
        <is>
          <t>ENKÖPING</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17947-2022</t>
        </is>
      </c>
      <c r="B2702" s="1" t="n">
        <v>44683</v>
      </c>
      <c r="C2702" s="1" t="n">
        <v>45846</v>
      </c>
      <c r="D2702" t="inlineStr">
        <is>
          <t>UPPSALA LÄN</t>
        </is>
      </c>
      <c r="E2702" t="inlineStr">
        <is>
          <t>ÖSTHAMMAR</t>
        </is>
      </c>
      <c r="G2702" t="n">
        <v>5.5</v>
      </c>
      <c r="H2702" t="n">
        <v>0</v>
      </c>
      <c r="I2702" t="n">
        <v>0</v>
      </c>
      <c r="J2702" t="n">
        <v>0</v>
      </c>
      <c r="K2702" t="n">
        <v>0</v>
      </c>
      <c r="L2702" t="n">
        <v>0</v>
      </c>
      <c r="M2702" t="n">
        <v>0</v>
      </c>
      <c r="N2702" t="n">
        <v>0</v>
      </c>
      <c r="O2702" t="n">
        <v>0</v>
      </c>
      <c r="P2702" t="n">
        <v>0</v>
      </c>
      <c r="Q2702" t="n">
        <v>0</v>
      </c>
      <c r="R2702" s="2" t="inlineStr"/>
    </row>
    <row r="2703" ht="15" customHeight="1">
      <c r="A2703" t="inlineStr">
        <is>
          <t>A 17981-2022</t>
        </is>
      </c>
      <c r="B2703" s="1" t="n">
        <v>44683</v>
      </c>
      <c r="C2703" s="1" t="n">
        <v>45846</v>
      </c>
      <c r="D2703" t="inlineStr">
        <is>
          <t>UPPSALA LÄN</t>
        </is>
      </c>
      <c r="E2703" t="inlineStr">
        <is>
          <t>UPPSALA</t>
        </is>
      </c>
      <c r="F2703" t="inlineStr">
        <is>
          <t>Bergvik skog öst AB</t>
        </is>
      </c>
      <c r="G2703" t="n">
        <v>6.7</v>
      </c>
      <c r="H2703" t="n">
        <v>0</v>
      </c>
      <c r="I2703" t="n">
        <v>0</v>
      </c>
      <c r="J2703" t="n">
        <v>0</v>
      </c>
      <c r="K2703" t="n">
        <v>0</v>
      </c>
      <c r="L2703" t="n">
        <v>0</v>
      </c>
      <c r="M2703" t="n">
        <v>0</v>
      </c>
      <c r="N2703" t="n">
        <v>0</v>
      </c>
      <c r="O2703" t="n">
        <v>0</v>
      </c>
      <c r="P2703" t="n">
        <v>0</v>
      </c>
      <c r="Q2703" t="n">
        <v>0</v>
      </c>
      <c r="R2703" s="2" t="inlineStr"/>
    </row>
    <row r="2704" ht="15" customHeight="1">
      <c r="A2704" t="inlineStr">
        <is>
          <t>A 18097-2022</t>
        </is>
      </c>
      <c r="B2704" s="1" t="n">
        <v>44684</v>
      </c>
      <c r="C2704" s="1" t="n">
        <v>45846</v>
      </c>
      <c r="D2704" t="inlineStr">
        <is>
          <t>UPPSALA LÄN</t>
        </is>
      </c>
      <c r="E2704" t="inlineStr">
        <is>
          <t>TIERP</t>
        </is>
      </c>
      <c r="F2704" t="inlineStr">
        <is>
          <t>Bergvik skog öst AB</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18144-2022</t>
        </is>
      </c>
      <c r="B2705" s="1" t="n">
        <v>44684</v>
      </c>
      <c r="C2705" s="1" t="n">
        <v>45846</v>
      </c>
      <c r="D2705" t="inlineStr">
        <is>
          <t>UPPSALA LÄN</t>
        </is>
      </c>
      <c r="E2705" t="inlineStr">
        <is>
          <t>HEBY</t>
        </is>
      </c>
      <c r="F2705" t="inlineStr">
        <is>
          <t>Bergvik skog väst AB</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18183-2022</t>
        </is>
      </c>
      <c r="B2706" s="1" t="n">
        <v>44684</v>
      </c>
      <c r="C2706" s="1" t="n">
        <v>45846</v>
      </c>
      <c r="D2706" t="inlineStr">
        <is>
          <t>UPPSALA LÄN</t>
        </is>
      </c>
      <c r="E2706" t="inlineStr">
        <is>
          <t>ÖSTHAMMAR</t>
        </is>
      </c>
      <c r="G2706" t="n">
        <v>0.2</v>
      </c>
      <c r="H2706" t="n">
        <v>0</v>
      </c>
      <c r="I2706" t="n">
        <v>0</v>
      </c>
      <c r="J2706" t="n">
        <v>0</v>
      </c>
      <c r="K2706" t="n">
        <v>0</v>
      </c>
      <c r="L2706" t="n">
        <v>0</v>
      </c>
      <c r="M2706" t="n">
        <v>0</v>
      </c>
      <c r="N2706" t="n">
        <v>0</v>
      </c>
      <c r="O2706" t="n">
        <v>0</v>
      </c>
      <c r="P2706" t="n">
        <v>0</v>
      </c>
      <c r="Q2706" t="n">
        <v>0</v>
      </c>
      <c r="R2706" s="2" t="inlineStr"/>
    </row>
    <row r="2707" ht="15" customHeight="1">
      <c r="A2707" t="inlineStr">
        <is>
          <t>A 18130-2022</t>
        </is>
      </c>
      <c r="B2707" s="1" t="n">
        <v>44684</v>
      </c>
      <c r="C2707" s="1" t="n">
        <v>45846</v>
      </c>
      <c r="D2707" t="inlineStr">
        <is>
          <t>UPPSALA LÄN</t>
        </is>
      </c>
      <c r="E2707" t="inlineStr">
        <is>
          <t>TIERP</t>
        </is>
      </c>
      <c r="G2707" t="n">
        <v>7.6</v>
      </c>
      <c r="H2707" t="n">
        <v>0</v>
      </c>
      <c r="I2707" t="n">
        <v>0</v>
      </c>
      <c r="J2707" t="n">
        <v>0</v>
      </c>
      <c r="K2707" t="n">
        <v>0</v>
      </c>
      <c r="L2707" t="n">
        <v>0</v>
      </c>
      <c r="M2707" t="n">
        <v>0</v>
      </c>
      <c r="N2707" t="n">
        <v>0</v>
      </c>
      <c r="O2707" t="n">
        <v>0</v>
      </c>
      <c r="P2707" t="n">
        <v>0</v>
      </c>
      <c r="Q2707" t="n">
        <v>0</v>
      </c>
      <c r="R2707" s="2" t="inlineStr"/>
    </row>
    <row r="2708" ht="15" customHeight="1">
      <c r="A2708" t="inlineStr">
        <is>
          <t>A 18330-2022</t>
        </is>
      </c>
      <c r="B2708" s="1" t="n">
        <v>44685</v>
      </c>
      <c r="C2708" s="1" t="n">
        <v>45846</v>
      </c>
      <c r="D2708" t="inlineStr">
        <is>
          <t>UPPSALA LÄN</t>
        </is>
      </c>
      <c r="E2708" t="inlineStr">
        <is>
          <t>UPPSALA</t>
        </is>
      </c>
      <c r="F2708" t="inlineStr">
        <is>
          <t>Bergvik skog öst AB</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18336-2022</t>
        </is>
      </c>
      <c r="B2709" s="1" t="n">
        <v>44685</v>
      </c>
      <c r="C2709" s="1" t="n">
        <v>45846</v>
      </c>
      <c r="D2709" t="inlineStr">
        <is>
          <t>UPPSALA LÄN</t>
        </is>
      </c>
      <c r="E2709" t="inlineStr">
        <is>
          <t>HEBY</t>
        </is>
      </c>
      <c r="G2709" t="n">
        <v>9.6</v>
      </c>
      <c r="H2709" t="n">
        <v>0</v>
      </c>
      <c r="I2709" t="n">
        <v>0</v>
      </c>
      <c r="J2709" t="n">
        <v>0</v>
      </c>
      <c r="K2709" t="n">
        <v>0</v>
      </c>
      <c r="L2709" t="n">
        <v>0</v>
      </c>
      <c r="M2709" t="n">
        <v>0</v>
      </c>
      <c r="N2709" t="n">
        <v>0</v>
      </c>
      <c r="O2709" t="n">
        <v>0</v>
      </c>
      <c r="P2709" t="n">
        <v>0</v>
      </c>
      <c r="Q2709" t="n">
        <v>0</v>
      </c>
      <c r="R2709" s="2" t="inlineStr"/>
    </row>
    <row r="2710" ht="15" customHeight="1">
      <c r="A2710" t="inlineStr">
        <is>
          <t>A 18258-2022</t>
        </is>
      </c>
      <c r="B2710" s="1" t="n">
        <v>44685</v>
      </c>
      <c r="C2710" s="1" t="n">
        <v>45846</v>
      </c>
      <c r="D2710" t="inlineStr">
        <is>
          <t>UPPSALA LÄN</t>
        </is>
      </c>
      <c r="E2710" t="inlineStr">
        <is>
          <t>KNIVSTA</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18521-2022</t>
        </is>
      </c>
      <c r="B2711" s="1" t="n">
        <v>44686</v>
      </c>
      <c r="C2711" s="1" t="n">
        <v>45846</v>
      </c>
      <c r="D2711" t="inlineStr">
        <is>
          <t>UPPSALA LÄN</t>
        </is>
      </c>
      <c r="E2711" t="inlineStr">
        <is>
          <t>UPPSALA</t>
        </is>
      </c>
      <c r="F2711" t="inlineStr">
        <is>
          <t>Bergvik skog öst AB</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18431-2022</t>
        </is>
      </c>
      <c r="B2712" s="1" t="n">
        <v>44686</v>
      </c>
      <c r="C2712" s="1" t="n">
        <v>45846</v>
      </c>
      <c r="D2712" t="inlineStr">
        <is>
          <t>UPPSALA LÄN</t>
        </is>
      </c>
      <c r="E2712" t="inlineStr">
        <is>
          <t>TIERP</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18732-2022</t>
        </is>
      </c>
      <c r="B2713" s="1" t="n">
        <v>44687</v>
      </c>
      <c r="C2713" s="1" t="n">
        <v>45846</v>
      </c>
      <c r="D2713" t="inlineStr">
        <is>
          <t>UPPSALA LÄN</t>
        </is>
      </c>
      <c r="E2713" t="inlineStr">
        <is>
          <t>ÖSTHAMMAR</t>
        </is>
      </c>
      <c r="G2713" t="n">
        <v>10.5</v>
      </c>
      <c r="H2713" t="n">
        <v>0</v>
      </c>
      <c r="I2713" t="n">
        <v>0</v>
      </c>
      <c r="J2713" t="n">
        <v>0</v>
      </c>
      <c r="K2713" t="n">
        <v>0</v>
      </c>
      <c r="L2713" t="n">
        <v>0</v>
      </c>
      <c r="M2713" t="n">
        <v>0</v>
      </c>
      <c r="N2713" t="n">
        <v>0</v>
      </c>
      <c r="O2713" t="n">
        <v>0</v>
      </c>
      <c r="P2713" t="n">
        <v>0</v>
      </c>
      <c r="Q2713" t="n">
        <v>0</v>
      </c>
      <c r="R2713" s="2" t="inlineStr"/>
    </row>
    <row r="2714" ht="15" customHeight="1">
      <c r="A2714" t="inlineStr">
        <is>
          <t>A 18583-2022</t>
        </is>
      </c>
      <c r="B2714" s="1" t="n">
        <v>44687</v>
      </c>
      <c r="C2714" s="1" t="n">
        <v>45846</v>
      </c>
      <c r="D2714" t="inlineStr">
        <is>
          <t>UPPSALA LÄN</t>
        </is>
      </c>
      <c r="E2714" t="inlineStr">
        <is>
          <t>UPPSALA</t>
        </is>
      </c>
      <c r="F2714" t="inlineStr">
        <is>
          <t>Övriga Aktiebolag</t>
        </is>
      </c>
      <c r="G2714" t="n">
        <v>6.4</v>
      </c>
      <c r="H2714" t="n">
        <v>0</v>
      </c>
      <c r="I2714" t="n">
        <v>0</v>
      </c>
      <c r="J2714" t="n">
        <v>0</v>
      </c>
      <c r="K2714" t="n">
        <v>0</v>
      </c>
      <c r="L2714" t="n">
        <v>0</v>
      </c>
      <c r="M2714" t="n">
        <v>0</v>
      </c>
      <c r="N2714" t="n">
        <v>0</v>
      </c>
      <c r="O2714" t="n">
        <v>0</v>
      </c>
      <c r="P2714" t="n">
        <v>0</v>
      </c>
      <c r="Q2714" t="n">
        <v>0</v>
      </c>
      <c r="R2714" s="2" t="inlineStr"/>
    </row>
    <row r="2715" ht="15" customHeight="1">
      <c r="A2715" t="inlineStr">
        <is>
          <t>A 18609-2022</t>
        </is>
      </c>
      <c r="B2715" s="1" t="n">
        <v>44687</v>
      </c>
      <c r="C2715" s="1" t="n">
        <v>45846</v>
      </c>
      <c r="D2715" t="inlineStr">
        <is>
          <t>UPPSALA LÄN</t>
        </is>
      </c>
      <c r="E2715" t="inlineStr">
        <is>
          <t>TIERP</t>
        </is>
      </c>
      <c r="G2715" t="n">
        <v>6.3</v>
      </c>
      <c r="H2715" t="n">
        <v>0</v>
      </c>
      <c r="I2715" t="n">
        <v>0</v>
      </c>
      <c r="J2715" t="n">
        <v>0</v>
      </c>
      <c r="K2715" t="n">
        <v>0</v>
      </c>
      <c r="L2715" t="n">
        <v>0</v>
      </c>
      <c r="M2715" t="n">
        <v>0</v>
      </c>
      <c r="N2715" t="n">
        <v>0</v>
      </c>
      <c r="O2715" t="n">
        <v>0</v>
      </c>
      <c r="P2715" t="n">
        <v>0</v>
      </c>
      <c r="Q2715" t="n">
        <v>0</v>
      </c>
      <c r="R2715" s="2" t="inlineStr"/>
    </row>
    <row r="2716" ht="15" customHeight="1">
      <c r="A2716" t="inlineStr">
        <is>
          <t>A 18727-2022</t>
        </is>
      </c>
      <c r="B2716" s="1" t="n">
        <v>44687</v>
      </c>
      <c r="C2716" s="1" t="n">
        <v>45846</v>
      </c>
      <c r="D2716" t="inlineStr">
        <is>
          <t>UPPSALA LÄN</t>
        </is>
      </c>
      <c r="E2716" t="inlineStr">
        <is>
          <t>ÖSTHAMMAR</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18728-2022</t>
        </is>
      </c>
      <c r="B2717" s="1" t="n">
        <v>44687</v>
      </c>
      <c r="C2717" s="1" t="n">
        <v>45846</v>
      </c>
      <c r="D2717" t="inlineStr">
        <is>
          <t>UPPSALA LÄN</t>
        </is>
      </c>
      <c r="E2717" t="inlineStr">
        <is>
          <t>ÖSTHAMMAR</t>
        </is>
      </c>
      <c r="G2717" t="n">
        <v>8.1</v>
      </c>
      <c r="H2717" t="n">
        <v>0</v>
      </c>
      <c r="I2717" t="n">
        <v>0</v>
      </c>
      <c r="J2717" t="n">
        <v>0</v>
      </c>
      <c r="K2717" t="n">
        <v>0</v>
      </c>
      <c r="L2717" t="n">
        <v>0</v>
      </c>
      <c r="M2717" t="n">
        <v>0</v>
      </c>
      <c r="N2717" t="n">
        <v>0</v>
      </c>
      <c r="O2717" t="n">
        <v>0</v>
      </c>
      <c r="P2717" t="n">
        <v>0</v>
      </c>
      <c r="Q2717" t="n">
        <v>0</v>
      </c>
      <c r="R2717" s="2" t="inlineStr"/>
    </row>
    <row r="2718" ht="15" customHeight="1">
      <c r="A2718" t="inlineStr">
        <is>
          <t>A 18734-2022</t>
        </is>
      </c>
      <c r="B2718" s="1" t="n">
        <v>44687</v>
      </c>
      <c r="C2718" s="1" t="n">
        <v>45846</v>
      </c>
      <c r="D2718" t="inlineStr">
        <is>
          <t>UPPSALA LÄN</t>
        </is>
      </c>
      <c r="E2718" t="inlineStr">
        <is>
          <t>ÖSTHAMMAR</t>
        </is>
      </c>
      <c r="F2718" t="inlineStr">
        <is>
          <t>Bergvik skog öst AB</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18731-2022</t>
        </is>
      </c>
      <c r="B2719" s="1" t="n">
        <v>44687</v>
      </c>
      <c r="C2719" s="1" t="n">
        <v>45846</v>
      </c>
      <c r="D2719" t="inlineStr">
        <is>
          <t>UPPSALA LÄN</t>
        </is>
      </c>
      <c r="E2719" t="inlineStr">
        <is>
          <t>ÖSTHAMMAR</t>
        </is>
      </c>
      <c r="G2719" t="n">
        <v>4.9</v>
      </c>
      <c r="H2719" t="n">
        <v>0</v>
      </c>
      <c r="I2719" t="n">
        <v>0</v>
      </c>
      <c r="J2719" t="n">
        <v>0</v>
      </c>
      <c r="K2719" t="n">
        <v>0</v>
      </c>
      <c r="L2719" t="n">
        <v>0</v>
      </c>
      <c r="M2719" t="n">
        <v>0</v>
      </c>
      <c r="N2719" t="n">
        <v>0</v>
      </c>
      <c r="O2719" t="n">
        <v>0</v>
      </c>
      <c r="P2719" t="n">
        <v>0</v>
      </c>
      <c r="Q2719" t="n">
        <v>0</v>
      </c>
      <c r="R2719" s="2" t="inlineStr"/>
    </row>
    <row r="2720" ht="15" customHeight="1">
      <c r="A2720" t="inlineStr">
        <is>
          <t>A 18736-2022</t>
        </is>
      </c>
      <c r="B2720" s="1" t="n">
        <v>44687</v>
      </c>
      <c r="C2720" s="1" t="n">
        <v>45846</v>
      </c>
      <c r="D2720" t="inlineStr">
        <is>
          <t>UPPSALA LÄN</t>
        </is>
      </c>
      <c r="E2720" t="inlineStr">
        <is>
          <t>ÖSTHAMMAR</t>
        </is>
      </c>
      <c r="F2720" t="inlineStr">
        <is>
          <t>Bergvik skog öst AB</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18785-2022</t>
        </is>
      </c>
      <c r="B2721" s="1" t="n">
        <v>44687</v>
      </c>
      <c r="C2721" s="1" t="n">
        <v>45846</v>
      </c>
      <c r="D2721" t="inlineStr">
        <is>
          <t>UPPSALA LÄN</t>
        </is>
      </c>
      <c r="E2721" t="inlineStr">
        <is>
          <t>ENKÖPING</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18781-2022</t>
        </is>
      </c>
      <c r="B2722" s="1" t="n">
        <v>44689</v>
      </c>
      <c r="C2722" s="1" t="n">
        <v>45846</v>
      </c>
      <c r="D2722" t="inlineStr">
        <is>
          <t>UPPSALA LÄN</t>
        </is>
      </c>
      <c r="E2722" t="inlineStr">
        <is>
          <t>TIERP</t>
        </is>
      </c>
      <c r="F2722" t="inlineStr">
        <is>
          <t>Kyrkan</t>
        </is>
      </c>
      <c r="G2722" t="n">
        <v>8.4</v>
      </c>
      <c r="H2722" t="n">
        <v>0</v>
      </c>
      <c r="I2722" t="n">
        <v>0</v>
      </c>
      <c r="J2722" t="n">
        <v>0</v>
      </c>
      <c r="K2722" t="n">
        <v>0</v>
      </c>
      <c r="L2722" t="n">
        <v>0</v>
      </c>
      <c r="M2722" t="n">
        <v>0</v>
      </c>
      <c r="N2722" t="n">
        <v>0</v>
      </c>
      <c r="O2722" t="n">
        <v>0</v>
      </c>
      <c r="P2722" t="n">
        <v>0</v>
      </c>
      <c r="Q2722" t="n">
        <v>0</v>
      </c>
      <c r="R2722" s="2" t="inlineStr"/>
    </row>
    <row r="2723" ht="15" customHeight="1">
      <c r="A2723" t="inlineStr">
        <is>
          <t>A 18820-2022</t>
        </is>
      </c>
      <c r="B2723" s="1" t="n">
        <v>44690</v>
      </c>
      <c r="C2723" s="1" t="n">
        <v>45846</v>
      </c>
      <c r="D2723" t="inlineStr">
        <is>
          <t>UPPSALA LÄN</t>
        </is>
      </c>
      <c r="E2723" t="inlineStr">
        <is>
          <t>KNIVSTA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18960-2022</t>
        </is>
      </c>
      <c r="B2724" s="1" t="n">
        <v>44690</v>
      </c>
      <c r="C2724" s="1" t="n">
        <v>45846</v>
      </c>
      <c r="D2724" t="inlineStr">
        <is>
          <t>UPPSALA LÄN</t>
        </is>
      </c>
      <c r="E2724" t="inlineStr">
        <is>
          <t>UPPSALA</t>
        </is>
      </c>
      <c r="F2724" t="inlineStr">
        <is>
          <t>Bergvik skog öst AB</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19034-2022</t>
        </is>
      </c>
      <c r="B2725" s="1" t="n">
        <v>44691</v>
      </c>
      <c r="C2725" s="1" t="n">
        <v>45846</v>
      </c>
      <c r="D2725" t="inlineStr">
        <is>
          <t>UPPSALA LÄN</t>
        </is>
      </c>
      <c r="E2725" t="inlineStr">
        <is>
          <t>UPPSALA</t>
        </is>
      </c>
      <c r="F2725" t="inlineStr">
        <is>
          <t>Bergvik skog öst AB</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19174-2022</t>
        </is>
      </c>
      <c r="B2726" s="1" t="n">
        <v>44691</v>
      </c>
      <c r="C2726" s="1" t="n">
        <v>45846</v>
      </c>
      <c r="D2726" t="inlineStr">
        <is>
          <t>UPPSALA LÄN</t>
        </is>
      </c>
      <c r="E2726" t="inlineStr">
        <is>
          <t>ÖSTHAMMAR</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19181-2022</t>
        </is>
      </c>
      <c r="B2727" s="1" t="n">
        <v>44691</v>
      </c>
      <c r="C2727" s="1" t="n">
        <v>45846</v>
      </c>
      <c r="D2727" t="inlineStr">
        <is>
          <t>UPPSALA LÄN</t>
        </is>
      </c>
      <c r="E2727" t="inlineStr">
        <is>
          <t>ÖSTHAMMAR</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19184-2022</t>
        </is>
      </c>
      <c r="B2728" s="1" t="n">
        <v>44691</v>
      </c>
      <c r="C2728" s="1" t="n">
        <v>45846</v>
      </c>
      <c r="D2728" t="inlineStr">
        <is>
          <t>UPPSALA LÄN</t>
        </is>
      </c>
      <c r="E2728" t="inlineStr">
        <is>
          <t>HEBY</t>
        </is>
      </c>
      <c r="G2728" t="n">
        <v>7.3</v>
      </c>
      <c r="H2728" t="n">
        <v>0</v>
      </c>
      <c r="I2728" t="n">
        <v>0</v>
      </c>
      <c r="J2728" t="n">
        <v>0</v>
      </c>
      <c r="K2728" t="n">
        <v>0</v>
      </c>
      <c r="L2728" t="n">
        <v>0</v>
      </c>
      <c r="M2728" t="n">
        <v>0</v>
      </c>
      <c r="N2728" t="n">
        <v>0</v>
      </c>
      <c r="O2728" t="n">
        <v>0</v>
      </c>
      <c r="P2728" t="n">
        <v>0</v>
      </c>
      <c r="Q2728" t="n">
        <v>0</v>
      </c>
      <c r="R2728" s="2" t="inlineStr"/>
    </row>
    <row r="2729" ht="15" customHeight="1">
      <c r="A2729" t="inlineStr">
        <is>
          <t>A 19287-2022</t>
        </is>
      </c>
      <c r="B2729" s="1" t="n">
        <v>44692</v>
      </c>
      <c r="C2729" s="1" t="n">
        <v>45846</v>
      </c>
      <c r="D2729" t="inlineStr">
        <is>
          <t>UPPSALA LÄN</t>
        </is>
      </c>
      <c r="E2729" t="inlineStr">
        <is>
          <t>ÖSTHAMMAR</t>
        </is>
      </c>
      <c r="F2729" t="inlineStr">
        <is>
          <t>Bergvik skog öst AB</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19240-2022</t>
        </is>
      </c>
      <c r="B2730" s="1" t="n">
        <v>44692</v>
      </c>
      <c r="C2730" s="1" t="n">
        <v>45846</v>
      </c>
      <c r="D2730" t="inlineStr">
        <is>
          <t>UPPSALA LÄN</t>
        </is>
      </c>
      <c r="E2730" t="inlineStr">
        <is>
          <t>UPPSALA</t>
        </is>
      </c>
      <c r="F2730" t="inlineStr">
        <is>
          <t>Bergvik skog öst AB</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19375-2022</t>
        </is>
      </c>
      <c r="B2731" s="1" t="n">
        <v>44692</v>
      </c>
      <c r="C2731" s="1" t="n">
        <v>45846</v>
      </c>
      <c r="D2731" t="inlineStr">
        <is>
          <t>UPPSALA LÄN</t>
        </is>
      </c>
      <c r="E2731" t="inlineStr">
        <is>
          <t>UPPSALA</t>
        </is>
      </c>
      <c r="F2731" t="inlineStr">
        <is>
          <t>Bergvik skog öst AB</t>
        </is>
      </c>
      <c r="G2731" t="n">
        <v>5</v>
      </c>
      <c r="H2731" t="n">
        <v>0</v>
      </c>
      <c r="I2731" t="n">
        <v>0</v>
      </c>
      <c r="J2731" t="n">
        <v>0</v>
      </c>
      <c r="K2731" t="n">
        <v>0</v>
      </c>
      <c r="L2731" t="n">
        <v>0</v>
      </c>
      <c r="M2731" t="n">
        <v>0</v>
      </c>
      <c r="N2731" t="n">
        <v>0</v>
      </c>
      <c r="O2731" t="n">
        <v>0</v>
      </c>
      <c r="P2731" t="n">
        <v>0</v>
      </c>
      <c r="Q2731" t="n">
        <v>0</v>
      </c>
      <c r="R2731" s="2" t="inlineStr"/>
    </row>
    <row r="2732" ht="15" customHeight="1">
      <c r="A2732" t="inlineStr">
        <is>
          <t>A 19380-2022</t>
        </is>
      </c>
      <c r="B2732" s="1" t="n">
        <v>44692</v>
      </c>
      <c r="C2732" s="1" t="n">
        <v>45846</v>
      </c>
      <c r="D2732" t="inlineStr">
        <is>
          <t>UPPSALA LÄN</t>
        </is>
      </c>
      <c r="E2732" t="inlineStr">
        <is>
          <t>UPPSALA</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19382-2022</t>
        </is>
      </c>
      <c r="B2733" s="1" t="n">
        <v>44692</v>
      </c>
      <c r="C2733" s="1" t="n">
        <v>45846</v>
      </c>
      <c r="D2733" t="inlineStr">
        <is>
          <t>UPPSALA LÄN</t>
        </is>
      </c>
      <c r="E2733" t="inlineStr">
        <is>
          <t>UPPSALA</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19487-2022</t>
        </is>
      </c>
      <c r="B2734" s="1" t="n">
        <v>44693</v>
      </c>
      <c r="C2734" s="1" t="n">
        <v>45846</v>
      </c>
      <c r="D2734" t="inlineStr">
        <is>
          <t>UPPSALA LÄN</t>
        </is>
      </c>
      <c r="E2734" t="inlineStr">
        <is>
          <t>ENKÖPING</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19488-2022</t>
        </is>
      </c>
      <c r="B2735" s="1" t="n">
        <v>44693</v>
      </c>
      <c r="C2735" s="1" t="n">
        <v>45846</v>
      </c>
      <c r="D2735" t="inlineStr">
        <is>
          <t>UPPSALA LÄN</t>
        </is>
      </c>
      <c r="E2735" t="inlineStr">
        <is>
          <t>ENKÖPING</t>
        </is>
      </c>
      <c r="G2735" t="n">
        <v>7.8</v>
      </c>
      <c r="H2735" t="n">
        <v>0</v>
      </c>
      <c r="I2735" t="n">
        <v>0</v>
      </c>
      <c r="J2735" t="n">
        <v>0</v>
      </c>
      <c r="K2735" t="n">
        <v>0</v>
      </c>
      <c r="L2735" t="n">
        <v>0</v>
      </c>
      <c r="M2735" t="n">
        <v>0</v>
      </c>
      <c r="N2735" t="n">
        <v>0</v>
      </c>
      <c r="O2735" t="n">
        <v>0</v>
      </c>
      <c r="P2735" t="n">
        <v>0</v>
      </c>
      <c r="Q2735" t="n">
        <v>0</v>
      </c>
      <c r="R2735" s="2" t="inlineStr"/>
    </row>
    <row r="2736" ht="15" customHeight="1">
      <c r="A2736" t="inlineStr">
        <is>
          <t>A 19654-2022</t>
        </is>
      </c>
      <c r="B2736" s="1" t="n">
        <v>44694</v>
      </c>
      <c r="C2736" s="1" t="n">
        <v>45846</v>
      </c>
      <c r="D2736" t="inlineStr">
        <is>
          <t>UPPSALA LÄN</t>
        </is>
      </c>
      <c r="E2736" t="inlineStr">
        <is>
          <t>HEBY</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19735-2022</t>
        </is>
      </c>
      <c r="B2737" s="1" t="n">
        <v>44694</v>
      </c>
      <c r="C2737" s="1" t="n">
        <v>45846</v>
      </c>
      <c r="D2737" t="inlineStr">
        <is>
          <t>UPPSALA LÄN</t>
        </is>
      </c>
      <c r="E2737" t="inlineStr">
        <is>
          <t>HEBY</t>
        </is>
      </c>
      <c r="F2737" t="inlineStr">
        <is>
          <t>Bergvik skog väst AB</t>
        </is>
      </c>
      <c r="G2737" t="n">
        <v>7</v>
      </c>
      <c r="H2737" t="n">
        <v>0</v>
      </c>
      <c r="I2737" t="n">
        <v>0</v>
      </c>
      <c r="J2737" t="n">
        <v>0</v>
      </c>
      <c r="K2737" t="n">
        <v>0</v>
      </c>
      <c r="L2737" t="n">
        <v>0</v>
      </c>
      <c r="M2737" t="n">
        <v>0</v>
      </c>
      <c r="N2737" t="n">
        <v>0</v>
      </c>
      <c r="O2737" t="n">
        <v>0</v>
      </c>
      <c r="P2737" t="n">
        <v>0</v>
      </c>
      <c r="Q2737" t="n">
        <v>0</v>
      </c>
      <c r="R2737" s="2" t="inlineStr"/>
    </row>
    <row r="2738" ht="15" customHeight="1">
      <c r="A2738" t="inlineStr">
        <is>
          <t>A 19707-2022</t>
        </is>
      </c>
      <c r="B2738" s="1" t="n">
        <v>44694</v>
      </c>
      <c r="C2738" s="1" t="n">
        <v>45846</v>
      </c>
      <c r="D2738" t="inlineStr">
        <is>
          <t>UPPSALA LÄN</t>
        </is>
      </c>
      <c r="E2738" t="inlineStr">
        <is>
          <t>ÖSTHAMMAR</t>
        </is>
      </c>
      <c r="F2738" t="inlineStr">
        <is>
          <t>Allmännings- och besparingsskogar</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19683-2022</t>
        </is>
      </c>
      <c r="B2739" s="1" t="n">
        <v>44694</v>
      </c>
      <c r="C2739" s="1" t="n">
        <v>45846</v>
      </c>
      <c r="D2739" t="inlineStr">
        <is>
          <t>UPPSALA LÄN</t>
        </is>
      </c>
      <c r="E2739" t="inlineStr">
        <is>
          <t>HEBY</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19721-2022</t>
        </is>
      </c>
      <c r="B2740" s="1" t="n">
        <v>44694</v>
      </c>
      <c r="C2740" s="1" t="n">
        <v>45846</v>
      </c>
      <c r="D2740" t="inlineStr">
        <is>
          <t>UPPSALA LÄN</t>
        </is>
      </c>
      <c r="E2740" t="inlineStr">
        <is>
          <t>HEBY</t>
        </is>
      </c>
      <c r="F2740" t="inlineStr">
        <is>
          <t>Bergvik skog väst AB</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19731-2022</t>
        </is>
      </c>
      <c r="B2741" s="1" t="n">
        <v>44694</v>
      </c>
      <c r="C2741" s="1" t="n">
        <v>45846</v>
      </c>
      <c r="D2741" t="inlineStr">
        <is>
          <t>UPPSALA LÄN</t>
        </is>
      </c>
      <c r="E2741" t="inlineStr">
        <is>
          <t>ENKÖPING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19840-2022</t>
        </is>
      </c>
      <c r="B2742" s="1" t="n">
        <v>44696</v>
      </c>
      <c r="C2742" s="1" t="n">
        <v>45846</v>
      </c>
      <c r="D2742" t="inlineStr">
        <is>
          <t>UPPSALA LÄN</t>
        </is>
      </c>
      <c r="E2742" t="inlineStr">
        <is>
          <t>TIERP</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19965-2022</t>
        </is>
      </c>
      <c r="B2743" s="1" t="n">
        <v>44697</v>
      </c>
      <c r="C2743" s="1" t="n">
        <v>45846</v>
      </c>
      <c r="D2743" t="inlineStr">
        <is>
          <t>UPPSALA LÄN</t>
        </is>
      </c>
      <c r="E2743" t="inlineStr">
        <is>
          <t>ENKÖPING</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19990-2022</t>
        </is>
      </c>
      <c r="B2744" s="1" t="n">
        <v>44697</v>
      </c>
      <c r="C2744" s="1" t="n">
        <v>45846</v>
      </c>
      <c r="D2744" t="inlineStr">
        <is>
          <t>UPPSALA LÄN</t>
        </is>
      </c>
      <c r="E2744" t="inlineStr">
        <is>
          <t>HEBY</t>
        </is>
      </c>
      <c r="F2744" t="inlineStr">
        <is>
          <t>Bergvik skog väst AB</t>
        </is>
      </c>
      <c r="G2744" t="n">
        <v>14.3</v>
      </c>
      <c r="H2744" t="n">
        <v>0</v>
      </c>
      <c r="I2744" t="n">
        <v>0</v>
      </c>
      <c r="J2744" t="n">
        <v>0</v>
      </c>
      <c r="K2744" t="n">
        <v>0</v>
      </c>
      <c r="L2744" t="n">
        <v>0</v>
      </c>
      <c r="M2744" t="n">
        <v>0</v>
      </c>
      <c r="N2744" t="n">
        <v>0</v>
      </c>
      <c r="O2744" t="n">
        <v>0</v>
      </c>
      <c r="P2744" t="n">
        <v>0</v>
      </c>
      <c r="Q2744" t="n">
        <v>0</v>
      </c>
      <c r="R2744" s="2" t="inlineStr"/>
    </row>
    <row r="2745" ht="15" customHeight="1">
      <c r="A2745" t="inlineStr">
        <is>
          <t>A 19896-2022</t>
        </is>
      </c>
      <c r="B2745" s="1" t="n">
        <v>44697</v>
      </c>
      <c r="C2745" s="1" t="n">
        <v>45846</v>
      </c>
      <c r="D2745" t="inlineStr">
        <is>
          <t>UPPSALA LÄN</t>
        </is>
      </c>
      <c r="E2745" t="inlineStr">
        <is>
          <t>HEBY</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20288-2022</t>
        </is>
      </c>
      <c r="B2746" s="1" t="n">
        <v>44698</v>
      </c>
      <c r="C2746" s="1" t="n">
        <v>45846</v>
      </c>
      <c r="D2746" t="inlineStr">
        <is>
          <t>UPPSALA LÄN</t>
        </is>
      </c>
      <c r="E2746" t="inlineStr">
        <is>
          <t>TIERP</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20265-2022</t>
        </is>
      </c>
      <c r="B2747" s="1" t="n">
        <v>44698</v>
      </c>
      <c r="C2747" s="1" t="n">
        <v>45846</v>
      </c>
      <c r="D2747" t="inlineStr">
        <is>
          <t>UPPSALA LÄN</t>
        </is>
      </c>
      <c r="E2747" t="inlineStr">
        <is>
          <t>UPPSALA</t>
        </is>
      </c>
      <c r="F2747" t="inlineStr">
        <is>
          <t>Bergvik skog öst AB</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20321-2022</t>
        </is>
      </c>
      <c r="B2748" s="1" t="n">
        <v>44699</v>
      </c>
      <c r="C2748" s="1" t="n">
        <v>45846</v>
      </c>
      <c r="D2748" t="inlineStr">
        <is>
          <t>UPPSALA LÄN</t>
        </is>
      </c>
      <c r="E2748" t="inlineStr">
        <is>
          <t>ENKÖPING</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20468-2022</t>
        </is>
      </c>
      <c r="B2749" s="1" t="n">
        <v>44699</v>
      </c>
      <c r="C2749" s="1" t="n">
        <v>45846</v>
      </c>
      <c r="D2749" t="inlineStr">
        <is>
          <t>UPPSALA LÄN</t>
        </is>
      </c>
      <c r="E2749" t="inlineStr">
        <is>
          <t>ÖSTHAMMAR</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20497-2022</t>
        </is>
      </c>
      <c r="B2750" s="1" t="n">
        <v>44699</v>
      </c>
      <c r="C2750" s="1" t="n">
        <v>45846</v>
      </c>
      <c r="D2750" t="inlineStr">
        <is>
          <t>UPPSALA LÄN</t>
        </is>
      </c>
      <c r="E2750" t="inlineStr">
        <is>
          <t>UPPSALA</t>
        </is>
      </c>
      <c r="F2750" t="inlineStr">
        <is>
          <t>Övriga statliga verk och myndigheter</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20627-2022</t>
        </is>
      </c>
      <c r="B2751" s="1" t="n">
        <v>44700</v>
      </c>
      <c r="C2751" s="1" t="n">
        <v>45846</v>
      </c>
      <c r="D2751" t="inlineStr">
        <is>
          <t>UPPSALA LÄN</t>
        </is>
      </c>
      <c r="E2751" t="inlineStr">
        <is>
          <t>HEBY</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20587-2022</t>
        </is>
      </c>
      <c r="B2752" s="1" t="n">
        <v>44700</v>
      </c>
      <c r="C2752" s="1" t="n">
        <v>45846</v>
      </c>
      <c r="D2752" t="inlineStr">
        <is>
          <t>UPPSALA LÄN</t>
        </is>
      </c>
      <c r="E2752" t="inlineStr">
        <is>
          <t>TIERP</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20770-2022</t>
        </is>
      </c>
      <c r="B2753" s="1" t="n">
        <v>44700</v>
      </c>
      <c r="C2753" s="1" t="n">
        <v>45846</v>
      </c>
      <c r="D2753" t="inlineStr">
        <is>
          <t>UPPSALA LÄN</t>
        </is>
      </c>
      <c r="E2753" t="inlineStr">
        <is>
          <t>UPPSALA</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20764-2022</t>
        </is>
      </c>
      <c r="B2754" s="1" t="n">
        <v>44700</v>
      </c>
      <c r="C2754" s="1" t="n">
        <v>45846</v>
      </c>
      <c r="D2754" t="inlineStr">
        <is>
          <t>UPPSALA LÄN</t>
        </is>
      </c>
      <c r="E2754" t="inlineStr">
        <is>
          <t>UPPSALA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20882-2022</t>
        </is>
      </c>
      <c r="B2755" s="1" t="n">
        <v>44701</v>
      </c>
      <c r="C2755" s="1" t="n">
        <v>45846</v>
      </c>
      <c r="D2755" t="inlineStr">
        <is>
          <t>UPPSALA LÄN</t>
        </is>
      </c>
      <c r="E2755" t="inlineStr">
        <is>
          <t>HEBY</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20885-2022</t>
        </is>
      </c>
      <c r="B2756" s="1" t="n">
        <v>44701</v>
      </c>
      <c r="C2756" s="1" t="n">
        <v>45846</v>
      </c>
      <c r="D2756" t="inlineStr">
        <is>
          <t>UPPSALA LÄN</t>
        </is>
      </c>
      <c r="E2756" t="inlineStr">
        <is>
          <t>TIERP</t>
        </is>
      </c>
      <c r="F2756" t="inlineStr">
        <is>
          <t>Övriga Aktiebolag</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20997-2022</t>
        </is>
      </c>
      <c r="B2757" s="1" t="n">
        <v>44701</v>
      </c>
      <c r="C2757" s="1" t="n">
        <v>45846</v>
      </c>
      <c r="D2757" t="inlineStr">
        <is>
          <t>UPPSALA LÄN</t>
        </is>
      </c>
      <c r="E2757" t="inlineStr">
        <is>
          <t>TIERP</t>
        </is>
      </c>
      <c r="F2757" t="inlineStr">
        <is>
          <t>Bergvik skog väst AB</t>
        </is>
      </c>
      <c r="G2757" t="n">
        <v>40</v>
      </c>
      <c r="H2757" t="n">
        <v>0</v>
      </c>
      <c r="I2757" t="n">
        <v>0</v>
      </c>
      <c r="J2757" t="n">
        <v>0</v>
      </c>
      <c r="K2757" t="n">
        <v>0</v>
      </c>
      <c r="L2757" t="n">
        <v>0</v>
      </c>
      <c r="M2757" t="n">
        <v>0</v>
      </c>
      <c r="N2757" t="n">
        <v>0</v>
      </c>
      <c r="O2757" t="n">
        <v>0</v>
      </c>
      <c r="P2757" t="n">
        <v>0</v>
      </c>
      <c r="Q2757" t="n">
        <v>0</v>
      </c>
      <c r="R2757" s="2" t="inlineStr"/>
    </row>
    <row r="2758" ht="15" customHeight="1">
      <c r="A2758" t="inlineStr">
        <is>
          <t>A 20938-2022</t>
        </is>
      </c>
      <c r="B2758" s="1" t="n">
        <v>44701</v>
      </c>
      <c r="C2758" s="1" t="n">
        <v>45846</v>
      </c>
      <c r="D2758" t="inlineStr">
        <is>
          <t>UPPSALA LÄN</t>
        </is>
      </c>
      <c r="E2758" t="inlineStr">
        <is>
          <t>UPPSALA</t>
        </is>
      </c>
      <c r="F2758" t="inlineStr">
        <is>
          <t>Bergvik skog öst AB</t>
        </is>
      </c>
      <c r="G2758" t="n">
        <v>7.2</v>
      </c>
      <c r="H2758" t="n">
        <v>0</v>
      </c>
      <c r="I2758" t="n">
        <v>0</v>
      </c>
      <c r="J2758" t="n">
        <v>0</v>
      </c>
      <c r="K2758" t="n">
        <v>0</v>
      </c>
      <c r="L2758" t="n">
        <v>0</v>
      </c>
      <c r="M2758" t="n">
        <v>0</v>
      </c>
      <c r="N2758" t="n">
        <v>0</v>
      </c>
      <c r="O2758" t="n">
        <v>0</v>
      </c>
      <c r="P2758" t="n">
        <v>0</v>
      </c>
      <c r="Q2758" t="n">
        <v>0</v>
      </c>
      <c r="R2758" s="2" t="inlineStr"/>
    </row>
    <row r="2759" ht="15" customHeight="1">
      <c r="A2759" t="inlineStr">
        <is>
          <t>A 20911-2022</t>
        </is>
      </c>
      <c r="B2759" s="1" t="n">
        <v>44701</v>
      </c>
      <c r="C2759" s="1" t="n">
        <v>45846</v>
      </c>
      <c r="D2759" t="inlineStr">
        <is>
          <t>UPPSALA LÄN</t>
        </is>
      </c>
      <c r="E2759" t="inlineStr">
        <is>
          <t>TIERP</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21000-2022</t>
        </is>
      </c>
      <c r="B2760" s="1" t="n">
        <v>44701</v>
      </c>
      <c r="C2760" s="1" t="n">
        <v>45846</v>
      </c>
      <c r="D2760" t="inlineStr">
        <is>
          <t>UPPSALA LÄN</t>
        </is>
      </c>
      <c r="E2760" t="inlineStr">
        <is>
          <t>HEBY</t>
        </is>
      </c>
      <c r="F2760" t="inlineStr">
        <is>
          <t>Bergvik skog väst AB</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20936-2022</t>
        </is>
      </c>
      <c r="B2761" s="1" t="n">
        <v>44701</v>
      </c>
      <c r="C2761" s="1" t="n">
        <v>45846</v>
      </c>
      <c r="D2761" t="inlineStr">
        <is>
          <t>UPPSALA LÄN</t>
        </is>
      </c>
      <c r="E2761" t="inlineStr">
        <is>
          <t>UPPSALA</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20980-2022</t>
        </is>
      </c>
      <c r="B2762" s="1" t="n">
        <v>44702</v>
      </c>
      <c r="C2762" s="1" t="n">
        <v>45846</v>
      </c>
      <c r="D2762" t="inlineStr">
        <is>
          <t>UPPSALA LÄN</t>
        </is>
      </c>
      <c r="E2762" t="inlineStr">
        <is>
          <t>UPPSALA</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21034-2022</t>
        </is>
      </c>
      <c r="B2763" s="1" t="n">
        <v>44704</v>
      </c>
      <c r="C2763" s="1" t="n">
        <v>45846</v>
      </c>
      <c r="D2763" t="inlineStr">
        <is>
          <t>UPPSALA LÄN</t>
        </is>
      </c>
      <c r="E2763" t="inlineStr">
        <is>
          <t>TIERP</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21047-2022</t>
        </is>
      </c>
      <c r="B2764" s="1" t="n">
        <v>44704</v>
      </c>
      <c r="C2764" s="1" t="n">
        <v>45846</v>
      </c>
      <c r="D2764" t="inlineStr">
        <is>
          <t>UPPSALA LÄN</t>
        </is>
      </c>
      <c r="E2764" t="inlineStr">
        <is>
          <t>TIERP</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21017-2022</t>
        </is>
      </c>
      <c r="B2765" s="1" t="n">
        <v>44704</v>
      </c>
      <c r="C2765" s="1" t="n">
        <v>45846</v>
      </c>
      <c r="D2765" t="inlineStr">
        <is>
          <t>UPPSALA LÄN</t>
        </is>
      </c>
      <c r="E2765" t="inlineStr">
        <is>
          <t>TIERP</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21032-2022</t>
        </is>
      </c>
      <c r="B2766" s="1" t="n">
        <v>44704</v>
      </c>
      <c r="C2766" s="1" t="n">
        <v>45846</v>
      </c>
      <c r="D2766" t="inlineStr">
        <is>
          <t>UPPSALA LÄN</t>
        </is>
      </c>
      <c r="E2766" t="inlineStr">
        <is>
          <t>TIERP</t>
        </is>
      </c>
      <c r="F2766" t="inlineStr">
        <is>
          <t>Bergvik skog öst AB</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21132-2022</t>
        </is>
      </c>
      <c r="B2767" s="1" t="n">
        <v>44704</v>
      </c>
      <c r="C2767" s="1" t="n">
        <v>45846</v>
      </c>
      <c r="D2767" t="inlineStr">
        <is>
          <t>UPPSALA LÄN</t>
        </is>
      </c>
      <c r="E2767" t="inlineStr">
        <is>
          <t>TIERP</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21181-2022</t>
        </is>
      </c>
      <c r="B2768" s="1" t="n">
        <v>44704</v>
      </c>
      <c r="C2768" s="1" t="n">
        <v>45846</v>
      </c>
      <c r="D2768" t="inlineStr">
        <is>
          <t>UPPSALA LÄN</t>
        </is>
      </c>
      <c r="E2768" t="inlineStr">
        <is>
          <t>UPPSALA</t>
        </is>
      </c>
      <c r="F2768" t="inlineStr">
        <is>
          <t>Bergvik skog öst AB</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21228-2022</t>
        </is>
      </c>
      <c r="B2769" s="1" t="n">
        <v>44704</v>
      </c>
      <c r="C2769" s="1" t="n">
        <v>45846</v>
      </c>
      <c r="D2769" t="inlineStr">
        <is>
          <t>UPPSALA LÄN</t>
        </is>
      </c>
      <c r="E2769" t="inlineStr">
        <is>
          <t>UPPSALA</t>
        </is>
      </c>
      <c r="G2769" t="n">
        <v>0.2</v>
      </c>
      <c r="H2769" t="n">
        <v>0</v>
      </c>
      <c r="I2769" t="n">
        <v>0</v>
      </c>
      <c r="J2769" t="n">
        <v>0</v>
      </c>
      <c r="K2769" t="n">
        <v>0</v>
      </c>
      <c r="L2769" t="n">
        <v>0</v>
      </c>
      <c r="M2769" t="n">
        <v>0</v>
      </c>
      <c r="N2769" t="n">
        <v>0</v>
      </c>
      <c r="O2769" t="n">
        <v>0</v>
      </c>
      <c r="P2769" t="n">
        <v>0</v>
      </c>
      <c r="Q2769" t="n">
        <v>0</v>
      </c>
      <c r="R2769" s="2" t="inlineStr"/>
    </row>
    <row r="2770" ht="15" customHeight="1">
      <c r="A2770" t="inlineStr">
        <is>
          <t>A 21332-2022</t>
        </is>
      </c>
      <c r="B2770" s="1" t="n">
        <v>44705</v>
      </c>
      <c r="C2770" s="1" t="n">
        <v>45846</v>
      </c>
      <c r="D2770" t="inlineStr">
        <is>
          <t>UPPSALA LÄN</t>
        </is>
      </c>
      <c r="E2770" t="inlineStr">
        <is>
          <t>TIERP</t>
        </is>
      </c>
      <c r="F2770" t="inlineStr">
        <is>
          <t>Övriga Aktiebolag</t>
        </is>
      </c>
      <c r="G2770" t="n">
        <v>8.6</v>
      </c>
      <c r="H2770" t="n">
        <v>0</v>
      </c>
      <c r="I2770" t="n">
        <v>0</v>
      </c>
      <c r="J2770" t="n">
        <v>0</v>
      </c>
      <c r="K2770" t="n">
        <v>0</v>
      </c>
      <c r="L2770" t="n">
        <v>0</v>
      </c>
      <c r="M2770" t="n">
        <v>0</v>
      </c>
      <c r="N2770" t="n">
        <v>0</v>
      </c>
      <c r="O2770" t="n">
        <v>0</v>
      </c>
      <c r="P2770" t="n">
        <v>0</v>
      </c>
      <c r="Q2770" t="n">
        <v>0</v>
      </c>
      <c r="R2770" s="2" t="inlineStr"/>
    </row>
    <row r="2771" ht="15" customHeight="1">
      <c r="A2771" t="inlineStr">
        <is>
          <t>A 21387-2022</t>
        </is>
      </c>
      <c r="B2771" s="1" t="n">
        <v>44705</v>
      </c>
      <c r="C2771" s="1" t="n">
        <v>45846</v>
      </c>
      <c r="D2771" t="inlineStr">
        <is>
          <t>UPPSALA LÄN</t>
        </is>
      </c>
      <c r="E2771" t="inlineStr">
        <is>
          <t>UPPSALA</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21391-2022</t>
        </is>
      </c>
      <c r="B2772" s="1" t="n">
        <v>44705</v>
      </c>
      <c r="C2772" s="1" t="n">
        <v>45846</v>
      </c>
      <c r="D2772" t="inlineStr">
        <is>
          <t>UPPSALA LÄN</t>
        </is>
      </c>
      <c r="E2772" t="inlineStr">
        <is>
          <t>UPPSALA</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21394-2022</t>
        </is>
      </c>
      <c r="B2773" s="1" t="n">
        <v>44705</v>
      </c>
      <c r="C2773" s="1" t="n">
        <v>45846</v>
      </c>
      <c r="D2773" t="inlineStr">
        <is>
          <t>UPPSALA LÄN</t>
        </is>
      </c>
      <c r="E2773" t="inlineStr">
        <is>
          <t>UPPSALA</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21522-2022</t>
        </is>
      </c>
      <c r="B2774" s="1" t="n">
        <v>44706</v>
      </c>
      <c r="C2774" s="1" t="n">
        <v>45846</v>
      </c>
      <c r="D2774" t="inlineStr">
        <is>
          <t>UPPSALA LÄN</t>
        </is>
      </c>
      <c r="E2774" t="inlineStr">
        <is>
          <t>ÖSTHAMMAR</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21775-2022</t>
        </is>
      </c>
      <c r="B2775" s="1" t="n">
        <v>44708</v>
      </c>
      <c r="C2775" s="1" t="n">
        <v>45846</v>
      </c>
      <c r="D2775" t="inlineStr">
        <is>
          <t>UPPSALA LÄN</t>
        </is>
      </c>
      <c r="E2775" t="inlineStr">
        <is>
          <t>TIERP</t>
        </is>
      </c>
      <c r="F2775" t="inlineStr">
        <is>
          <t>Bergvik skog väst AB</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21749-2022</t>
        </is>
      </c>
      <c r="B2776" s="1" t="n">
        <v>44708</v>
      </c>
      <c r="C2776" s="1" t="n">
        <v>45846</v>
      </c>
      <c r="D2776" t="inlineStr">
        <is>
          <t>UPPSALA LÄN</t>
        </is>
      </c>
      <c r="E2776" t="inlineStr">
        <is>
          <t>HEBY</t>
        </is>
      </c>
      <c r="F2776" t="inlineStr">
        <is>
          <t>Övriga Aktiebolag</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21776-2022</t>
        </is>
      </c>
      <c r="B2777" s="1" t="n">
        <v>44708</v>
      </c>
      <c r="C2777" s="1" t="n">
        <v>45846</v>
      </c>
      <c r="D2777" t="inlineStr">
        <is>
          <t>UPPSALA LÄN</t>
        </is>
      </c>
      <c r="E2777" t="inlineStr">
        <is>
          <t>TIERP</t>
        </is>
      </c>
      <c r="F2777" t="inlineStr">
        <is>
          <t>Bergvik skog väst AB</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21830-2022</t>
        </is>
      </c>
      <c r="B2778" s="1" t="n">
        <v>44710</v>
      </c>
      <c r="C2778" s="1" t="n">
        <v>45846</v>
      </c>
      <c r="D2778" t="inlineStr">
        <is>
          <t>UPPSALA LÄN</t>
        </is>
      </c>
      <c r="E2778" t="inlineStr">
        <is>
          <t>ÖSTHAMMAR</t>
        </is>
      </c>
      <c r="F2778" t="inlineStr">
        <is>
          <t>Bergvik skog öst AB</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21829-2022</t>
        </is>
      </c>
      <c r="B2779" s="1" t="n">
        <v>44710</v>
      </c>
      <c r="C2779" s="1" t="n">
        <v>45846</v>
      </c>
      <c r="D2779" t="inlineStr">
        <is>
          <t>UPPSALA LÄN</t>
        </is>
      </c>
      <c r="E2779" t="inlineStr">
        <is>
          <t>ÖSTHAMMAR</t>
        </is>
      </c>
      <c r="F2779" t="inlineStr">
        <is>
          <t>Bergvik skog öst AB</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21863-2022</t>
        </is>
      </c>
      <c r="B2780" s="1" t="n">
        <v>44711</v>
      </c>
      <c r="C2780" s="1" t="n">
        <v>45846</v>
      </c>
      <c r="D2780" t="inlineStr">
        <is>
          <t>UPPSALA LÄN</t>
        </is>
      </c>
      <c r="E2780" t="inlineStr">
        <is>
          <t>HEBY</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22031-2022</t>
        </is>
      </c>
      <c r="B2781" s="1" t="n">
        <v>44711</v>
      </c>
      <c r="C2781" s="1" t="n">
        <v>45846</v>
      </c>
      <c r="D2781" t="inlineStr">
        <is>
          <t>UPPSALA LÄN</t>
        </is>
      </c>
      <c r="E2781" t="inlineStr">
        <is>
          <t>HEBY</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22021-2022</t>
        </is>
      </c>
      <c r="B2782" s="1" t="n">
        <v>44711</v>
      </c>
      <c r="C2782" s="1" t="n">
        <v>45846</v>
      </c>
      <c r="D2782" t="inlineStr">
        <is>
          <t>UPPSALA LÄN</t>
        </is>
      </c>
      <c r="E2782" t="inlineStr">
        <is>
          <t>UPPSALA</t>
        </is>
      </c>
      <c r="F2782" t="inlineStr">
        <is>
          <t>Allmännings- och besparingsskogar</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22207-2022</t>
        </is>
      </c>
      <c r="B2783" s="1" t="n">
        <v>44712</v>
      </c>
      <c r="C2783" s="1" t="n">
        <v>45846</v>
      </c>
      <c r="D2783" t="inlineStr">
        <is>
          <t>UPPSALA LÄN</t>
        </is>
      </c>
      <c r="E2783" t="inlineStr">
        <is>
          <t>ÖSTHAMMAR</t>
        </is>
      </c>
      <c r="F2783" t="inlineStr">
        <is>
          <t>Bergvik skog öst AB</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22216-2022</t>
        </is>
      </c>
      <c r="B2784" s="1" t="n">
        <v>44712</v>
      </c>
      <c r="C2784" s="1" t="n">
        <v>45846</v>
      </c>
      <c r="D2784" t="inlineStr">
        <is>
          <t>UPPSALA LÄN</t>
        </is>
      </c>
      <c r="E2784" t="inlineStr">
        <is>
          <t>HEBY</t>
        </is>
      </c>
      <c r="G2784" t="n">
        <v>5</v>
      </c>
      <c r="H2784" t="n">
        <v>0</v>
      </c>
      <c r="I2784" t="n">
        <v>0</v>
      </c>
      <c r="J2784" t="n">
        <v>0</v>
      </c>
      <c r="K2784" t="n">
        <v>0</v>
      </c>
      <c r="L2784" t="n">
        <v>0</v>
      </c>
      <c r="M2784" t="n">
        <v>0</v>
      </c>
      <c r="N2784" t="n">
        <v>0</v>
      </c>
      <c r="O2784" t="n">
        <v>0</v>
      </c>
      <c r="P2784" t="n">
        <v>0</v>
      </c>
      <c r="Q2784" t="n">
        <v>0</v>
      </c>
      <c r="R2784" s="2" t="inlineStr"/>
    </row>
    <row r="2785" ht="15" customHeight="1">
      <c r="A2785" t="inlineStr">
        <is>
          <t>A 22390-2022</t>
        </is>
      </c>
      <c r="B2785" s="1" t="n">
        <v>44713</v>
      </c>
      <c r="C2785" s="1" t="n">
        <v>45846</v>
      </c>
      <c r="D2785" t="inlineStr">
        <is>
          <t>UPPSALA LÄN</t>
        </is>
      </c>
      <c r="E2785" t="inlineStr">
        <is>
          <t>UPPSALA</t>
        </is>
      </c>
      <c r="F2785" t="inlineStr">
        <is>
          <t>Bergvik skog öst AB</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22429-2022</t>
        </is>
      </c>
      <c r="B2786" s="1" t="n">
        <v>44713</v>
      </c>
      <c r="C2786" s="1" t="n">
        <v>45846</v>
      </c>
      <c r="D2786" t="inlineStr">
        <is>
          <t>UPPSALA LÄN</t>
        </is>
      </c>
      <c r="E2786" t="inlineStr">
        <is>
          <t>UPPSALA</t>
        </is>
      </c>
      <c r="F2786" t="inlineStr">
        <is>
          <t>Bergvik skog öst AB</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22580-2022</t>
        </is>
      </c>
      <c r="B2787" s="1" t="n">
        <v>44713</v>
      </c>
      <c r="C2787" s="1" t="n">
        <v>45846</v>
      </c>
      <c r="D2787" t="inlineStr">
        <is>
          <t>UPPSALA LÄN</t>
        </is>
      </c>
      <c r="E2787" t="inlineStr">
        <is>
          <t>HEBY</t>
        </is>
      </c>
      <c r="F2787" t="inlineStr">
        <is>
          <t>Bergvik skog väst AB</t>
        </is>
      </c>
      <c r="G2787" t="n">
        <v>9.6</v>
      </c>
      <c r="H2787" t="n">
        <v>0</v>
      </c>
      <c r="I2787" t="n">
        <v>0</v>
      </c>
      <c r="J2787" t="n">
        <v>0</v>
      </c>
      <c r="K2787" t="n">
        <v>0</v>
      </c>
      <c r="L2787" t="n">
        <v>0</v>
      </c>
      <c r="M2787" t="n">
        <v>0</v>
      </c>
      <c r="N2787" t="n">
        <v>0</v>
      </c>
      <c r="O2787" t="n">
        <v>0</v>
      </c>
      <c r="P2787" t="n">
        <v>0</v>
      </c>
      <c r="Q2787" t="n">
        <v>0</v>
      </c>
      <c r="R2787" s="2" t="inlineStr"/>
    </row>
    <row r="2788" ht="15" customHeight="1">
      <c r="A2788" t="inlineStr">
        <is>
          <t>A 22663-2022</t>
        </is>
      </c>
      <c r="B2788" s="1" t="n">
        <v>44713</v>
      </c>
      <c r="C2788" s="1" t="n">
        <v>45846</v>
      </c>
      <c r="D2788" t="inlineStr">
        <is>
          <t>UPPSALA LÄN</t>
        </is>
      </c>
      <c r="E2788" t="inlineStr">
        <is>
          <t>TIERP</t>
        </is>
      </c>
      <c r="F2788" t="inlineStr">
        <is>
          <t>Bergvik skog väst AB</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22592-2022</t>
        </is>
      </c>
      <c r="B2789" s="1" t="n">
        <v>44713</v>
      </c>
      <c r="C2789" s="1" t="n">
        <v>45846</v>
      </c>
      <c r="D2789" t="inlineStr">
        <is>
          <t>UPPSALA LÄN</t>
        </is>
      </c>
      <c r="E2789" t="inlineStr">
        <is>
          <t>TIERP</t>
        </is>
      </c>
      <c r="F2789" t="inlineStr">
        <is>
          <t>Bergvik skog väst AB</t>
        </is>
      </c>
      <c r="G2789" t="n">
        <v>9.800000000000001</v>
      </c>
      <c r="H2789" t="n">
        <v>0</v>
      </c>
      <c r="I2789" t="n">
        <v>0</v>
      </c>
      <c r="J2789" t="n">
        <v>0</v>
      </c>
      <c r="K2789" t="n">
        <v>0</v>
      </c>
      <c r="L2789" t="n">
        <v>0</v>
      </c>
      <c r="M2789" t="n">
        <v>0</v>
      </c>
      <c r="N2789" t="n">
        <v>0</v>
      </c>
      <c r="O2789" t="n">
        <v>0</v>
      </c>
      <c r="P2789" t="n">
        <v>0</v>
      </c>
      <c r="Q2789" t="n">
        <v>0</v>
      </c>
      <c r="R2789" s="2" t="inlineStr"/>
    </row>
    <row r="2790" ht="15" customHeight="1">
      <c r="A2790" t="inlineStr">
        <is>
          <t>A 22619-2022</t>
        </is>
      </c>
      <c r="B2790" s="1" t="n">
        <v>44714</v>
      </c>
      <c r="C2790" s="1" t="n">
        <v>45846</v>
      </c>
      <c r="D2790" t="inlineStr">
        <is>
          <t>UPPSALA LÄN</t>
        </is>
      </c>
      <c r="E2790" t="inlineStr">
        <is>
          <t>ÖSTHAMMAR</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22645-2022</t>
        </is>
      </c>
      <c r="B2791" s="1" t="n">
        <v>44714</v>
      </c>
      <c r="C2791" s="1" t="n">
        <v>45846</v>
      </c>
      <c r="D2791" t="inlineStr">
        <is>
          <t>UPPSALA LÄN</t>
        </is>
      </c>
      <c r="E2791" t="inlineStr">
        <is>
          <t>UPPSALA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22804-2022</t>
        </is>
      </c>
      <c r="B2792" s="1" t="n">
        <v>44715</v>
      </c>
      <c r="C2792" s="1" t="n">
        <v>45846</v>
      </c>
      <c r="D2792" t="inlineStr">
        <is>
          <t>UPPSALA LÄN</t>
        </is>
      </c>
      <c r="E2792" t="inlineStr">
        <is>
          <t>ÖSTHAMMAR</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22887-2022</t>
        </is>
      </c>
      <c r="B2793" s="1" t="n">
        <v>44715</v>
      </c>
      <c r="C2793" s="1" t="n">
        <v>45846</v>
      </c>
      <c r="D2793" t="inlineStr">
        <is>
          <t>UPPSALA LÄN</t>
        </is>
      </c>
      <c r="E2793" t="inlineStr">
        <is>
          <t>ÖSTHAMMAR</t>
        </is>
      </c>
      <c r="G2793" t="n">
        <v>0.2</v>
      </c>
      <c r="H2793" t="n">
        <v>0</v>
      </c>
      <c r="I2793" t="n">
        <v>0</v>
      </c>
      <c r="J2793" t="n">
        <v>0</v>
      </c>
      <c r="K2793" t="n">
        <v>0</v>
      </c>
      <c r="L2793" t="n">
        <v>0</v>
      </c>
      <c r="M2793" t="n">
        <v>0</v>
      </c>
      <c r="N2793" t="n">
        <v>0</v>
      </c>
      <c r="O2793" t="n">
        <v>0</v>
      </c>
      <c r="P2793" t="n">
        <v>0</v>
      </c>
      <c r="Q2793" t="n">
        <v>0</v>
      </c>
      <c r="R2793" s="2" t="inlineStr"/>
    </row>
    <row r="2794" ht="15" customHeight="1">
      <c r="A2794" t="inlineStr">
        <is>
          <t>A 22873-2022</t>
        </is>
      </c>
      <c r="B2794" s="1" t="n">
        <v>44715</v>
      </c>
      <c r="C2794" s="1" t="n">
        <v>45846</v>
      </c>
      <c r="D2794" t="inlineStr">
        <is>
          <t>UPPSALA LÄN</t>
        </is>
      </c>
      <c r="E2794" t="inlineStr">
        <is>
          <t>HEBY</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22916-2022</t>
        </is>
      </c>
      <c r="B2795" s="1" t="n">
        <v>44715</v>
      </c>
      <c r="C2795" s="1" t="n">
        <v>45846</v>
      </c>
      <c r="D2795" t="inlineStr">
        <is>
          <t>UPPSALA LÄN</t>
        </is>
      </c>
      <c r="E2795" t="inlineStr">
        <is>
          <t>ÄLVKARLEBY</t>
        </is>
      </c>
      <c r="F2795" t="inlineStr">
        <is>
          <t>Bergvik skog väst AB</t>
        </is>
      </c>
      <c r="G2795" t="n">
        <v>9.199999999999999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22945-2022</t>
        </is>
      </c>
      <c r="B2796" s="1" t="n">
        <v>44715</v>
      </c>
      <c r="C2796" s="1" t="n">
        <v>45846</v>
      </c>
      <c r="D2796" t="inlineStr">
        <is>
          <t>UPPSALA LÄN</t>
        </is>
      </c>
      <c r="E2796" t="inlineStr">
        <is>
          <t>ÖSTHAMMAR</t>
        </is>
      </c>
      <c r="F2796" t="inlineStr">
        <is>
          <t>Bergvik skog öst AB</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22810-2022</t>
        </is>
      </c>
      <c r="B2797" s="1" t="n">
        <v>44715</v>
      </c>
      <c r="C2797" s="1" t="n">
        <v>45846</v>
      </c>
      <c r="D2797" t="inlineStr">
        <is>
          <t>UPPSALA LÄN</t>
        </is>
      </c>
      <c r="E2797" t="inlineStr">
        <is>
          <t>TIERP</t>
        </is>
      </c>
      <c r="F2797" t="inlineStr">
        <is>
          <t>Övriga Aktiebolag</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22993-2022</t>
        </is>
      </c>
      <c r="B2798" s="1" t="n">
        <v>44718</v>
      </c>
      <c r="C2798" s="1" t="n">
        <v>45846</v>
      </c>
      <c r="D2798" t="inlineStr">
        <is>
          <t>UPPSALA LÄN</t>
        </is>
      </c>
      <c r="E2798" t="inlineStr">
        <is>
          <t>ÖSTHAMMAR</t>
        </is>
      </c>
      <c r="F2798" t="inlineStr">
        <is>
          <t>Bergvik skog öst AB</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22994-2022</t>
        </is>
      </c>
      <c r="B2799" s="1" t="n">
        <v>44718</v>
      </c>
      <c r="C2799" s="1" t="n">
        <v>45846</v>
      </c>
      <c r="D2799" t="inlineStr">
        <is>
          <t>UPPSALA LÄN</t>
        </is>
      </c>
      <c r="E2799" t="inlineStr">
        <is>
          <t>ÖSTHAMMAR</t>
        </is>
      </c>
      <c r="F2799" t="inlineStr">
        <is>
          <t>Bergvik skog öst AB</t>
        </is>
      </c>
      <c r="G2799" t="n">
        <v>29.9</v>
      </c>
      <c r="H2799" t="n">
        <v>0</v>
      </c>
      <c r="I2799" t="n">
        <v>0</v>
      </c>
      <c r="J2799" t="n">
        <v>0</v>
      </c>
      <c r="K2799" t="n">
        <v>0</v>
      </c>
      <c r="L2799" t="n">
        <v>0</v>
      </c>
      <c r="M2799" t="n">
        <v>0</v>
      </c>
      <c r="N2799" t="n">
        <v>0</v>
      </c>
      <c r="O2799" t="n">
        <v>0</v>
      </c>
      <c r="P2799" t="n">
        <v>0</v>
      </c>
      <c r="Q2799" t="n">
        <v>0</v>
      </c>
      <c r="R2799" s="2" t="inlineStr"/>
    </row>
    <row r="2800" ht="15" customHeight="1">
      <c r="A2800" t="inlineStr">
        <is>
          <t>A 23250-2022</t>
        </is>
      </c>
      <c r="B2800" s="1" t="n">
        <v>44719</v>
      </c>
      <c r="C2800" s="1" t="n">
        <v>45846</v>
      </c>
      <c r="D2800" t="inlineStr">
        <is>
          <t>UPPSALA LÄN</t>
        </is>
      </c>
      <c r="E2800" t="inlineStr">
        <is>
          <t>HÅBO</t>
        </is>
      </c>
      <c r="F2800" t="inlineStr">
        <is>
          <t>Naturvårdsverket</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23307-2022</t>
        </is>
      </c>
      <c r="B2801" s="1" t="n">
        <v>44720</v>
      </c>
      <c r="C2801" s="1" t="n">
        <v>45846</v>
      </c>
      <c r="D2801" t="inlineStr">
        <is>
          <t>UPPSALA LÄN</t>
        </is>
      </c>
      <c r="E2801" t="inlineStr">
        <is>
          <t>ENKÖPING</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23324-2022</t>
        </is>
      </c>
      <c r="B2802" s="1" t="n">
        <v>44720</v>
      </c>
      <c r="C2802" s="1" t="n">
        <v>45846</v>
      </c>
      <c r="D2802" t="inlineStr">
        <is>
          <t>UPPSALA LÄN</t>
        </is>
      </c>
      <c r="E2802" t="inlineStr">
        <is>
          <t>UPPSALA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23289-2022</t>
        </is>
      </c>
      <c r="B2803" s="1" t="n">
        <v>44720</v>
      </c>
      <c r="C2803" s="1" t="n">
        <v>45846</v>
      </c>
      <c r="D2803" t="inlineStr">
        <is>
          <t>UPPSALA LÄN</t>
        </is>
      </c>
      <c r="E2803" t="inlineStr">
        <is>
          <t>UPPSALA</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23603-2022</t>
        </is>
      </c>
      <c r="B2804" s="1" t="n">
        <v>44721</v>
      </c>
      <c r="C2804" s="1" t="n">
        <v>45846</v>
      </c>
      <c r="D2804" t="inlineStr">
        <is>
          <t>UPPSALA LÄN</t>
        </is>
      </c>
      <c r="E2804" t="inlineStr">
        <is>
          <t>ÖSTHAMMAR</t>
        </is>
      </c>
      <c r="F2804" t="inlineStr">
        <is>
          <t>Övriga Aktiebolag</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23761-2022</t>
        </is>
      </c>
      <c r="B2805" s="1" t="n">
        <v>44722</v>
      </c>
      <c r="C2805" s="1" t="n">
        <v>45846</v>
      </c>
      <c r="D2805" t="inlineStr">
        <is>
          <t>UPPSALA LÄN</t>
        </is>
      </c>
      <c r="E2805" t="inlineStr">
        <is>
          <t>UPPSALA</t>
        </is>
      </c>
      <c r="F2805" t="inlineStr">
        <is>
          <t>Bergvik skog öst AB</t>
        </is>
      </c>
      <c r="G2805" t="n">
        <v>7.3</v>
      </c>
      <c r="H2805" t="n">
        <v>0</v>
      </c>
      <c r="I2805" t="n">
        <v>0</v>
      </c>
      <c r="J2805" t="n">
        <v>0</v>
      </c>
      <c r="K2805" t="n">
        <v>0</v>
      </c>
      <c r="L2805" t="n">
        <v>0</v>
      </c>
      <c r="M2805" t="n">
        <v>0</v>
      </c>
      <c r="N2805" t="n">
        <v>0</v>
      </c>
      <c r="O2805" t="n">
        <v>0</v>
      </c>
      <c r="P2805" t="n">
        <v>0</v>
      </c>
      <c r="Q2805" t="n">
        <v>0</v>
      </c>
      <c r="R2805" s="2" t="inlineStr"/>
    </row>
    <row r="2806" ht="15" customHeight="1">
      <c r="A2806" t="inlineStr">
        <is>
          <t>A 23713-2022</t>
        </is>
      </c>
      <c r="B2806" s="1" t="n">
        <v>44722</v>
      </c>
      <c r="C2806" s="1" t="n">
        <v>45846</v>
      </c>
      <c r="D2806" t="inlineStr">
        <is>
          <t>UPPSALA LÄN</t>
        </is>
      </c>
      <c r="E2806" t="inlineStr">
        <is>
          <t>UPPSALA</t>
        </is>
      </c>
      <c r="F2806" t="inlineStr">
        <is>
          <t>Bergvik skog öst AB</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23717-2022</t>
        </is>
      </c>
      <c r="B2807" s="1" t="n">
        <v>44722</v>
      </c>
      <c r="C2807" s="1" t="n">
        <v>45846</v>
      </c>
      <c r="D2807" t="inlineStr">
        <is>
          <t>UPPSALA LÄN</t>
        </is>
      </c>
      <c r="E2807" t="inlineStr">
        <is>
          <t>UPPSALA</t>
        </is>
      </c>
      <c r="F2807" t="inlineStr">
        <is>
          <t>Bergvik skog öst AB</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23730-2022</t>
        </is>
      </c>
      <c r="B2808" s="1" t="n">
        <v>44722</v>
      </c>
      <c r="C2808" s="1" t="n">
        <v>45846</v>
      </c>
      <c r="D2808" t="inlineStr">
        <is>
          <t>UPPSALA LÄN</t>
        </is>
      </c>
      <c r="E2808" t="inlineStr">
        <is>
          <t>UPPSALA</t>
        </is>
      </c>
      <c r="F2808" t="inlineStr">
        <is>
          <t>Bergvik skog öst AB</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23979-2022</t>
        </is>
      </c>
      <c r="B2809" s="1" t="n">
        <v>44722</v>
      </c>
      <c r="C2809" s="1" t="n">
        <v>45846</v>
      </c>
      <c r="D2809" t="inlineStr">
        <is>
          <t>UPPSALA LÄN</t>
        </is>
      </c>
      <c r="E2809" t="inlineStr">
        <is>
          <t>HEBY</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23959-2022</t>
        </is>
      </c>
      <c r="B2810" s="1" t="n">
        <v>44722</v>
      </c>
      <c r="C2810" s="1" t="n">
        <v>45846</v>
      </c>
      <c r="D2810" t="inlineStr">
        <is>
          <t>UPPSALA LÄN</t>
        </is>
      </c>
      <c r="E2810" t="inlineStr">
        <is>
          <t>TIERP</t>
        </is>
      </c>
      <c r="F2810" t="inlineStr">
        <is>
          <t>Bergvik skog öst AB</t>
        </is>
      </c>
      <c r="G2810" t="n">
        <v>8.1</v>
      </c>
      <c r="H2810" t="n">
        <v>0</v>
      </c>
      <c r="I2810" t="n">
        <v>0</v>
      </c>
      <c r="J2810" t="n">
        <v>0</v>
      </c>
      <c r="K2810" t="n">
        <v>0</v>
      </c>
      <c r="L2810" t="n">
        <v>0</v>
      </c>
      <c r="M2810" t="n">
        <v>0</v>
      </c>
      <c r="N2810" t="n">
        <v>0</v>
      </c>
      <c r="O2810" t="n">
        <v>0</v>
      </c>
      <c r="P2810" t="n">
        <v>0</v>
      </c>
      <c r="Q2810" t="n">
        <v>0</v>
      </c>
      <c r="R2810" s="2" t="inlineStr"/>
    </row>
    <row r="2811" ht="15" customHeight="1">
      <c r="A2811" t="inlineStr">
        <is>
          <t>A 24026-2022</t>
        </is>
      </c>
      <c r="B2811" s="1" t="n">
        <v>44723</v>
      </c>
      <c r="C2811" s="1" t="n">
        <v>45846</v>
      </c>
      <c r="D2811" t="inlineStr">
        <is>
          <t>UPPSALA LÄN</t>
        </is>
      </c>
      <c r="E2811" t="inlineStr">
        <is>
          <t>HEBY</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24132-2022</t>
        </is>
      </c>
      <c r="B2812" s="1" t="n">
        <v>44725</v>
      </c>
      <c r="C2812" s="1" t="n">
        <v>45846</v>
      </c>
      <c r="D2812" t="inlineStr">
        <is>
          <t>UPPSALA LÄN</t>
        </is>
      </c>
      <c r="E2812" t="inlineStr">
        <is>
          <t>KNIVSTA</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24138-2022</t>
        </is>
      </c>
      <c r="B2813" s="1" t="n">
        <v>44725</v>
      </c>
      <c r="C2813" s="1" t="n">
        <v>45846</v>
      </c>
      <c r="D2813" t="inlineStr">
        <is>
          <t>UPPSALA LÄN</t>
        </is>
      </c>
      <c r="E2813" t="inlineStr">
        <is>
          <t>ÖSTHAMMAR</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24141-2022</t>
        </is>
      </c>
      <c r="B2814" s="1" t="n">
        <v>44725</v>
      </c>
      <c r="C2814" s="1" t="n">
        <v>45846</v>
      </c>
      <c r="D2814" t="inlineStr">
        <is>
          <t>UPPSALA LÄN</t>
        </is>
      </c>
      <c r="E2814" t="inlineStr">
        <is>
          <t>ENKÖPING</t>
        </is>
      </c>
      <c r="G2814" t="n">
        <v>5.2</v>
      </c>
      <c r="H2814" t="n">
        <v>0</v>
      </c>
      <c r="I2814" t="n">
        <v>0</v>
      </c>
      <c r="J2814" t="n">
        <v>0</v>
      </c>
      <c r="K2814" t="n">
        <v>0</v>
      </c>
      <c r="L2814" t="n">
        <v>0</v>
      </c>
      <c r="M2814" t="n">
        <v>0</v>
      </c>
      <c r="N2814" t="n">
        <v>0</v>
      </c>
      <c r="O2814" t="n">
        <v>0</v>
      </c>
      <c r="P2814" t="n">
        <v>0</v>
      </c>
      <c r="Q2814" t="n">
        <v>0</v>
      </c>
      <c r="R2814" s="2" t="inlineStr"/>
    </row>
    <row r="2815" ht="15" customHeight="1">
      <c r="A2815" t="inlineStr">
        <is>
          <t>A 24149-2022</t>
        </is>
      </c>
      <c r="B2815" s="1" t="n">
        <v>44725</v>
      </c>
      <c r="C2815" s="1" t="n">
        <v>45846</v>
      </c>
      <c r="D2815" t="inlineStr">
        <is>
          <t>UPPSALA LÄN</t>
        </is>
      </c>
      <c r="E2815" t="inlineStr">
        <is>
          <t>ÖSTHAMMAR</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24181-2022</t>
        </is>
      </c>
      <c r="B2816" s="1" t="n">
        <v>44725</v>
      </c>
      <c r="C2816" s="1" t="n">
        <v>45846</v>
      </c>
      <c r="D2816" t="inlineStr">
        <is>
          <t>UPPSALA LÄN</t>
        </is>
      </c>
      <c r="E2816" t="inlineStr">
        <is>
          <t>ÖSTHAMMAR</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24264-2022</t>
        </is>
      </c>
      <c r="B2817" s="1" t="n">
        <v>44725</v>
      </c>
      <c r="C2817" s="1" t="n">
        <v>45846</v>
      </c>
      <c r="D2817" t="inlineStr">
        <is>
          <t>UPPSALA LÄN</t>
        </is>
      </c>
      <c r="E2817" t="inlineStr">
        <is>
          <t>TIERP</t>
        </is>
      </c>
      <c r="G2817" t="n">
        <v>2</v>
      </c>
      <c r="H2817" t="n">
        <v>0</v>
      </c>
      <c r="I2817" t="n">
        <v>0</v>
      </c>
      <c r="J2817" t="n">
        <v>0</v>
      </c>
      <c r="K2817" t="n">
        <v>0</v>
      </c>
      <c r="L2817" t="n">
        <v>0</v>
      </c>
      <c r="M2817" t="n">
        <v>0</v>
      </c>
      <c r="N2817" t="n">
        <v>0</v>
      </c>
      <c r="O2817" t="n">
        <v>0</v>
      </c>
      <c r="P2817" t="n">
        <v>0</v>
      </c>
      <c r="Q2817" t="n">
        <v>0</v>
      </c>
      <c r="R2817" s="2" t="inlineStr"/>
      <c r="U2817">
        <f>HYPERLINK("https://klasma.github.io/Logging_0360/knärot/A 24264-2022 karta knärot.png", "A 24264-2022")</f>
        <v/>
      </c>
      <c r="V2817">
        <f>HYPERLINK("https://klasma.github.io/Logging_0360/klagomål/A 24264-2022 FSC-klagomål.docx", "A 24264-2022")</f>
        <v/>
      </c>
      <c r="W2817">
        <f>HYPERLINK("https://klasma.github.io/Logging_0360/klagomålsmail/A 24264-2022 FSC-klagomål mail.docx", "A 24264-2022")</f>
        <v/>
      </c>
      <c r="X2817">
        <f>HYPERLINK("https://klasma.github.io/Logging_0360/tillsyn/A 24264-2022 tillsynsbegäran.docx", "A 24264-2022")</f>
        <v/>
      </c>
      <c r="Y2817">
        <f>HYPERLINK("https://klasma.github.io/Logging_0360/tillsynsmail/A 24264-2022 tillsynsbegäran mail.docx", "A 24264-2022")</f>
        <v/>
      </c>
    </row>
    <row r="2818" ht="15" customHeight="1">
      <c r="A2818" t="inlineStr">
        <is>
          <t>A 24259-2022</t>
        </is>
      </c>
      <c r="B2818" s="1" t="n">
        <v>44725</v>
      </c>
      <c r="C2818" s="1" t="n">
        <v>45846</v>
      </c>
      <c r="D2818" t="inlineStr">
        <is>
          <t>UPPSALA LÄN</t>
        </is>
      </c>
      <c r="E2818" t="inlineStr">
        <is>
          <t>ÖSTHAMMAR</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24091-2022</t>
        </is>
      </c>
      <c r="B2819" s="1" t="n">
        <v>44725</v>
      </c>
      <c r="C2819" s="1" t="n">
        <v>45846</v>
      </c>
      <c r="D2819" t="inlineStr">
        <is>
          <t>UPPSALA LÄN</t>
        </is>
      </c>
      <c r="E2819" t="inlineStr">
        <is>
          <t>HEBY</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24420-2022</t>
        </is>
      </c>
      <c r="B2820" s="1" t="n">
        <v>44726</v>
      </c>
      <c r="C2820" s="1" t="n">
        <v>45846</v>
      </c>
      <c r="D2820" t="inlineStr">
        <is>
          <t>UPPSALA LÄN</t>
        </is>
      </c>
      <c r="E2820" t="inlineStr">
        <is>
          <t>UPPSALA</t>
        </is>
      </c>
      <c r="F2820" t="inlineStr">
        <is>
          <t>Bergvik skog öst AB</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24447-2022</t>
        </is>
      </c>
      <c r="B2821" s="1" t="n">
        <v>44726</v>
      </c>
      <c r="C2821" s="1" t="n">
        <v>45846</v>
      </c>
      <c r="D2821" t="inlineStr">
        <is>
          <t>UPPSALA LÄN</t>
        </is>
      </c>
      <c r="E2821" t="inlineStr">
        <is>
          <t>ÖSTHAMMAR</t>
        </is>
      </c>
      <c r="G2821" t="n">
        <v>5.5</v>
      </c>
      <c r="H2821" t="n">
        <v>0</v>
      </c>
      <c r="I2821" t="n">
        <v>0</v>
      </c>
      <c r="J2821" t="n">
        <v>0</v>
      </c>
      <c r="K2821" t="n">
        <v>0</v>
      </c>
      <c r="L2821" t="n">
        <v>0</v>
      </c>
      <c r="M2821" t="n">
        <v>0</v>
      </c>
      <c r="N2821" t="n">
        <v>0</v>
      </c>
      <c r="O2821" t="n">
        <v>0</v>
      </c>
      <c r="P2821" t="n">
        <v>0</v>
      </c>
      <c r="Q2821" t="n">
        <v>0</v>
      </c>
      <c r="R2821" s="2" t="inlineStr"/>
    </row>
    <row r="2822" ht="15" customHeight="1">
      <c r="A2822" t="inlineStr">
        <is>
          <t>A 24367-2022</t>
        </is>
      </c>
      <c r="B2822" s="1" t="n">
        <v>44726</v>
      </c>
      <c r="C2822" s="1" t="n">
        <v>45846</v>
      </c>
      <c r="D2822" t="inlineStr">
        <is>
          <t>UPPSALA LÄN</t>
        </is>
      </c>
      <c r="E2822" t="inlineStr">
        <is>
          <t>ÖSTHAMMAR</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24401-2022</t>
        </is>
      </c>
      <c r="B2823" s="1" t="n">
        <v>44726</v>
      </c>
      <c r="C2823" s="1" t="n">
        <v>45846</v>
      </c>
      <c r="D2823" t="inlineStr">
        <is>
          <t>UPPSALA LÄN</t>
        </is>
      </c>
      <c r="E2823" t="inlineStr">
        <is>
          <t>UPPSALA</t>
        </is>
      </c>
      <c r="F2823" t="inlineStr">
        <is>
          <t>Bergvik skog öst AB</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24409-2022</t>
        </is>
      </c>
      <c r="B2824" s="1" t="n">
        <v>44726</v>
      </c>
      <c r="C2824" s="1" t="n">
        <v>45846</v>
      </c>
      <c r="D2824" t="inlineStr">
        <is>
          <t>UPPSALA LÄN</t>
        </is>
      </c>
      <c r="E2824" t="inlineStr">
        <is>
          <t>UPPSALA</t>
        </is>
      </c>
      <c r="F2824" t="inlineStr">
        <is>
          <t>Bergvik skog öst AB</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24341-2022</t>
        </is>
      </c>
      <c r="B2825" s="1" t="n">
        <v>44726</v>
      </c>
      <c r="C2825" s="1" t="n">
        <v>45846</v>
      </c>
      <c r="D2825" t="inlineStr">
        <is>
          <t>UPPSALA LÄN</t>
        </is>
      </c>
      <c r="E2825" t="inlineStr">
        <is>
          <t>TIERP</t>
        </is>
      </c>
      <c r="F2825" t="inlineStr">
        <is>
          <t>Bergvik skog väst AB</t>
        </is>
      </c>
      <c r="G2825" t="n">
        <v>8.4</v>
      </c>
      <c r="H2825" t="n">
        <v>0</v>
      </c>
      <c r="I2825" t="n">
        <v>0</v>
      </c>
      <c r="J2825" t="n">
        <v>0</v>
      </c>
      <c r="K2825" t="n">
        <v>0</v>
      </c>
      <c r="L2825" t="n">
        <v>0</v>
      </c>
      <c r="M2825" t="n">
        <v>0</v>
      </c>
      <c r="N2825" t="n">
        <v>0</v>
      </c>
      <c r="O2825" t="n">
        <v>0</v>
      </c>
      <c r="P2825" t="n">
        <v>0</v>
      </c>
      <c r="Q2825" t="n">
        <v>0</v>
      </c>
      <c r="R2825" s="2" t="inlineStr"/>
    </row>
    <row r="2826" ht="15" customHeight="1">
      <c r="A2826" t="inlineStr">
        <is>
          <t>A 24817-2022</t>
        </is>
      </c>
      <c r="B2826" s="1" t="n">
        <v>44728</v>
      </c>
      <c r="C2826" s="1" t="n">
        <v>45846</v>
      </c>
      <c r="D2826" t="inlineStr">
        <is>
          <t>UPPSALA LÄN</t>
        </is>
      </c>
      <c r="E2826" t="inlineStr">
        <is>
          <t>ÖSTHAMMAR</t>
        </is>
      </c>
      <c r="F2826" t="inlineStr">
        <is>
          <t>Sveaskog</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24815-2022</t>
        </is>
      </c>
      <c r="B2827" s="1" t="n">
        <v>44728</v>
      </c>
      <c r="C2827" s="1" t="n">
        <v>45846</v>
      </c>
      <c r="D2827" t="inlineStr">
        <is>
          <t>UPPSALA LÄN</t>
        </is>
      </c>
      <c r="E2827" t="inlineStr">
        <is>
          <t>ENKÖPING</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24869-2022</t>
        </is>
      </c>
      <c r="B2828" s="1" t="n">
        <v>44728</v>
      </c>
      <c r="C2828" s="1" t="n">
        <v>45846</v>
      </c>
      <c r="D2828" t="inlineStr">
        <is>
          <t>UPPSALA LÄN</t>
        </is>
      </c>
      <c r="E2828" t="inlineStr">
        <is>
          <t>TIERP</t>
        </is>
      </c>
      <c r="G2828" t="n">
        <v>5.6</v>
      </c>
      <c r="H2828" t="n">
        <v>0</v>
      </c>
      <c r="I2828" t="n">
        <v>0</v>
      </c>
      <c r="J2828" t="n">
        <v>0</v>
      </c>
      <c r="K2828" t="n">
        <v>0</v>
      </c>
      <c r="L2828" t="n">
        <v>0</v>
      </c>
      <c r="M2828" t="n">
        <v>0</v>
      </c>
      <c r="N2828" t="n">
        <v>0</v>
      </c>
      <c r="O2828" t="n">
        <v>0</v>
      </c>
      <c r="P2828" t="n">
        <v>0</v>
      </c>
      <c r="Q2828" t="n">
        <v>0</v>
      </c>
      <c r="R2828" s="2" t="inlineStr"/>
    </row>
    <row r="2829" ht="15" customHeight="1">
      <c r="A2829" t="inlineStr">
        <is>
          <t>A 24883-2022</t>
        </is>
      </c>
      <c r="B2829" s="1" t="n">
        <v>44728</v>
      </c>
      <c r="C2829" s="1" t="n">
        <v>45846</v>
      </c>
      <c r="D2829" t="inlineStr">
        <is>
          <t>UPPSALA LÄN</t>
        </is>
      </c>
      <c r="E2829" t="inlineStr">
        <is>
          <t>ENKÖPING</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25076-2022</t>
        </is>
      </c>
      <c r="B2830" s="1" t="n">
        <v>44729</v>
      </c>
      <c r="C2830" s="1" t="n">
        <v>45846</v>
      </c>
      <c r="D2830" t="inlineStr">
        <is>
          <t>UPPSALA LÄN</t>
        </is>
      </c>
      <c r="E2830" t="inlineStr">
        <is>
          <t>ÖSTHAMMAR</t>
        </is>
      </c>
      <c r="F2830" t="inlineStr">
        <is>
          <t>Sveaskog</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25178-2022</t>
        </is>
      </c>
      <c r="B2831" s="1" t="n">
        <v>44729</v>
      </c>
      <c r="C2831" s="1" t="n">
        <v>45846</v>
      </c>
      <c r="D2831" t="inlineStr">
        <is>
          <t>UPPSALA LÄN</t>
        </is>
      </c>
      <c r="E2831" t="inlineStr">
        <is>
          <t>UPPSALA</t>
        </is>
      </c>
      <c r="F2831" t="inlineStr">
        <is>
          <t>Holmen skog AB</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25120-2022</t>
        </is>
      </c>
      <c r="B2832" s="1" t="n">
        <v>44729</v>
      </c>
      <c r="C2832" s="1" t="n">
        <v>45846</v>
      </c>
      <c r="D2832" t="inlineStr">
        <is>
          <t>UPPSALA LÄN</t>
        </is>
      </c>
      <c r="E2832" t="inlineStr">
        <is>
          <t>UPPSALA</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25418-2022</t>
        </is>
      </c>
      <c r="B2833" s="1" t="n">
        <v>44732</v>
      </c>
      <c r="C2833" s="1" t="n">
        <v>45846</v>
      </c>
      <c r="D2833" t="inlineStr">
        <is>
          <t>UPPSALA LÄN</t>
        </is>
      </c>
      <c r="E2833" t="inlineStr">
        <is>
          <t>ÖSTHAMMAR</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25476-2022</t>
        </is>
      </c>
      <c r="B2834" s="1" t="n">
        <v>44732</v>
      </c>
      <c r="C2834" s="1" t="n">
        <v>45846</v>
      </c>
      <c r="D2834" t="inlineStr">
        <is>
          <t>UPPSALA LÄN</t>
        </is>
      </c>
      <c r="E2834" t="inlineStr">
        <is>
          <t>TIERP</t>
        </is>
      </c>
      <c r="F2834" t="inlineStr">
        <is>
          <t>Bergvik skog öst AB</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25419-2022</t>
        </is>
      </c>
      <c r="B2835" s="1" t="n">
        <v>44732</v>
      </c>
      <c r="C2835" s="1" t="n">
        <v>45846</v>
      </c>
      <c r="D2835" t="inlineStr">
        <is>
          <t>UPPSALA LÄN</t>
        </is>
      </c>
      <c r="E2835" t="inlineStr">
        <is>
          <t>HEBY</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25434-2022</t>
        </is>
      </c>
      <c r="B2836" s="1" t="n">
        <v>44732</v>
      </c>
      <c r="C2836" s="1" t="n">
        <v>45846</v>
      </c>
      <c r="D2836" t="inlineStr">
        <is>
          <t>UPPSALA LÄN</t>
        </is>
      </c>
      <c r="E2836" t="inlineStr">
        <is>
          <t>ÖSTHAMMAR</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25759-2022</t>
        </is>
      </c>
      <c r="B2837" s="1" t="n">
        <v>44733</v>
      </c>
      <c r="C2837" s="1" t="n">
        <v>45846</v>
      </c>
      <c r="D2837" t="inlineStr">
        <is>
          <t>UPPSALA LÄN</t>
        </is>
      </c>
      <c r="E2837" t="inlineStr">
        <is>
          <t>UPPSALA</t>
        </is>
      </c>
      <c r="F2837" t="inlineStr">
        <is>
          <t>Bergvik skog öst AB</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25809-2022</t>
        </is>
      </c>
      <c r="B2838" s="1" t="n">
        <v>44733</v>
      </c>
      <c r="C2838" s="1" t="n">
        <v>45846</v>
      </c>
      <c r="D2838" t="inlineStr">
        <is>
          <t>UPPSALA LÄN</t>
        </is>
      </c>
      <c r="E2838" t="inlineStr">
        <is>
          <t>UPPSALA</t>
        </is>
      </c>
      <c r="F2838" t="inlineStr">
        <is>
          <t>Bergvik skog öst AB</t>
        </is>
      </c>
      <c r="G2838" t="n">
        <v>8.199999999999999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25745-2022</t>
        </is>
      </c>
      <c r="B2839" s="1" t="n">
        <v>44733</v>
      </c>
      <c r="C2839" s="1" t="n">
        <v>45846</v>
      </c>
      <c r="D2839" t="inlineStr">
        <is>
          <t>UPPSALA LÄN</t>
        </is>
      </c>
      <c r="E2839" t="inlineStr">
        <is>
          <t>UPPSALA</t>
        </is>
      </c>
      <c r="F2839" t="inlineStr">
        <is>
          <t>Bergvik skog öst AB</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25776-2022</t>
        </is>
      </c>
      <c r="B2840" s="1" t="n">
        <v>44733</v>
      </c>
      <c r="C2840" s="1" t="n">
        <v>45846</v>
      </c>
      <c r="D2840" t="inlineStr">
        <is>
          <t>UPPSALA LÄN</t>
        </is>
      </c>
      <c r="E2840" t="inlineStr">
        <is>
          <t>UPPSALA</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25917-2022</t>
        </is>
      </c>
      <c r="B2841" s="1" t="n">
        <v>44733</v>
      </c>
      <c r="C2841" s="1" t="n">
        <v>45846</v>
      </c>
      <c r="D2841" t="inlineStr">
        <is>
          <t>UPPSALA LÄN</t>
        </is>
      </c>
      <c r="E2841" t="inlineStr">
        <is>
          <t>HEBY</t>
        </is>
      </c>
      <c r="F2841" t="inlineStr">
        <is>
          <t>Bergvik skog väst AB</t>
        </is>
      </c>
      <c r="G2841" t="n">
        <v>8.300000000000001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26008-2022</t>
        </is>
      </c>
      <c r="B2842" s="1" t="n">
        <v>44734</v>
      </c>
      <c r="C2842" s="1" t="n">
        <v>45846</v>
      </c>
      <c r="D2842" t="inlineStr">
        <is>
          <t>UPPSALA LÄN</t>
        </is>
      </c>
      <c r="E2842" t="inlineStr">
        <is>
          <t>ÖSTHAMMAR</t>
        </is>
      </c>
      <c r="F2842" t="inlineStr">
        <is>
          <t>Bergvik skog öst AB</t>
        </is>
      </c>
      <c r="G2842" t="n">
        <v>8.4</v>
      </c>
      <c r="H2842" t="n">
        <v>0</v>
      </c>
      <c r="I2842" t="n">
        <v>0</v>
      </c>
      <c r="J2842" t="n">
        <v>0</v>
      </c>
      <c r="K2842" t="n">
        <v>0</v>
      </c>
      <c r="L2842" t="n">
        <v>0</v>
      </c>
      <c r="M2842" t="n">
        <v>0</v>
      </c>
      <c r="N2842" t="n">
        <v>0</v>
      </c>
      <c r="O2842" t="n">
        <v>0</v>
      </c>
      <c r="P2842" t="n">
        <v>0</v>
      </c>
      <c r="Q2842" t="n">
        <v>0</v>
      </c>
      <c r="R2842" s="2" t="inlineStr"/>
    </row>
    <row r="2843" ht="15" customHeight="1">
      <c r="A2843" t="inlineStr">
        <is>
          <t>A 25987-2022</t>
        </is>
      </c>
      <c r="B2843" s="1" t="n">
        <v>44734</v>
      </c>
      <c r="C2843" s="1" t="n">
        <v>45846</v>
      </c>
      <c r="D2843" t="inlineStr">
        <is>
          <t>UPPSALA LÄN</t>
        </is>
      </c>
      <c r="E2843" t="inlineStr">
        <is>
          <t>ÖSTHAMMAR</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25998-2022</t>
        </is>
      </c>
      <c r="B2844" s="1" t="n">
        <v>44734</v>
      </c>
      <c r="C2844" s="1" t="n">
        <v>45846</v>
      </c>
      <c r="D2844" t="inlineStr">
        <is>
          <t>UPPSALA LÄN</t>
        </is>
      </c>
      <c r="E2844" t="inlineStr">
        <is>
          <t>HEBY</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25983-2022</t>
        </is>
      </c>
      <c r="B2845" s="1" t="n">
        <v>44734</v>
      </c>
      <c r="C2845" s="1" t="n">
        <v>45846</v>
      </c>
      <c r="D2845" t="inlineStr">
        <is>
          <t>UPPSALA LÄN</t>
        </is>
      </c>
      <c r="E2845" t="inlineStr">
        <is>
          <t>ÖSTHAMMAR</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25995-2022</t>
        </is>
      </c>
      <c r="B2846" s="1" t="n">
        <v>44734</v>
      </c>
      <c r="C2846" s="1" t="n">
        <v>45846</v>
      </c>
      <c r="D2846" t="inlineStr">
        <is>
          <t>UPPSALA LÄN</t>
        </is>
      </c>
      <c r="E2846" t="inlineStr">
        <is>
          <t>HEBY</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26004-2022</t>
        </is>
      </c>
      <c r="B2847" s="1" t="n">
        <v>44734</v>
      </c>
      <c r="C2847" s="1" t="n">
        <v>45846</v>
      </c>
      <c r="D2847" t="inlineStr">
        <is>
          <t>UPPSALA LÄN</t>
        </is>
      </c>
      <c r="E2847" t="inlineStr">
        <is>
          <t>ÖSTHAMMAR</t>
        </is>
      </c>
      <c r="F2847" t="inlineStr">
        <is>
          <t>Bergvik skog öst AB</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25958-2022</t>
        </is>
      </c>
      <c r="B2848" s="1" t="n">
        <v>44734</v>
      </c>
      <c r="C2848" s="1" t="n">
        <v>45846</v>
      </c>
      <c r="D2848" t="inlineStr">
        <is>
          <t>UPPSALA LÄN</t>
        </is>
      </c>
      <c r="E2848" t="inlineStr">
        <is>
          <t>TIERP</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25975-2022</t>
        </is>
      </c>
      <c r="B2849" s="1" t="n">
        <v>44734</v>
      </c>
      <c r="C2849" s="1" t="n">
        <v>45846</v>
      </c>
      <c r="D2849" t="inlineStr">
        <is>
          <t>UPPSALA LÄN</t>
        </is>
      </c>
      <c r="E2849" t="inlineStr">
        <is>
          <t>HEBY</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25997-2022</t>
        </is>
      </c>
      <c r="B2850" s="1" t="n">
        <v>44734</v>
      </c>
      <c r="C2850" s="1" t="n">
        <v>45846</v>
      </c>
      <c r="D2850" t="inlineStr">
        <is>
          <t>UPPSALA LÄN</t>
        </is>
      </c>
      <c r="E2850" t="inlineStr">
        <is>
          <t>HEBY</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26111-2022</t>
        </is>
      </c>
      <c r="B2851" s="1" t="n">
        <v>44734</v>
      </c>
      <c r="C2851" s="1" t="n">
        <v>45846</v>
      </c>
      <c r="D2851" t="inlineStr">
        <is>
          <t>UPPSALA LÄN</t>
        </is>
      </c>
      <c r="E2851" t="inlineStr">
        <is>
          <t>TIERP</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26085-2022</t>
        </is>
      </c>
      <c r="B2852" s="1" t="n">
        <v>44734</v>
      </c>
      <c r="C2852" s="1" t="n">
        <v>45846</v>
      </c>
      <c r="D2852" t="inlineStr">
        <is>
          <t>UPPSALA LÄN</t>
        </is>
      </c>
      <c r="E2852" t="inlineStr">
        <is>
          <t>HEBY</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26182-2022</t>
        </is>
      </c>
      <c r="B2853" s="1" t="n">
        <v>44735</v>
      </c>
      <c r="C2853" s="1" t="n">
        <v>45846</v>
      </c>
      <c r="D2853" t="inlineStr">
        <is>
          <t>UPPSALA LÄN</t>
        </is>
      </c>
      <c r="E2853" t="inlineStr">
        <is>
          <t>KNIVSTA</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26315-2022</t>
        </is>
      </c>
      <c r="B2854" s="1" t="n">
        <v>44735</v>
      </c>
      <c r="C2854" s="1" t="n">
        <v>45846</v>
      </c>
      <c r="D2854" t="inlineStr">
        <is>
          <t>UPPSALA LÄN</t>
        </is>
      </c>
      <c r="E2854" t="inlineStr">
        <is>
          <t>HEBY</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26161-2022</t>
        </is>
      </c>
      <c r="B2855" s="1" t="n">
        <v>44735</v>
      </c>
      <c r="C2855" s="1" t="n">
        <v>45846</v>
      </c>
      <c r="D2855" t="inlineStr">
        <is>
          <t>UPPSALA LÄN</t>
        </is>
      </c>
      <c r="E2855" t="inlineStr">
        <is>
          <t>TIERP</t>
        </is>
      </c>
      <c r="G2855" t="n">
        <v>5</v>
      </c>
      <c r="H2855" t="n">
        <v>0</v>
      </c>
      <c r="I2855" t="n">
        <v>0</v>
      </c>
      <c r="J2855" t="n">
        <v>0</v>
      </c>
      <c r="K2855" t="n">
        <v>0</v>
      </c>
      <c r="L2855" t="n">
        <v>0</v>
      </c>
      <c r="M2855" t="n">
        <v>0</v>
      </c>
      <c r="N2855" t="n">
        <v>0</v>
      </c>
      <c r="O2855" t="n">
        <v>0</v>
      </c>
      <c r="P2855" t="n">
        <v>0</v>
      </c>
      <c r="Q2855" t="n">
        <v>0</v>
      </c>
      <c r="R2855" s="2" t="inlineStr"/>
    </row>
    <row r="2856" ht="15" customHeight="1">
      <c r="A2856" t="inlineStr">
        <is>
          <t>A 26239-2022</t>
        </is>
      </c>
      <c r="B2856" s="1" t="n">
        <v>44735</v>
      </c>
      <c r="C2856" s="1" t="n">
        <v>45846</v>
      </c>
      <c r="D2856" t="inlineStr">
        <is>
          <t>UPPSALA LÄN</t>
        </is>
      </c>
      <c r="E2856" t="inlineStr">
        <is>
          <t>KNIVSTA</t>
        </is>
      </c>
      <c r="G2856" t="n">
        <v>4.4</v>
      </c>
      <c r="H2856" t="n">
        <v>0</v>
      </c>
      <c r="I2856" t="n">
        <v>0</v>
      </c>
      <c r="J2856" t="n">
        <v>0</v>
      </c>
      <c r="K2856" t="n">
        <v>0</v>
      </c>
      <c r="L2856" t="n">
        <v>0</v>
      </c>
      <c r="M2856" t="n">
        <v>0</v>
      </c>
      <c r="N2856" t="n">
        <v>0</v>
      </c>
      <c r="O2856" t="n">
        <v>0</v>
      </c>
      <c r="P2856" t="n">
        <v>0</v>
      </c>
      <c r="Q2856" t="n">
        <v>0</v>
      </c>
      <c r="R2856" s="2" t="inlineStr"/>
    </row>
    <row r="2857" ht="15" customHeight="1">
      <c r="A2857" t="inlineStr">
        <is>
          <t>A 26292-2022</t>
        </is>
      </c>
      <c r="B2857" s="1" t="n">
        <v>44735</v>
      </c>
      <c r="C2857" s="1" t="n">
        <v>45846</v>
      </c>
      <c r="D2857" t="inlineStr">
        <is>
          <t>UPPSALA LÄN</t>
        </is>
      </c>
      <c r="E2857" t="inlineStr">
        <is>
          <t>ENKÖPING</t>
        </is>
      </c>
      <c r="F2857" t="inlineStr">
        <is>
          <t>Kyrkan</t>
        </is>
      </c>
      <c r="G2857" t="n">
        <v>4.6</v>
      </c>
      <c r="H2857" t="n">
        <v>0</v>
      </c>
      <c r="I2857" t="n">
        <v>0</v>
      </c>
      <c r="J2857" t="n">
        <v>0</v>
      </c>
      <c r="K2857" t="n">
        <v>0</v>
      </c>
      <c r="L2857" t="n">
        <v>0</v>
      </c>
      <c r="M2857" t="n">
        <v>0</v>
      </c>
      <c r="N2857" t="n">
        <v>0</v>
      </c>
      <c r="O2857" t="n">
        <v>0</v>
      </c>
      <c r="P2857" t="n">
        <v>0</v>
      </c>
      <c r="Q2857" t="n">
        <v>0</v>
      </c>
      <c r="R2857" s="2" t="inlineStr"/>
    </row>
    <row r="2858" ht="15" customHeight="1">
      <c r="A2858" t="inlineStr">
        <is>
          <t>A 26316-2022</t>
        </is>
      </c>
      <c r="B2858" s="1" t="n">
        <v>44735</v>
      </c>
      <c r="C2858" s="1" t="n">
        <v>45846</v>
      </c>
      <c r="D2858" t="inlineStr">
        <is>
          <t>UPPSALA LÄN</t>
        </is>
      </c>
      <c r="E2858" t="inlineStr">
        <is>
          <t>HEBY</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26319-2022</t>
        </is>
      </c>
      <c r="B2859" s="1" t="n">
        <v>44735</v>
      </c>
      <c r="C2859" s="1" t="n">
        <v>45846</v>
      </c>
      <c r="D2859" t="inlineStr">
        <is>
          <t>UPPSALA LÄN</t>
        </is>
      </c>
      <c r="E2859" t="inlineStr">
        <is>
          <t>ENKÖPING</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26534-2022</t>
        </is>
      </c>
      <c r="B2860" s="1" t="n">
        <v>44739</v>
      </c>
      <c r="C2860" s="1" t="n">
        <v>45846</v>
      </c>
      <c r="D2860" t="inlineStr">
        <is>
          <t>UPPSALA LÄN</t>
        </is>
      </c>
      <c r="E2860" t="inlineStr">
        <is>
          <t>ÖSTHAMMAR</t>
        </is>
      </c>
      <c r="F2860" t="inlineStr">
        <is>
          <t>Övriga statliga verk och myndigheter</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26567-2022</t>
        </is>
      </c>
      <c r="B2861" s="1" t="n">
        <v>44739</v>
      </c>
      <c r="C2861" s="1" t="n">
        <v>45846</v>
      </c>
      <c r="D2861" t="inlineStr">
        <is>
          <t>UPPSALA LÄN</t>
        </is>
      </c>
      <c r="E2861" t="inlineStr">
        <is>
          <t>HEBY</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26537-2022</t>
        </is>
      </c>
      <c r="B2862" s="1" t="n">
        <v>44739</v>
      </c>
      <c r="C2862" s="1" t="n">
        <v>45846</v>
      </c>
      <c r="D2862" t="inlineStr">
        <is>
          <t>UPPSALA LÄN</t>
        </is>
      </c>
      <c r="E2862" t="inlineStr">
        <is>
          <t>TIERP</t>
        </is>
      </c>
      <c r="G2862" t="n">
        <v>9.4</v>
      </c>
      <c r="H2862" t="n">
        <v>0</v>
      </c>
      <c r="I2862" t="n">
        <v>0</v>
      </c>
      <c r="J2862" t="n">
        <v>0</v>
      </c>
      <c r="K2862" t="n">
        <v>0</v>
      </c>
      <c r="L2862" t="n">
        <v>0</v>
      </c>
      <c r="M2862" t="n">
        <v>0</v>
      </c>
      <c r="N2862" t="n">
        <v>0</v>
      </c>
      <c r="O2862" t="n">
        <v>0</v>
      </c>
      <c r="P2862" t="n">
        <v>0</v>
      </c>
      <c r="Q2862" t="n">
        <v>0</v>
      </c>
      <c r="R2862" s="2" t="inlineStr"/>
    </row>
    <row r="2863" ht="15" customHeight="1">
      <c r="A2863" t="inlineStr">
        <is>
          <t>A 26656-2022</t>
        </is>
      </c>
      <c r="B2863" s="1" t="n">
        <v>44739</v>
      </c>
      <c r="C2863" s="1" t="n">
        <v>45846</v>
      </c>
      <c r="D2863" t="inlineStr">
        <is>
          <t>UPPSALA LÄN</t>
        </is>
      </c>
      <c r="E2863" t="inlineStr">
        <is>
          <t>TIERP</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26609-2022</t>
        </is>
      </c>
      <c r="B2864" s="1" t="n">
        <v>44739</v>
      </c>
      <c r="C2864" s="1" t="n">
        <v>45846</v>
      </c>
      <c r="D2864" t="inlineStr">
        <is>
          <t>UPPSALA LÄN</t>
        </is>
      </c>
      <c r="E2864" t="inlineStr">
        <is>
          <t>UPPSALA</t>
        </is>
      </c>
      <c r="F2864" t="inlineStr">
        <is>
          <t>Bergvik skog öst AB</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26552-2022</t>
        </is>
      </c>
      <c r="B2865" s="1" t="n">
        <v>44739</v>
      </c>
      <c r="C2865" s="1" t="n">
        <v>45846</v>
      </c>
      <c r="D2865" t="inlineStr">
        <is>
          <t>UPPSALA LÄN</t>
        </is>
      </c>
      <c r="E2865" t="inlineStr">
        <is>
          <t>ÖSTHAMMAR</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26561-2022</t>
        </is>
      </c>
      <c r="B2866" s="1" t="n">
        <v>44739</v>
      </c>
      <c r="C2866" s="1" t="n">
        <v>45846</v>
      </c>
      <c r="D2866" t="inlineStr">
        <is>
          <t>UPPSALA LÄN</t>
        </is>
      </c>
      <c r="E2866" t="inlineStr">
        <is>
          <t>ÖSTHAMMAR</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26815-2022</t>
        </is>
      </c>
      <c r="B2867" s="1" t="n">
        <v>44740</v>
      </c>
      <c r="C2867" s="1" t="n">
        <v>45846</v>
      </c>
      <c r="D2867" t="inlineStr">
        <is>
          <t>UPPSALA LÄN</t>
        </is>
      </c>
      <c r="E2867" t="inlineStr">
        <is>
          <t>ÄLVKARLEBY</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26958-2022</t>
        </is>
      </c>
      <c r="B2868" s="1" t="n">
        <v>44740</v>
      </c>
      <c r="C2868" s="1" t="n">
        <v>45846</v>
      </c>
      <c r="D2868" t="inlineStr">
        <is>
          <t>UPPSALA LÄN</t>
        </is>
      </c>
      <c r="E2868" t="inlineStr">
        <is>
          <t>UPPSALA</t>
        </is>
      </c>
      <c r="F2868" t="inlineStr">
        <is>
          <t>Bergvik skog öst AB</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26972-2022</t>
        </is>
      </c>
      <c r="B2869" s="1" t="n">
        <v>44740</v>
      </c>
      <c r="C2869" s="1" t="n">
        <v>45846</v>
      </c>
      <c r="D2869" t="inlineStr">
        <is>
          <t>UPPSALA LÄN</t>
        </is>
      </c>
      <c r="E2869" t="inlineStr">
        <is>
          <t>UPPSALA</t>
        </is>
      </c>
      <c r="F2869" t="inlineStr">
        <is>
          <t>Bergvik skog öst AB</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27372-2022</t>
        </is>
      </c>
      <c r="B2870" s="1" t="n">
        <v>44742</v>
      </c>
      <c r="C2870" s="1" t="n">
        <v>45846</v>
      </c>
      <c r="D2870" t="inlineStr">
        <is>
          <t>UPPSALA LÄN</t>
        </is>
      </c>
      <c r="E2870" t="inlineStr">
        <is>
          <t>UPPSALA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27369-2022</t>
        </is>
      </c>
      <c r="B2871" s="1" t="n">
        <v>44742</v>
      </c>
      <c r="C2871" s="1" t="n">
        <v>45846</v>
      </c>
      <c r="D2871" t="inlineStr">
        <is>
          <t>UPPSALA LÄN</t>
        </is>
      </c>
      <c r="E2871" t="inlineStr">
        <is>
          <t>UPPSALA</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27390-2022</t>
        </is>
      </c>
      <c r="B2872" s="1" t="n">
        <v>44742</v>
      </c>
      <c r="C2872" s="1" t="n">
        <v>45846</v>
      </c>
      <c r="D2872" t="inlineStr">
        <is>
          <t>UPPSALA LÄN</t>
        </is>
      </c>
      <c r="E2872" t="inlineStr">
        <is>
          <t>UPPSALA</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27397-2022</t>
        </is>
      </c>
      <c r="B2873" s="1" t="n">
        <v>44742</v>
      </c>
      <c r="C2873" s="1" t="n">
        <v>45846</v>
      </c>
      <c r="D2873" t="inlineStr">
        <is>
          <t>UPPSALA LÄN</t>
        </is>
      </c>
      <c r="E2873" t="inlineStr">
        <is>
          <t>UPPSALA</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27533-2022</t>
        </is>
      </c>
      <c r="B2874" s="1" t="n">
        <v>44742</v>
      </c>
      <c r="C2874" s="1" t="n">
        <v>45846</v>
      </c>
      <c r="D2874" t="inlineStr">
        <is>
          <t>UPPSALA LÄN</t>
        </is>
      </c>
      <c r="E2874" t="inlineStr">
        <is>
          <t>TIERP</t>
        </is>
      </c>
      <c r="F2874" t="inlineStr">
        <is>
          <t>Bergvik skog öst AB</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27546-2022</t>
        </is>
      </c>
      <c r="B2875" s="1" t="n">
        <v>44742</v>
      </c>
      <c r="C2875" s="1" t="n">
        <v>45846</v>
      </c>
      <c r="D2875" t="inlineStr">
        <is>
          <t>UPPSALA LÄN</t>
        </is>
      </c>
      <c r="E2875" t="inlineStr">
        <is>
          <t>UPPSALA</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27543-2022</t>
        </is>
      </c>
      <c r="B2876" s="1" t="n">
        <v>44742</v>
      </c>
      <c r="C2876" s="1" t="n">
        <v>45846</v>
      </c>
      <c r="D2876" t="inlineStr">
        <is>
          <t>UPPSALA LÄN</t>
        </is>
      </c>
      <c r="E2876" t="inlineStr">
        <is>
          <t>UPPSALA</t>
        </is>
      </c>
      <c r="F2876" t="inlineStr">
        <is>
          <t>Kyrkan</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27858-2022</t>
        </is>
      </c>
      <c r="B2877" s="1" t="n">
        <v>44743</v>
      </c>
      <c r="C2877" s="1" t="n">
        <v>45846</v>
      </c>
      <c r="D2877" t="inlineStr">
        <is>
          <t>UPPSALA LÄN</t>
        </is>
      </c>
      <c r="E2877" t="inlineStr">
        <is>
          <t>HEBY</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27763-2022</t>
        </is>
      </c>
      <c r="B2878" s="1" t="n">
        <v>44743</v>
      </c>
      <c r="C2878" s="1" t="n">
        <v>45846</v>
      </c>
      <c r="D2878" t="inlineStr">
        <is>
          <t>UPPSALA LÄN</t>
        </is>
      </c>
      <c r="E2878" t="inlineStr">
        <is>
          <t>UPPSALA</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27838-2022</t>
        </is>
      </c>
      <c r="B2879" s="1" t="n">
        <v>44743</v>
      </c>
      <c r="C2879" s="1" t="n">
        <v>45846</v>
      </c>
      <c r="D2879" t="inlineStr">
        <is>
          <t>UPPSALA LÄN</t>
        </is>
      </c>
      <c r="E2879" t="inlineStr">
        <is>
          <t>TIERP</t>
        </is>
      </c>
      <c r="G2879" t="n">
        <v>15.2</v>
      </c>
      <c r="H2879" t="n">
        <v>0</v>
      </c>
      <c r="I2879" t="n">
        <v>0</v>
      </c>
      <c r="J2879" t="n">
        <v>0</v>
      </c>
      <c r="K2879" t="n">
        <v>0</v>
      </c>
      <c r="L2879" t="n">
        <v>0</v>
      </c>
      <c r="M2879" t="n">
        <v>0</v>
      </c>
      <c r="N2879" t="n">
        <v>0</v>
      </c>
      <c r="O2879" t="n">
        <v>0</v>
      </c>
      <c r="P2879" t="n">
        <v>0</v>
      </c>
      <c r="Q2879" t="n">
        <v>0</v>
      </c>
      <c r="R2879" s="2" t="inlineStr"/>
    </row>
    <row r="2880" ht="15" customHeight="1">
      <c r="A2880" t="inlineStr">
        <is>
          <t>A 27860-2022</t>
        </is>
      </c>
      <c r="B2880" s="1" t="n">
        <v>44743</v>
      </c>
      <c r="C2880" s="1" t="n">
        <v>45846</v>
      </c>
      <c r="D2880" t="inlineStr">
        <is>
          <t>UPPSALA LÄN</t>
        </is>
      </c>
      <c r="E2880" t="inlineStr">
        <is>
          <t>TIERP</t>
        </is>
      </c>
      <c r="G2880" t="n">
        <v>5.6</v>
      </c>
      <c r="H2880" t="n">
        <v>0</v>
      </c>
      <c r="I2880" t="n">
        <v>0</v>
      </c>
      <c r="J2880" t="n">
        <v>0</v>
      </c>
      <c r="K2880" t="n">
        <v>0</v>
      </c>
      <c r="L2880" t="n">
        <v>0</v>
      </c>
      <c r="M2880" t="n">
        <v>0</v>
      </c>
      <c r="N2880" t="n">
        <v>0</v>
      </c>
      <c r="O2880" t="n">
        <v>0</v>
      </c>
      <c r="P2880" t="n">
        <v>0</v>
      </c>
      <c r="Q2880" t="n">
        <v>0</v>
      </c>
      <c r="R2880" s="2" t="inlineStr"/>
    </row>
    <row r="2881" ht="15" customHeight="1">
      <c r="A2881" t="inlineStr">
        <is>
          <t>A 27762-2022</t>
        </is>
      </c>
      <c r="B2881" s="1" t="n">
        <v>44743</v>
      </c>
      <c r="C2881" s="1" t="n">
        <v>45846</v>
      </c>
      <c r="D2881" t="inlineStr">
        <is>
          <t>UPPSALA LÄN</t>
        </is>
      </c>
      <c r="E2881" t="inlineStr">
        <is>
          <t>UPPSALA</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28228-2022</t>
        </is>
      </c>
      <c r="B2882" s="1" t="n">
        <v>44746</v>
      </c>
      <c r="C2882" s="1" t="n">
        <v>45846</v>
      </c>
      <c r="D2882" t="inlineStr">
        <is>
          <t>UPPSALA LÄN</t>
        </is>
      </c>
      <c r="E2882" t="inlineStr">
        <is>
          <t>ÖSTHAMMAR</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28346-2022</t>
        </is>
      </c>
      <c r="B2883" s="1" t="n">
        <v>44747</v>
      </c>
      <c r="C2883" s="1" t="n">
        <v>45846</v>
      </c>
      <c r="D2883" t="inlineStr">
        <is>
          <t>UPPSALA LÄN</t>
        </is>
      </c>
      <c r="E2883" t="inlineStr">
        <is>
          <t>TIERP</t>
        </is>
      </c>
      <c r="F2883" t="inlineStr">
        <is>
          <t>Bergvik skog väst AB</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28565-2022</t>
        </is>
      </c>
      <c r="B2884" s="1" t="n">
        <v>44748</v>
      </c>
      <c r="C2884" s="1" t="n">
        <v>45846</v>
      </c>
      <c r="D2884" t="inlineStr">
        <is>
          <t>UPPSALA LÄN</t>
        </is>
      </c>
      <c r="E2884" t="inlineStr">
        <is>
          <t>TIERP</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28620-2022</t>
        </is>
      </c>
      <c r="B2885" s="1" t="n">
        <v>44748</v>
      </c>
      <c r="C2885" s="1" t="n">
        <v>45846</v>
      </c>
      <c r="D2885" t="inlineStr">
        <is>
          <t>UPPSALA LÄN</t>
        </is>
      </c>
      <c r="E2885" t="inlineStr">
        <is>
          <t>HEBY</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28881-2022</t>
        </is>
      </c>
      <c r="B2886" s="1" t="n">
        <v>44749</v>
      </c>
      <c r="C2886" s="1" t="n">
        <v>45846</v>
      </c>
      <c r="D2886" t="inlineStr">
        <is>
          <t>UPPSALA LÄN</t>
        </is>
      </c>
      <c r="E2886" t="inlineStr">
        <is>
          <t>TIERP</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28915-2022</t>
        </is>
      </c>
      <c r="B2887" s="1" t="n">
        <v>44749</v>
      </c>
      <c r="C2887" s="1" t="n">
        <v>45846</v>
      </c>
      <c r="D2887" t="inlineStr">
        <is>
          <t>UPPSALA LÄN</t>
        </is>
      </c>
      <c r="E2887" t="inlineStr">
        <is>
          <t>TIERP</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29103-2022</t>
        </is>
      </c>
      <c r="B2888" s="1" t="n">
        <v>44750</v>
      </c>
      <c r="C2888" s="1" t="n">
        <v>45846</v>
      </c>
      <c r="D2888" t="inlineStr">
        <is>
          <t>UPPSALA LÄN</t>
        </is>
      </c>
      <c r="E2888" t="inlineStr">
        <is>
          <t>TIERP</t>
        </is>
      </c>
      <c r="F2888" t="inlineStr">
        <is>
          <t>Bergvik skog väst AB</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29116-2022</t>
        </is>
      </c>
      <c r="B2889" s="1" t="n">
        <v>44750</v>
      </c>
      <c r="C2889" s="1" t="n">
        <v>45846</v>
      </c>
      <c r="D2889" t="inlineStr">
        <is>
          <t>UPPSALA LÄN</t>
        </is>
      </c>
      <c r="E2889" t="inlineStr">
        <is>
          <t>ÄLVKARLEBY</t>
        </is>
      </c>
      <c r="F2889" t="inlineStr">
        <is>
          <t>Kommuner</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29277-2022</t>
        </is>
      </c>
      <c r="B2890" s="1" t="n">
        <v>44750</v>
      </c>
      <c r="C2890" s="1" t="n">
        <v>45846</v>
      </c>
      <c r="D2890" t="inlineStr">
        <is>
          <t>UPPSALA LÄN</t>
        </is>
      </c>
      <c r="E2890" t="inlineStr">
        <is>
          <t>UPPSALA</t>
        </is>
      </c>
      <c r="F2890" t="inlineStr">
        <is>
          <t>Bergvik skog öst AB</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29168-2022</t>
        </is>
      </c>
      <c r="B2891" s="1" t="n">
        <v>44750</v>
      </c>
      <c r="C2891" s="1" t="n">
        <v>45846</v>
      </c>
      <c r="D2891" t="inlineStr">
        <is>
          <t>UPPSALA LÄN</t>
        </is>
      </c>
      <c r="E2891" t="inlineStr">
        <is>
          <t>ÄLVKARLEBY</t>
        </is>
      </c>
      <c r="F2891" t="inlineStr">
        <is>
          <t>Kommuner</t>
        </is>
      </c>
      <c r="G2891" t="n">
        <v>5.1</v>
      </c>
      <c r="H2891" t="n">
        <v>0</v>
      </c>
      <c r="I2891" t="n">
        <v>0</v>
      </c>
      <c r="J2891" t="n">
        <v>0</v>
      </c>
      <c r="K2891" t="n">
        <v>0</v>
      </c>
      <c r="L2891" t="n">
        <v>0</v>
      </c>
      <c r="M2891" t="n">
        <v>0</v>
      </c>
      <c r="N2891" t="n">
        <v>0</v>
      </c>
      <c r="O2891" t="n">
        <v>0</v>
      </c>
      <c r="P2891" t="n">
        <v>0</v>
      </c>
      <c r="Q2891" t="n">
        <v>0</v>
      </c>
      <c r="R2891" s="2" t="inlineStr"/>
    </row>
    <row r="2892" ht="15" customHeight="1">
      <c r="A2892" t="inlineStr">
        <is>
          <t>A 29156-2022</t>
        </is>
      </c>
      <c r="B2892" s="1" t="n">
        <v>44750</v>
      </c>
      <c r="C2892" s="1" t="n">
        <v>45846</v>
      </c>
      <c r="D2892" t="inlineStr">
        <is>
          <t>UPPSALA LÄN</t>
        </is>
      </c>
      <c r="E2892" t="inlineStr">
        <is>
          <t>TIERP</t>
        </is>
      </c>
      <c r="F2892" t="inlineStr">
        <is>
          <t>Övriga Aktiebolag</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29134-2022</t>
        </is>
      </c>
      <c r="B2893" s="1" t="n">
        <v>44750</v>
      </c>
      <c r="C2893" s="1" t="n">
        <v>45846</v>
      </c>
      <c r="D2893" t="inlineStr">
        <is>
          <t>UPPSALA LÄN</t>
        </is>
      </c>
      <c r="E2893" t="inlineStr">
        <is>
          <t>UPPSALA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29340-2022</t>
        </is>
      </c>
      <c r="B2894" s="1" t="n">
        <v>44752</v>
      </c>
      <c r="C2894" s="1" t="n">
        <v>45846</v>
      </c>
      <c r="D2894" t="inlineStr">
        <is>
          <t>UPPSALA LÄN</t>
        </is>
      </c>
      <c r="E2894" t="inlineStr">
        <is>
          <t>HEBY</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29387-2022</t>
        </is>
      </c>
      <c r="B2895" s="1" t="n">
        <v>44753</v>
      </c>
      <c r="C2895" s="1" t="n">
        <v>45846</v>
      </c>
      <c r="D2895" t="inlineStr">
        <is>
          <t>UPPSALA LÄN</t>
        </is>
      </c>
      <c r="E2895" t="inlineStr">
        <is>
          <t>HEBY</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29391-2022</t>
        </is>
      </c>
      <c r="B2896" s="1" t="n">
        <v>44753</v>
      </c>
      <c r="C2896" s="1" t="n">
        <v>45846</v>
      </c>
      <c r="D2896" t="inlineStr">
        <is>
          <t>UPPSALA LÄN</t>
        </is>
      </c>
      <c r="E2896" t="inlineStr">
        <is>
          <t>HEBY</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29479-2022</t>
        </is>
      </c>
      <c r="B2897" s="1" t="n">
        <v>44753</v>
      </c>
      <c r="C2897" s="1" t="n">
        <v>45846</v>
      </c>
      <c r="D2897" t="inlineStr">
        <is>
          <t>UPPSALA LÄN</t>
        </is>
      </c>
      <c r="E2897" t="inlineStr">
        <is>
          <t>ENKÖPING</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29484-2022</t>
        </is>
      </c>
      <c r="B2898" s="1" t="n">
        <v>44753</v>
      </c>
      <c r="C2898" s="1" t="n">
        <v>45846</v>
      </c>
      <c r="D2898" t="inlineStr">
        <is>
          <t>UPPSALA LÄN</t>
        </is>
      </c>
      <c r="E2898" t="inlineStr">
        <is>
          <t>ENKÖPING</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29396-2022</t>
        </is>
      </c>
      <c r="B2899" s="1" t="n">
        <v>44753</v>
      </c>
      <c r="C2899" s="1" t="n">
        <v>45846</v>
      </c>
      <c r="D2899" t="inlineStr">
        <is>
          <t>UPPSALA LÄN</t>
        </is>
      </c>
      <c r="E2899" t="inlineStr">
        <is>
          <t>HEBY</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29435-2022</t>
        </is>
      </c>
      <c r="B2900" s="1" t="n">
        <v>44753</v>
      </c>
      <c r="C2900" s="1" t="n">
        <v>45846</v>
      </c>
      <c r="D2900" t="inlineStr">
        <is>
          <t>UPPSALA LÄN</t>
        </is>
      </c>
      <c r="E2900" t="inlineStr">
        <is>
          <t>ENKÖPING</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29483-2022</t>
        </is>
      </c>
      <c r="B2901" s="1" t="n">
        <v>44753</v>
      </c>
      <c r="C2901" s="1" t="n">
        <v>45846</v>
      </c>
      <c r="D2901" t="inlineStr">
        <is>
          <t>UPPSALA LÄN</t>
        </is>
      </c>
      <c r="E2901" t="inlineStr">
        <is>
          <t>ENKÖPING</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29475-2022</t>
        </is>
      </c>
      <c r="B2902" s="1" t="n">
        <v>44753</v>
      </c>
      <c r="C2902" s="1" t="n">
        <v>45846</v>
      </c>
      <c r="D2902" t="inlineStr">
        <is>
          <t>UPPSALA LÄN</t>
        </is>
      </c>
      <c r="E2902" t="inlineStr">
        <is>
          <t>ENKÖPING</t>
        </is>
      </c>
      <c r="G2902" t="n">
        <v>6.9</v>
      </c>
      <c r="H2902" t="n">
        <v>0</v>
      </c>
      <c r="I2902" t="n">
        <v>0</v>
      </c>
      <c r="J2902" t="n">
        <v>0</v>
      </c>
      <c r="K2902" t="n">
        <v>0</v>
      </c>
      <c r="L2902" t="n">
        <v>0</v>
      </c>
      <c r="M2902" t="n">
        <v>0</v>
      </c>
      <c r="N2902" t="n">
        <v>0</v>
      </c>
      <c r="O2902" t="n">
        <v>0</v>
      </c>
      <c r="P2902" t="n">
        <v>0</v>
      </c>
      <c r="Q2902" t="n">
        <v>0</v>
      </c>
      <c r="R2902" s="2" t="inlineStr"/>
    </row>
    <row r="2903" ht="15" customHeight="1">
      <c r="A2903" t="inlineStr">
        <is>
          <t>A 29425-2022</t>
        </is>
      </c>
      <c r="B2903" s="1" t="n">
        <v>44753</v>
      </c>
      <c r="C2903" s="1" t="n">
        <v>45846</v>
      </c>
      <c r="D2903" t="inlineStr">
        <is>
          <t>UPPSALA LÄN</t>
        </is>
      </c>
      <c r="E2903" t="inlineStr">
        <is>
          <t>ENKÖPING</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29433-2022</t>
        </is>
      </c>
      <c r="B2904" s="1" t="n">
        <v>44753</v>
      </c>
      <c r="C2904" s="1" t="n">
        <v>45846</v>
      </c>
      <c r="D2904" t="inlineStr">
        <is>
          <t>UPPSALA LÄN</t>
        </is>
      </c>
      <c r="E2904" t="inlineStr">
        <is>
          <t>ENKÖPING</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29482-2022</t>
        </is>
      </c>
      <c r="B2905" s="1" t="n">
        <v>44753</v>
      </c>
      <c r="C2905" s="1" t="n">
        <v>45846</v>
      </c>
      <c r="D2905" t="inlineStr">
        <is>
          <t>UPPSALA LÄN</t>
        </is>
      </c>
      <c r="E2905" t="inlineStr">
        <is>
          <t>ENKÖPING</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29570-2022</t>
        </is>
      </c>
      <c r="B2906" s="1" t="n">
        <v>44754</v>
      </c>
      <c r="C2906" s="1" t="n">
        <v>45846</v>
      </c>
      <c r="D2906" t="inlineStr">
        <is>
          <t>UPPSALA LÄN</t>
        </is>
      </c>
      <c r="E2906" t="inlineStr">
        <is>
          <t>HEBY</t>
        </is>
      </c>
      <c r="F2906" t="inlineStr">
        <is>
          <t>Bergvik skog öst AB</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29644-2022</t>
        </is>
      </c>
      <c r="B2907" s="1" t="n">
        <v>44754</v>
      </c>
      <c r="C2907" s="1" t="n">
        <v>45846</v>
      </c>
      <c r="D2907" t="inlineStr">
        <is>
          <t>UPPSALA LÄN</t>
        </is>
      </c>
      <c r="E2907" t="inlineStr">
        <is>
          <t>HEBY</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29737-2022</t>
        </is>
      </c>
      <c r="B2908" s="1" t="n">
        <v>44755</v>
      </c>
      <c r="C2908" s="1" t="n">
        <v>45846</v>
      </c>
      <c r="D2908" t="inlineStr">
        <is>
          <t>UPPSALA LÄN</t>
        </is>
      </c>
      <c r="E2908" t="inlineStr">
        <is>
          <t>TIERP</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29753-2022</t>
        </is>
      </c>
      <c r="B2909" s="1" t="n">
        <v>44755</v>
      </c>
      <c r="C2909" s="1" t="n">
        <v>45846</v>
      </c>
      <c r="D2909" t="inlineStr">
        <is>
          <t>UPPSALA LÄN</t>
        </is>
      </c>
      <c r="E2909" t="inlineStr">
        <is>
          <t>ÖSTHAMMAR</t>
        </is>
      </c>
      <c r="G2909" t="n">
        <v>9.4</v>
      </c>
      <c r="H2909" t="n">
        <v>0</v>
      </c>
      <c r="I2909" t="n">
        <v>0</v>
      </c>
      <c r="J2909" t="n">
        <v>0</v>
      </c>
      <c r="K2909" t="n">
        <v>0</v>
      </c>
      <c r="L2909" t="n">
        <v>0</v>
      </c>
      <c r="M2909" t="n">
        <v>0</v>
      </c>
      <c r="N2909" t="n">
        <v>0</v>
      </c>
      <c r="O2909" t="n">
        <v>0</v>
      </c>
      <c r="P2909" t="n">
        <v>0</v>
      </c>
      <c r="Q2909" t="n">
        <v>0</v>
      </c>
      <c r="R2909" s="2" t="inlineStr"/>
    </row>
    <row r="2910" ht="15" customHeight="1">
      <c r="A2910" t="inlineStr">
        <is>
          <t>A 29935-2022</t>
        </is>
      </c>
      <c r="B2910" s="1" t="n">
        <v>44756</v>
      </c>
      <c r="C2910" s="1" t="n">
        <v>45846</v>
      </c>
      <c r="D2910" t="inlineStr">
        <is>
          <t>UPPSALA LÄN</t>
        </is>
      </c>
      <c r="E2910" t="inlineStr">
        <is>
          <t>HEBY</t>
        </is>
      </c>
      <c r="F2910" t="inlineStr">
        <is>
          <t>Övriga Aktiebolag</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29899-2022</t>
        </is>
      </c>
      <c r="B2911" s="1" t="n">
        <v>44756</v>
      </c>
      <c r="C2911" s="1" t="n">
        <v>45846</v>
      </c>
      <c r="D2911" t="inlineStr">
        <is>
          <t>UPPSALA LÄN</t>
        </is>
      </c>
      <c r="E2911" t="inlineStr">
        <is>
          <t>TIERP</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29981-2022</t>
        </is>
      </c>
      <c r="B2912" s="1" t="n">
        <v>44756</v>
      </c>
      <c r="C2912" s="1" t="n">
        <v>45846</v>
      </c>
      <c r="D2912" t="inlineStr">
        <is>
          <t>UPPSALA LÄN</t>
        </is>
      </c>
      <c r="E2912" t="inlineStr">
        <is>
          <t>TIERP</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29986-2022</t>
        </is>
      </c>
      <c r="B2913" s="1" t="n">
        <v>44756</v>
      </c>
      <c r="C2913" s="1" t="n">
        <v>45846</v>
      </c>
      <c r="D2913" t="inlineStr">
        <is>
          <t>UPPSALA LÄN</t>
        </is>
      </c>
      <c r="E2913" t="inlineStr">
        <is>
          <t>UPPSALA</t>
        </is>
      </c>
      <c r="F2913" t="inlineStr">
        <is>
          <t>Bergvik skog öst AB</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29991-2022</t>
        </is>
      </c>
      <c r="B2914" s="1" t="n">
        <v>44756</v>
      </c>
      <c r="C2914" s="1" t="n">
        <v>45846</v>
      </c>
      <c r="D2914" t="inlineStr">
        <is>
          <t>UPPSALA LÄN</t>
        </is>
      </c>
      <c r="E2914" t="inlineStr">
        <is>
          <t>UPPSALA</t>
        </is>
      </c>
      <c r="F2914" t="inlineStr">
        <is>
          <t>Bergvik skog öst AB</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29983-2022</t>
        </is>
      </c>
      <c r="B2915" s="1" t="n">
        <v>44756</v>
      </c>
      <c r="C2915" s="1" t="n">
        <v>45846</v>
      </c>
      <c r="D2915" t="inlineStr">
        <is>
          <t>UPPSALA LÄN</t>
        </is>
      </c>
      <c r="E2915" t="inlineStr">
        <is>
          <t>TIERP</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30052-2022</t>
        </is>
      </c>
      <c r="B2916" s="1" t="n">
        <v>44757</v>
      </c>
      <c r="C2916" s="1" t="n">
        <v>45846</v>
      </c>
      <c r="D2916" t="inlineStr">
        <is>
          <t>UPPSALA LÄN</t>
        </is>
      </c>
      <c r="E2916" t="inlineStr">
        <is>
          <t>UPPSALA</t>
        </is>
      </c>
      <c r="F2916" t="inlineStr">
        <is>
          <t>Bergvik skog öst AB</t>
        </is>
      </c>
      <c r="G2916" t="n">
        <v>9.6</v>
      </c>
      <c r="H2916" t="n">
        <v>0</v>
      </c>
      <c r="I2916" t="n">
        <v>0</v>
      </c>
      <c r="J2916" t="n">
        <v>0</v>
      </c>
      <c r="K2916" t="n">
        <v>0</v>
      </c>
      <c r="L2916" t="n">
        <v>0</v>
      </c>
      <c r="M2916" t="n">
        <v>0</v>
      </c>
      <c r="N2916" t="n">
        <v>0</v>
      </c>
      <c r="O2916" t="n">
        <v>0</v>
      </c>
      <c r="P2916" t="n">
        <v>0</v>
      </c>
      <c r="Q2916" t="n">
        <v>0</v>
      </c>
      <c r="R2916" s="2" t="inlineStr"/>
    </row>
    <row r="2917" ht="15" customHeight="1">
      <c r="A2917" t="inlineStr">
        <is>
          <t>A 30212-2022</t>
        </is>
      </c>
      <c r="B2917" s="1" t="n">
        <v>44757</v>
      </c>
      <c r="C2917" s="1" t="n">
        <v>45846</v>
      </c>
      <c r="D2917" t="inlineStr">
        <is>
          <t>UPPSALA LÄN</t>
        </is>
      </c>
      <c r="E2917" t="inlineStr">
        <is>
          <t>ÖSTHAMMAR</t>
        </is>
      </c>
      <c r="F2917" t="inlineStr">
        <is>
          <t>Bergvik skog öst AB</t>
        </is>
      </c>
      <c r="G2917" t="n">
        <v>13.6</v>
      </c>
      <c r="H2917" t="n">
        <v>0</v>
      </c>
      <c r="I2917" t="n">
        <v>0</v>
      </c>
      <c r="J2917" t="n">
        <v>0</v>
      </c>
      <c r="K2917" t="n">
        <v>0</v>
      </c>
      <c r="L2917" t="n">
        <v>0</v>
      </c>
      <c r="M2917" t="n">
        <v>0</v>
      </c>
      <c r="N2917" t="n">
        <v>0</v>
      </c>
      <c r="O2917" t="n">
        <v>0</v>
      </c>
      <c r="P2917" t="n">
        <v>0</v>
      </c>
      <c r="Q2917" t="n">
        <v>0</v>
      </c>
      <c r="R2917" s="2" t="inlineStr"/>
    </row>
    <row r="2918" ht="15" customHeight="1">
      <c r="A2918" t="inlineStr">
        <is>
          <t>A 30182-2022</t>
        </is>
      </c>
      <c r="B2918" s="1" t="n">
        <v>44757</v>
      </c>
      <c r="C2918" s="1" t="n">
        <v>45846</v>
      </c>
      <c r="D2918" t="inlineStr">
        <is>
          <t>UPPSALA LÄN</t>
        </is>
      </c>
      <c r="E2918" t="inlineStr">
        <is>
          <t>HEBY</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30351-2022</t>
        </is>
      </c>
      <c r="B2919" s="1" t="n">
        <v>44757</v>
      </c>
      <c r="C2919" s="1" t="n">
        <v>45846</v>
      </c>
      <c r="D2919" t="inlineStr">
        <is>
          <t>UPPSALA LÄN</t>
        </is>
      </c>
      <c r="E2919" t="inlineStr">
        <is>
          <t>KNIVSTA</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30209-2022</t>
        </is>
      </c>
      <c r="B2920" s="1" t="n">
        <v>44757</v>
      </c>
      <c r="C2920" s="1" t="n">
        <v>45846</v>
      </c>
      <c r="D2920" t="inlineStr">
        <is>
          <t>UPPSALA LÄN</t>
        </is>
      </c>
      <c r="E2920" t="inlineStr">
        <is>
          <t>ÖSTHAMMAR</t>
        </is>
      </c>
      <c r="F2920" t="inlineStr">
        <is>
          <t>Bergvik skog öst AB</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30437-2022</t>
        </is>
      </c>
      <c r="B2921" s="1" t="n">
        <v>44761</v>
      </c>
      <c r="C2921" s="1" t="n">
        <v>45846</v>
      </c>
      <c r="D2921" t="inlineStr">
        <is>
          <t>UPPSALA LÄN</t>
        </is>
      </c>
      <c r="E2921" t="inlineStr">
        <is>
          <t>ENKÖPING</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30549-2022</t>
        </is>
      </c>
      <c r="B2922" s="1" t="n">
        <v>44762</v>
      </c>
      <c r="C2922" s="1" t="n">
        <v>45846</v>
      </c>
      <c r="D2922" t="inlineStr">
        <is>
          <t>UPPSALA LÄN</t>
        </is>
      </c>
      <c r="E2922" t="inlineStr">
        <is>
          <t>ÖSTHAMMAR</t>
        </is>
      </c>
      <c r="F2922" t="inlineStr">
        <is>
          <t>Bergvik skog öst AB</t>
        </is>
      </c>
      <c r="G2922" t="n">
        <v>6.2</v>
      </c>
      <c r="H2922" t="n">
        <v>0</v>
      </c>
      <c r="I2922" t="n">
        <v>0</v>
      </c>
      <c r="J2922" t="n">
        <v>0</v>
      </c>
      <c r="K2922" t="n">
        <v>0</v>
      </c>
      <c r="L2922" t="n">
        <v>0</v>
      </c>
      <c r="M2922" t="n">
        <v>0</v>
      </c>
      <c r="N2922" t="n">
        <v>0</v>
      </c>
      <c r="O2922" t="n">
        <v>0</v>
      </c>
      <c r="P2922" t="n">
        <v>0</v>
      </c>
      <c r="Q2922" t="n">
        <v>0</v>
      </c>
      <c r="R2922" s="2" t="inlineStr"/>
    </row>
    <row r="2923" ht="15" customHeight="1">
      <c r="A2923" t="inlineStr">
        <is>
          <t>A 30580-2022</t>
        </is>
      </c>
      <c r="B2923" s="1" t="n">
        <v>44762</v>
      </c>
      <c r="C2923" s="1" t="n">
        <v>45846</v>
      </c>
      <c r="D2923" t="inlineStr">
        <is>
          <t>UPPSALA LÄN</t>
        </is>
      </c>
      <c r="E2923" t="inlineStr">
        <is>
          <t>UPPSALA</t>
        </is>
      </c>
      <c r="F2923" t="inlineStr">
        <is>
          <t>Bergvik skog öst AB</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30634-2022</t>
        </is>
      </c>
      <c r="B2924" s="1" t="n">
        <v>44763</v>
      </c>
      <c r="C2924" s="1" t="n">
        <v>45846</v>
      </c>
      <c r="D2924" t="inlineStr">
        <is>
          <t>UPPSALA LÄN</t>
        </is>
      </c>
      <c r="E2924" t="inlineStr">
        <is>
          <t>ENKÖPING</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30783-2022</t>
        </is>
      </c>
      <c r="B2925" s="1" t="n">
        <v>44764</v>
      </c>
      <c r="C2925" s="1" t="n">
        <v>45846</v>
      </c>
      <c r="D2925" t="inlineStr">
        <is>
          <t>UPPSALA LÄN</t>
        </is>
      </c>
      <c r="E2925" t="inlineStr">
        <is>
          <t>UPPSALA</t>
        </is>
      </c>
      <c r="F2925" t="inlineStr">
        <is>
          <t>Bergvik skog öst AB</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30775-2022</t>
        </is>
      </c>
      <c r="B2926" s="1" t="n">
        <v>44764</v>
      </c>
      <c r="C2926" s="1" t="n">
        <v>45846</v>
      </c>
      <c r="D2926" t="inlineStr">
        <is>
          <t>UPPSALA LÄN</t>
        </is>
      </c>
      <c r="E2926" t="inlineStr">
        <is>
          <t>UPPSALA</t>
        </is>
      </c>
      <c r="F2926" t="inlineStr">
        <is>
          <t>Bergvik skog öst AB</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31013-2022</t>
        </is>
      </c>
      <c r="B2927" s="1" t="n">
        <v>44768</v>
      </c>
      <c r="C2927" s="1" t="n">
        <v>45846</v>
      </c>
      <c r="D2927" t="inlineStr">
        <is>
          <t>UPPSALA LÄN</t>
        </is>
      </c>
      <c r="E2927" t="inlineStr">
        <is>
          <t>ENKÖPING</t>
        </is>
      </c>
      <c r="F2927" t="inlineStr">
        <is>
          <t>Allmännings- och besparingsskogar</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31027-2022</t>
        </is>
      </c>
      <c r="B2928" s="1" t="n">
        <v>44768</v>
      </c>
      <c r="C2928" s="1" t="n">
        <v>45846</v>
      </c>
      <c r="D2928" t="inlineStr">
        <is>
          <t>UPPSALA LÄN</t>
        </is>
      </c>
      <c r="E2928" t="inlineStr">
        <is>
          <t>ÖSTHAMMAR</t>
        </is>
      </c>
      <c r="F2928" t="inlineStr">
        <is>
          <t>Bergvik skog öst AB</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31035-2022</t>
        </is>
      </c>
      <c r="B2929" s="1" t="n">
        <v>44768</v>
      </c>
      <c r="C2929" s="1" t="n">
        <v>45846</v>
      </c>
      <c r="D2929" t="inlineStr">
        <is>
          <t>UPPSALA LÄN</t>
        </is>
      </c>
      <c r="E2929" t="inlineStr">
        <is>
          <t>ÖSTHAMMAR</t>
        </is>
      </c>
      <c r="F2929" t="inlineStr">
        <is>
          <t>Bergvik skog öst AB</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31026-2022</t>
        </is>
      </c>
      <c r="B2930" s="1" t="n">
        <v>44768</v>
      </c>
      <c r="C2930" s="1" t="n">
        <v>45846</v>
      </c>
      <c r="D2930" t="inlineStr">
        <is>
          <t>UPPSALA LÄN</t>
        </is>
      </c>
      <c r="E2930" t="inlineStr">
        <is>
          <t>ÖSTHAMMAR</t>
        </is>
      </c>
      <c r="F2930" t="inlineStr">
        <is>
          <t>Bergvik skog öst AB</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31049-2022</t>
        </is>
      </c>
      <c r="B2931" s="1" t="n">
        <v>44769</v>
      </c>
      <c r="C2931" s="1" t="n">
        <v>45846</v>
      </c>
      <c r="D2931" t="inlineStr">
        <is>
          <t>UPPSALA LÄN</t>
        </is>
      </c>
      <c r="E2931" t="inlineStr">
        <is>
          <t>HEBY</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31094-2022</t>
        </is>
      </c>
      <c r="B2932" s="1" t="n">
        <v>44769</v>
      </c>
      <c r="C2932" s="1" t="n">
        <v>45846</v>
      </c>
      <c r="D2932" t="inlineStr">
        <is>
          <t>UPPSALA LÄN</t>
        </is>
      </c>
      <c r="E2932" t="inlineStr">
        <is>
          <t>TIERP</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31103-2022</t>
        </is>
      </c>
      <c r="B2933" s="1" t="n">
        <v>44769</v>
      </c>
      <c r="C2933" s="1" t="n">
        <v>45846</v>
      </c>
      <c r="D2933" t="inlineStr">
        <is>
          <t>UPPSALA LÄN</t>
        </is>
      </c>
      <c r="E2933" t="inlineStr">
        <is>
          <t>TIERP</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31113-2022</t>
        </is>
      </c>
      <c r="B2934" s="1" t="n">
        <v>44769</v>
      </c>
      <c r="C2934" s="1" t="n">
        <v>45846</v>
      </c>
      <c r="D2934" t="inlineStr">
        <is>
          <t>UPPSALA LÄN</t>
        </is>
      </c>
      <c r="E2934" t="inlineStr">
        <is>
          <t>UPPSALA</t>
        </is>
      </c>
      <c r="F2934" t="inlineStr">
        <is>
          <t>Bergvik skog öst AB</t>
        </is>
      </c>
      <c r="G2934" t="n">
        <v>4.7</v>
      </c>
      <c r="H2934" t="n">
        <v>0</v>
      </c>
      <c r="I2934" t="n">
        <v>0</v>
      </c>
      <c r="J2934" t="n">
        <v>0</v>
      </c>
      <c r="K2934" t="n">
        <v>0</v>
      </c>
      <c r="L2934" t="n">
        <v>0</v>
      </c>
      <c r="M2934" t="n">
        <v>0</v>
      </c>
      <c r="N2934" t="n">
        <v>0</v>
      </c>
      <c r="O2934" t="n">
        <v>0</v>
      </c>
      <c r="P2934" t="n">
        <v>0</v>
      </c>
      <c r="Q2934" t="n">
        <v>0</v>
      </c>
      <c r="R2934" s="2" t="inlineStr"/>
    </row>
    <row r="2935" ht="15" customHeight="1">
      <c r="A2935" t="inlineStr">
        <is>
          <t>A 31182-2022</t>
        </is>
      </c>
      <c r="B2935" s="1" t="n">
        <v>44770</v>
      </c>
      <c r="C2935" s="1" t="n">
        <v>45846</v>
      </c>
      <c r="D2935" t="inlineStr">
        <is>
          <t>UPPSALA LÄN</t>
        </is>
      </c>
      <c r="E2935" t="inlineStr">
        <is>
          <t>ÖSTHAMMAR</t>
        </is>
      </c>
      <c r="F2935" t="inlineStr">
        <is>
          <t>Bergvik skog öst AB</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31140-2022</t>
        </is>
      </c>
      <c r="B2936" s="1" t="n">
        <v>44770</v>
      </c>
      <c r="C2936" s="1" t="n">
        <v>45846</v>
      </c>
      <c r="D2936" t="inlineStr">
        <is>
          <t>UPPSALA LÄN</t>
        </is>
      </c>
      <c r="E2936" t="inlineStr">
        <is>
          <t>ÖSTHAMMAR</t>
        </is>
      </c>
      <c r="F2936" t="inlineStr">
        <is>
          <t>Bergvik skog öst AB</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31137-2022</t>
        </is>
      </c>
      <c r="B2937" s="1" t="n">
        <v>44770</v>
      </c>
      <c r="C2937" s="1" t="n">
        <v>45846</v>
      </c>
      <c r="D2937" t="inlineStr">
        <is>
          <t>UPPSALA LÄN</t>
        </is>
      </c>
      <c r="E2937" t="inlineStr">
        <is>
          <t>ÖSTHAMMAR</t>
        </is>
      </c>
      <c r="F2937" t="inlineStr">
        <is>
          <t>Bergvik skog öst AB</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31282-2022</t>
        </is>
      </c>
      <c r="B2938" s="1" t="n">
        <v>44771</v>
      </c>
      <c r="C2938" s="1" t="n">
        <v>45846</v>
      </c>
      <c r="D2938" t="inlineStr">
        <is>
          <t>UPPSALA LÄN</t>
        </is>
      </c>
      <c r="E2938" t="inlineStr">
        <is>
          <t>ÖSTHAMMAR</t>
        </is>
      </c>
      <c r="F2938" t="inlineStr">
        <is>
          <t>Bergvik skog öst AB</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31263-2022</t>
        </is>
      </c>
      <c r="B2939" s="1" t="n">
        <v>44771</v>
      </c>
      <c r="C2939" s="1" t="n">
        <v>45846</v>
      </c>
      <c r="D2939" t="inlineStr">
        <is>
          <t>UPPSALA LÄN</t>
        </is>
      </c>
      <c r="E2939" t="inlineStr">
        <is>
          <t>UPPSALA</t>
        </is>
      </c>
      <c r="F2939" t="inlineStr">
        <is>
          <t>Bergvik skog öst AB</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31261-2022</t>
        </is>
      </c>
      <c r="B2940" s="1" t="n">
        <v>44771</v>
      </c>
      <c r="C2940" s="1" t="n">
        <v>45846</v>
      </c>
      <c r="D2940" t="inlineStr">
        <is>
          <t>UPPSALA LÄN</t>
        </is>
      </c>
      <c r="E2940" t="inlineStr">
        <is>
          <t>UPPSALA</t>
        </is>
      </c>
      <c r="F2940" t="inlineStr">
        <is>
          <t>Bergvik skog öst AB</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31249-2022</t>
        </is>
      </c>
      <c r="B2941" s="1" t="n">
        <v>44771</v>
      </c>
      <c r="C2941" s="1" t="n">
        <v>45846</v>
      </c>
      <c r="D2941" t="inlineStr">
        <is>
          <t>UPPSALA LÄN</t>
        </is>
      </c>
      <c r="E2941" t="inlineStr">
        <is>
          <t>UPPSALA</t>
        </is>
      </c>
      <c r="F2941" t="inlineStr">
        <is>
          <t>Bergvik skog öst AB</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31253-2022</t>
        </is>
      </c>
      <c r="B2942" s="1" t="n">
        <v>44771</v>
      </c>
      <c r="C2942" s="1" t="n">
        <v>45846</v>
      </c>
      <c r="D2942" t="inlineStr">
        <is>
          <t>UPPSALA LÄN</t>
        </is>
      </c>
      <c r="E2942" t="inlineStr">
        <is>
          <t>UPPSALA</t>
        </is>
      </c>
      <c r="F2942" t="inlineStr">
        <is>
          <t>Bergvik skog öst AB</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31574-2022</t>
        </is>
      </c>
      <c r="B2943" s="1" t="n">
        <v>44775</v>
      </c>
      <c r="C2943" s="1" t="n">
        <v>45846</v>
      </c>
      <c r="D2943" t="inlineStr">
        <is>
          <t>UPPSALA LÄN</t>
        </is>
      </c>
      <c r="E2943" t="inlineStr">
        <is>
          <t>ÖSTHAMMAR</t>
        </is>
      </c>
      <c r="G2943" t="n">
        <v>29.7</v>
      </c>
      <c r="H2943" t="n">
        <v>0</v>
      </c>
      <c r="I2943" t="n">
        <v>0</v>
      </c>
      <c r="J2943" t="n">
        <v>0</v>
      </c>
      <c r="K2943" t="n">
        <v>0</v>
      </c>
      <c r="L2943" t="n">
        <v>0</v>
      </c>
      <c r="M2943" t="n">
        <v>0</v>
      </c>
      <c r="N2943" t="n">
        <v>0</v>
      </c>
      <c r="O2943" t="n">
        <v>0</v>
      </c>
      <c r="P2943" t="n">
        <v>0</v>
      </c>
      <c r="Q2943" t="n">
        <v>0</v>
      </c>
      <c r="R2943" s="2" t="inlineStr"/>
    </row>
    <row r="2944" ht="15" customHeight="1">
      <c r="A2944" t="inlineStr">
        <is>
          <t>A 31549-2022</t>
        </is>
      </c>
      <c r="B2944" s="1" t="n">
        <v>44775</v>
      </c>
      <c r="C2944" s="1" t="n">
        <v>45846</v>
      </c>
      <c r="D2944" t="inlineStr">
        <is>
          <t>UPPSALA LÄN</t>
        </is>
      </c>
      <c r="E2944" t="inlineStr">
        <is>
          <t>ÖSTHAMMAR</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31622-2022</t>
        </is>
      </c>
      <c r="B2945" s="1" t="n">
        <v>44775</v>
      </c>
      <c r="C2945" s="1" t="n">
        <v>45846</v>
      </c>
      <c r="D2945" t="inlineStr">
        <is>
          <t>UPPSALA LÄN</t>
        </is>
      </c>
      <c r="E2945" t="inlineStr">
        <is>
          <t>ENKÖPING</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31669-2022</t>
        </is>
      </c>
      <c r="B2946" s="1" t="n">
        <v>44775</v>
      </c>
      <c r="C2946" s="1" t="n">
        <v>45846</v>
      </c>
      <c r="D2946" t="inlineStr">
        <is>
          <t>UPPSALA LÄN</t>
        </is>
      </c>
      <c r="E2946" t="inlineStr">
        <is>
          <t>ÖSTHAMMAR</t>
        </is>
      </c>
      <c r="G2946" t="n">
        <v>6</v>
      </c>
      <c r="H2946" t="n">
        <v>0</v>
      </c>
      <c r="I2946" t="n">
        <v>0</v>
      </c>
      <c r="J2946" t="n">
        <v>0</v>
      </c>
      <c r="K2946" t="n">
        <v>0</v>
      </c>
      <c r="L2946" t="n">
        <v>0</v>
      </c>
      <c r="M2946" t="n">
        <v>0</v>
      </c>
      <c r="N2946" t="n">
        <v>0</v>
      </c>
      <c r="O2946" t="n">
        <v>0</v>
      </c>
      <c r="P2946" t="n">
        <v>0</v>
      </c>
      <c r="Q2946" t="n">
        <v>0</v>
      </c>
      <c r="R2946" s="2" t="inlineStr"/>
    </row>
    <row r="2947" ht="15" customHeight="1">
      <c r="A2947" t="inlineStr">
        <is>
          <t>A 31875-2022</t>
        </is>
      </c>
      <c r="B2947" s="1" t="n">
        <v>44777</v>
      </c>
      <c r="C2947" s="1" t="n">
        <v>45846</v>
      </c>
      <c r="D2947" t="inlineStr">
        <is>
          <t>UPPSALA LÄN</t>
        </is>
      </c>
      <c r="E2947" t="inlineStr">
        <is>
          <t>KNIVSTA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32090-2022</t>
        </is>
      </c>
      <c r="B2948" s="1" t="n">
        <v>44778</v>
      </c>
      <c r="C2948" s="1" t="n">
        <v>45846</v>
      </c>
      <c r="D2948" t="inlineStr">
        <is>
          <t>UPPSALA LÄN</t>
        </is>
      </c>
      <c r="E2948" t="inlineStr">
        <is>
          <t>TIERP</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32092-2022</t>
        </is>
      </c>
      <c r="B2949" s="1" t="n">
        <v>44778</v>
      </c>
      <c r="C2949" s="1" t="n">
        <v>45846</v>
      </c>
      <c r="D2949" t="inlineStr">
        <is>
          <t>UPPSALA LÄN</t>
        </is>
      </c>
      <c r="E2949" t="inlineStr">
        <is>
          <t>TIERP</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32089-2022</t>
        </is>
      </c>
      <c r="B2950" s="1" t="n">
        <v>44778</v>
      </c>
      <c r="C2950" s="1" t="n">
        <v>45846</v>
      </c>
      <c r="D2950" t="inlineStr">
        <is>
          <t>UPPSALA LÄN</t>
        </is>
      </c>
      <c r="E2950" t="inlineStr">
        <is>
          <t>TIERP</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32190-2022</t>
        </is>
      </c>
      <c r="B2951" s="1" t="n">
        <v>44781</v>
      </c>
      <c r="C2951" s="1" t="n">
        <v>45846</v>
      </c>
      <c r="D2951" t="inlineStr">
        <is>
          <t>UPPSALA LÄN</t>
        </is>
      </c>
      <c r="E2951" t="inlineStr">
        <is>
          <t>TIERP</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32245-2022</t>
        </is>
      </c>
      <c r="B2952" s="1" t="n">
        <v>44781</v>
      </c>
      <c r="C2952" s="1" t="n">
        <v>45846</v>
      </c>
      <c r="D2952" t="inlineStr">
        <is>
          <t>UPPSALA LÄN</t>
        </is>
      </c>
      <c r="E2952" t="inlineStr">
        <is>
          <t>HEBY</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32326-2022</t>
        </is>
      </c>
      <c r="B2953" s="1" t="n">
        <v>44781</v>
      </c>
      <c r="C2953" s="1" t="n">
        <v>45846</v>
      </c>
      <c r="D2953" t="inlineStr">
        <is>
          <t>UPPSALA LÄN</t>
        </is>
      </c>
      <c r="E2953" t="inlineStr">
        <is>
          <t>TIERP</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32678-2022</t>
        </is>
      </c>
      <c r="B2954" s="1" t="n">
        <v>44783</v>
      </c>
      <c r="C2954" s="1" t="n">
        <v>45846</v>
      </c>
      <c r="D2954" t="inlineStr">
        <is>
          <t>UPPSALA LÄN</t>
        </is>
      </c>
      <c r="E2954" t="inlineStr">
        <is>
          <t>ÖSTHAMMAR</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32742-2022</t>
        </is>
      </c>
      <c r="B2955" s="1" t="n">
        <v>44783</v>
      </c>
      <c r="C2955" s="1" t="n">
        <v>45846</v>
      </c>
      <c r="D2955" t="inlineStr">
        <is>
          <t>UPPSALA LÄN</t>
        </is>
      </c>
      <c r="E2955" t="inlineStr">
        <is>
          <t>ÖSTHAMMAR</t>
        </is>
      </c>
      <c r="F2955" t="inlineStr">
        <is>
          <t>Bergvik skog öst AB</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32744-2022</t>
        </is>
      </c>
      <c r="B2956" s="1" t="n">
        <v>44783</v>
      </c>
      <c r="C2956" s="1" t="n">
        <v>45846</v>
      </c>
      <c r="D2956" t="inlineStr">
        <is>
          <t>UPPSALA LÄN</t>
        </is>
      </c>
      <c r="E2956" t="inlineStr">
        <is>
          <t>ÖSTHAMMAR</t>
        </is>
      </c>
      <c r="F2956" t="inlineStr">
        <is>
          <t>Bergvik skog öst AB</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32954-2022</t>
        </is>
      </c>
      <c r="B2957" s="1" t="n">
        <v>44784</v>
      </c>
      <c r="C2957" s="1" t="n">
        <v>45846</v>
      </c>
      <c r="D2957" t="inlineStr">
        <is>
          <t>UPPSALA LÄN</t>
        </is>
      </c>
      <c r="E2957" t="inlineStr">
        <is>
          <t>UPPSALA</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33286-2022</t>
        </is>
      </c>
      <c r="B2958" s="1" t="n">
        <v>44788</v>
      </c>
      <c r="C2958" s="1" t="n">
        <v>45846</v>
      </c>
      <c r="D2958" t="inlineStr">
        <is>
          <t>UPPSALA LÄN</t>
        </is>
      </c>
      <c r="E2958" t="inlineStr">
        <is>
          <t>TIERP</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33332-2022</t>
        </is>
      </c>
      <c r="B2959" s="1" t="n">
        <v>44788</v>
      </c>
      <c r="C2959" s="1" t="n">
        <v>45846</v>
      </c>
      <c r="D2959" t="inlineStr">
        <is>
          <t>UPPSALA LÄN</t>
        </is>
      </c>
      <c r="E2959" t="inlineStr">
        <is>
          <t>UPPSALA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33284-2022</t>
        </is>
      </c>
      <c r="B2960" s="1" t="n">
        <v>44788</v>
      </c>
      <c r="C2960" s="1" t="n">
        <v>45846</v>
      </c>
      <c r="D2960" t="inlineStr">
        <is>
          <t>UPPSALA LÄN</t>
        </is>
      </c>
      <c r="E2960" t="inlineStr">
        <is>
          <t>HEBY</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33379-2022</t>
        </is>
      </c>
      <c r="B2961" s="1" t="n">
        <v>44788</v>
      </c>
      <c r="C2961" s="1" t="n">
        <v>45846</v>
      </c>
      <c r="D2961" t="inlineStr">
        <is>
          <t>UPPSALA LÄN</t>
        </is>
      </c>
      <c r="E2961" t="inlineStr">
        <is>
          <t>HEBY</t>
        </is>
      </c>
      <c r="G2961" t="n">
        <v>18.8</v>
      </c>
      <c r="H2961" t="n">
        <v>0</v>
      </c>
      <c r="I2961" t="n">
        <v>0</v>
      </c>
      <c r="J2961" t="n">
        <v>0</v>
      </c>
      <c r="K2961" t="n">
        <v>0</v>
      </c>
      <c r="L2961" t="n">
        <v>0</v>
      </c>
      <c r="M2961" t="n">
        <v>0</v>
      </c>
      <c r="N2961" t="n">
        <v>0</v>
      </c>
      <c r="O2961" t="n">
        <v>0</v>
      </c>
      <c r="P2961" t="n">
        <v>0</v>
      </c>
      <c r="Q2961" t="n">
        <v>0</v>
      </c>
      <c r="R2961" s="2" t="inlineStr"/>
    </row>
    <row r="2962" ht="15" customHeight="1">
      <c r="A2962" t="inlineStr">
        <is>
          <t>A 33283-2022</t>
        </is>
      </c>
      <c r="B2962" s="1" t="n">
        <v>44788</v>
      </c>
      <c r="C2962" s="1" t="n">
        <v>45846</v>
      </c>
      <c r="D2962" t="inlineStr">
        <is>
          <t>UPPSALA LÄN</t>
        </is>
      </c>
      <c r="E2962" t="inlineStr">
        <is>
          <t>UPPSALA</t>
        </is>
      </c>
      <c r="G2962" t="n">
        <v>20.2</v>
      </c>
      <c r="H2962" t="n">
        <v>0</v>
      </c>
      <c r="I2962" t="n">
        <v>0</v>
      </c>
      <c r="J2962" t="n">
        <v>0</v>
      </c>
      <c r="K2962" t="n">
        <v>0</v>
      </c>
      <c r="L2962" t="n">
        <v>0</v>
      </c>
      <c r="M2962" t="n">
        <v>0</v>
      </c>
      <c r="N2962" t="n">
        <v>0</v>
      </c>
      <c r="O2962" t="n">
        <v>0</v>
      </c>
      <c r="P2962" t="n">
        <v>0</v>
      </c>
      <c r="Q2962" t="n">
        <v>0</v>
      </c>
      <c r="R2962" s="2" t="inlineStr"/>
    </row>
    <row r="2963" ht="15" customHeight="1">
      <c r="A2963" t="inlineStr">
        <is>
          <t>A 33619-2022</t>
        </is>
      </c>
      <c r="B2963" s="1" t="n">
        <v>44789</v>
      </c>
      <c r="C2963" s="1" t="n">
        <v>45846</v>
      </c>
      <c r="D2963" t="inlineStr">
        <is>
          <t>UPPSALA LÄN</t>
        </is>
      </c>
      <c r="E2963" t="inlineStr">
        <is>
          <t>ENKÖPING</t>
        </is>
      </c>
      <c r="F2963" t="inlineStr">
        <is>
          <t>Allmännings- och besparingsskogar</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33821-2022</t>
        </is>
      </c>
      <c r="B2964" s="1" t="n">
        <v>44790</v>
      </c>
      <c r="C2964" s="1" t="n">
        <v>45846</v>
      </c>
      <c r="D2964" t="inlineStr">
        <is>
          <t>UPPSALA LÄN</t>
        </is>
      </c>
      <c r="E2964" t="inlineStr">
        <is>
          <t>ENKÖPING</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33849-2022</t>
        </is>
      </c>
      <c r="B2965" s="1" t="n">
        <v>44790</v>
      </c>
      <c r="C2965" s="1" t="n">
        <v>45846</v>
      </c>
      <c r="D2965" t="inlineStr">
        <is>
          <t>UPPSALA LÄN</t>
        </is>
      </c>
      <c r="E2965" t="inlineStr">
        <is>
          <t>HEBY</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33890-2022</t>
        </is>
      </c>
      <c r="B2966" s="1" t="n">
        <v>44790</v>
      </c>
      <c r="C2966" s="1" t="n">
        <v>45846</v>
      </c>
      <c r="D2966" t="inlineStr">
        <is>
          <t>UPPSALA LÄN</t>
        </is>
      </c>
      <c r="E2966" t="inlineStr">
        <is>
          <t>TIERP</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34078-2022</t>
        </is>
      </c>
      <c r="B2967" s="1" t="n">
        <v>44791</v>
      </c>
      <c r="C2967" s="1" t="n">
        <v>45846</v>
      </c>
      <c r="D2967" t="inlineStr">
        <is>
          <t>UPPSALA LÄN</t>
        </is>
      </c>
      <c r="E2967" t="inlineStr">
        <is>
          <t>KNIVSTA</t>
        </is>
      </c>
      <c r="F2967" t="inlineStr">
        <is>
          <t>Övriga statliga verk och myndigheter</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34146-2022</t>
        </is>
      </c>
      <c r="B2968" s="1" t="n">
        <v>44791</v>
      </c>
      <c r="C2968" s="1" t="n">
        <v>45846</v>
      </c>
      <c r="D2968" t="inlineStr">
        <is>
          <t>UPPSALA LÄN</t>
        </is>
      </c>
      <c r="E2968" t="inlineStr">
        <is>
          <t>HEBY</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34061-2022</t>
        </is>
      </c>
      <c r="B2969" s="1" t="n">
        <v>44791</v>
      </c>
      <c r="C2969" s="1" t="n">
        <v>45846</v>
      </c>
      <c r="D2969" t="inlineStr">
        <is>
          <t>UPPSALA LÄN</t>
        </is>
      </c>
      <c r="E2969" t="inlineStr">
        <is>
          <t>UPPSALA</t>
        </is>
      </c>
      <c r="F2969" t="inlineStr">
        <is>
          <t>Bergvik skog öst AB</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34202-2022</t>
        </is>
      </c>
      <c r="B2970" s="1" t="n">
        <v>44791</v>
      </c>
      <c r="C2970" s="1" t="n">
        <v>45846</v>
      </c>
      <c r="D2970" t="inlineStr">
        <is>
          <t>UPPSALA LÄN</t>
        </is>
      </c>
      <c r="E2970" t="inlineStr">
        <is>
          <t>HÅBO</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34386-2022</t>
        </is>
      </c>
      <c r="B2971" s="1" t="n">
        <v>44792</v>
      </c>
      <c r="C2971" s="1" t="n">
        <v>45846</v>
      </c>
      <c r="D2971" t="inlineStr">
        <is>
          <t>UPPSALA LÄN</t>
        </is>
      </c>
      <c r="E2971" t="inlineStr">
        <is>
          <t>HEBY</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34418-2022</t>
        </is>
      </c>
      <c r="B2972" s="1" t="n">
        <v>44792</v>
      </c>
      <c r="C2972" s="1" t="n">
        <v>45846</v>
      </c>
      <c r="D2972" t="inlineStr">
        <is>
          <t>UPPSALA LÄN</t>
        </is>
      </c>
      <c r="E2972" t="inlineStr">
        <is>
          <t>ÖSTHAMMAR</t>
        </is>
      </c>
      <c r="G2972" t="n">
        <v>0.3</v>
      </c>
      <c r="H2972" t="n">
        <v>0</v>
      </c>
      <c r="I2972" t="n">
        <v>0</v>
      </c>
      <c r="J2972" t="n">
        <v>0</v>
      </c>
      <c r="K2972" t="n">
        <v>0</v>
      </c>
      <c r="L2972" t="n">
        <v>0</v>
      </c>
      <c r="M2972" t="n">
        <v>0</v>
      </c>
      <c r="N2972" t="n">
        <v>0</v>
      </c>
      <c r="O2972" t="n">
        <v>0</v>
      </c>
      <c r="P2972" t="n">
        <v>0</v>
      </c>
      <c r="Q2972" t="n">
        <v>0</v>
      </c>
      <c r="R2972" s="2" t="inlineStr"/>
    </row>
    <row r="2973" ht="15" customHeight="1">
      <c r="A2973" t="inlineStr">
        <is>
          <t>A 34460-2022</t>
        </is>
      </c>
      <c r="B2973" s="1" t="n">
        <v>44792</v>
      </c>
      <c r="C2973" s="1" t="n">
        <v>45846</v>
      </c>
      <c r="D2973" t="inlineStr">
        <is>
          <t>UPPSALA LÄN</t>
        </is>
      </c>
      <c r="E2973" t="inlineStr">
        <is>
          <t>TIERP</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34617-2022</t>
        </is>
      </c>
      <c r="B2974" s="1" t="n">
        <v>44795</v>
      </c>
      <c r="C2974" s="1" t="n">
        <v>45846</v>
      </c>
      <c r="D2974" t="inlineStr">
        <is>
          <t>UPPSALA LÄN</t>
        </is>
      </c>
      <c r="E2974" t="inlineStr">
        <is>
          <t>ENKÖPING</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34770-2022</t>
        </is>
      </c>
      <c r="B2975" s="1" t="n">
        <v>44795</v>
      </c>
      <c r="C2975" s="1" t="n">
        <v>45846</v>
      </c>
      <c r="D2975" t="inlineStr">
        <is>
          <t>UPPSALA LÄN</t>
        </is>
      </c>
      <c r="E2975" t="inlineStr">
        <is>
          <t>UPPSALA</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34742-2022</t>
        </is>
      </c>
      <c r="B2976" s="1" t="n">
        <v>44795</v>
      </c>
      <c r="C2976" s="1" t="n">
        <v>45846</v>
      </c>
      <c r="D2976" t="inlineStr">
        <is>
          <t>UPPSALA LÄN</t>
        </is>
      </c>
      <c r="E2976" t="inlineStr">
        <is>
          <t>ÖSTHAMMAR</t>
        </is>
      </c>
      <c r="F2976" t="inlineStr">
        <is>
          <t>Bergvik skog öst AB</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34971-2022</t>
        </is>
      </c>
      <c r="B2977" s="1" t="n">
        <v>44796</v>
      </c>
      <c r="C2977" s="1" t="n">
        <v>45846</v>
      </c>
      <c r="D2977" t="inlineStr">
        <is>
          <t>UPPSALA LÄN</t>
        </is>
      </c>
      <c r="E2977" t="inlineStr">
        <is>
          <t>ÖSTHAMMAR</t>
        </is>
      </c>
      <c r="F2977" t="inlineStr">
        <is>
          <t>Bergvik skog öst AB</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34994-2022</t>
        </is>
      </c>
      <c r="B2978" s="1" t="n">
        <v>44796</v>
      </c>
      <c r="C2978" s="1" t="n">
        <v>45846</v>
      </c>
      <c r="D2978" t="inlineStr">
        <is>
          <t>UPPSALA LÄN</t>
        </is>
      </c>
      <c r="E2978" t="inlineStr">
        <is>
          <t>ÖSTHAMMAR</t>
        </is>
      </c>
      <c r="F2978" t="inlineStr">
        <is>
          <t>Bergvik skog öst AB</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35212-2022</t>
        </is>
      </c>
      <c r="B2979" s="1" t="n">
        <v>44797</v>
      </c>
      <c r="C2979" s="1" t="n">
        <v>45846</v>
      </c>
      <c r="D2979" t="inlineStr">
        <is>
          <t>UPPSALA LÄN</t>
        </is>
      </c>
      <c r="E2979" t="inlineStr">
        <is>
          <t>UPPSALA</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35411-2022</t>
        </is>
      </c>
      <c r="B2980" s="1" t="n">
        <v>44798</v>
      </c>
      <c r="C2980" s="1" t="n">
        <v>45846</v>
      </c>
      <c r="D2980" t="inlineStr">
        <is>
          <t>UPPSALA LÄN</t>
        </is>
      </c>
      <c r="E2980" t="inlineStr">
        <is>
          <t>UPPSALA</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35539-2022</t>
        </is>
      </c>
      <c r="B2981" s="1" t="n">
        <v>44799</v>
      </c>
      <c r="C2981" s="1" t="n">
        <v>45846</v>
      </c>
      <c r="D2981" t="inlineStr">
        <is>
          <t>UPPSALA LÄN</t>
        </is>
      </c>
      <c r="E2981" t="inlineStr">
        <is>
          <t>UPPSALA</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35544-2022</t>
        </is>
      </c>
      <c r="B2982" s="1" t="n">
        <v>44799</v>
      </c>
      <c r="C2982" s="1" t="n">
        <v>45846</v>
      </c>
      <c r="D2982" t="inlineStr">
        <is>
          <t>UPPSALA LÄN</t>
        </is>
      </c>
      <c r="E2982" t="inlineStr">
        <is>
          <t>UPPSALA</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35542-2022</t>
        </is>
      </c>
      <c r="B2983" s="1" t="n">
        <v>44799</v>
      </c>
      <c r="C2983" s="1" t="n">
        <v>45846</v>
      </c>
      <c r="D2983" t="inlineStr">
        <is>
          <t>UPPSALA LÄN</t>
        </is>
      </c>
      <c r="E2983" t="inlineStr">
        <is>
          <t>UPPSALA</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35868-2022</t>
        </is>
      </c>
      <c r="B2984" s="1" t="n">
        <v>44802</v>
      </c>
      <c r="C2984" s="1" t="n">
        <v>45846</v>
      </c>
      <c r="D2984" t="inlineStr">
        <is>
          <t>UPPSALA LÄN</t>
        </is>
      </c>
      <c r="E2984" t="inlineStr">
        <is>
          <t>HEBY</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35875-2022</t>
        </is>
      </c>
      <c r="B2985" s="1" t="n">
        <v>44802</v>
      </c>
      <c r="C2985" s="1" t="n">
        <v>45846</v>
      </c>
      <c r="D2985" t="inlineStr">
        <is>
          <t>UPPSALA LÄN</t>
        </is>
      </c>
      <c r="E2985" t="inlineStr">
        <is>
          <t>HEBY</t>
        </is>
      </c>
      <c r="G2985" t="n">
        <v>12.1</v>
      </c>
      <c r="H2985" t="n">
        <v>0</v>
      </c>
      <c r="I2985" t="n">
        <v>0</v>
      </c>
      <c r="J2985" t="n">
        <v>0</v>
      </c>
      <c r="K2985" t="n">
        <v>0</v>
      </c>
      <c r="L2985" t="n">
        <v>0</v>
      </c>
      <c r="M2985" t="n">
        <v>0</v>
      </c>
      <c r="N2985" t="n">
        <v>0</v>
      </c>
      <c r="O2985" t="n">
        <v>0</v>
      </c>
      <c r="P2985" t="n">
        <v>0</v>
      </c>
      <c r="Q2985" t="n">
        <v>0</v>
      </c>
      <c r="R2985" s="2" t="inlineStr"/>
    </row>
    <row r="2986" ht="15" customHeight="1">
      <c r="A2986" t="inlineStr">
        <is>
          <t>A 35865-2022</t>
        </is>
      </c>
      <c r="B2986" s="1" t="n">
        <v>44802</v>
      </c>
      <c r="C2986" s="1" t="n">
        <v>45846</v>
      </c>
      <c r="D2986" t="inlineStr">
        <is>
          <t>UPPSALA LÄN</t>
        </is>
      </c>
      <c r="E2986" t="inlineStr">
        <is>
          <t>HEBY</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36216-2022</t>
        </is>
      </c>
      <c r="B2987" s="1" t="n">
        <v>44803</v>
      </c>
      <c r="C2987" s="1" t="n">
        <v>45846</v>
      </c>
      <c r="D2987" t="inlineStr">
        <is>
          <t>UPPSALA LÄN</t>
        </is>
      </c>
      <c r="E2987" t="inlineStr">
        <is>
          <t>ÄLVKARLEBY</t>
        </is>
      </c>
      <c r="F2987" t="inlineStr">
        <is>
          <t>Bergvik skog väst AB</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36217-2022</t>
        </is>
      </c>
      <c r="B2988" s="1" t="n">
        <v>44803</v>
      </c>
      <c r="C2988" s="1" t="n">
        <v>45846</v>
      </c>
      <c r="D2988" t="inlineStr">
        <is>
          <t>UPPSALA LÄN</t>
        </is>
      </c>
      <c r="E2988" t="inlineStr">
        <is>
          <t>ÄLVKARLEBY</t>
        </is>
      </c>
      <c r="F2988" t="inlineStr">
        <is>
          <t>Bergvik skog väst AB</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36282-2022</t>
        </is>
      </c>
      <c r="B2989" s="1" t="n">
        <v>44803</v>
      </c>
      <c r="C2989" s="1" t="n">
        <v>45846</v>
      </c>
      <c r="D2989" t="inlineStr">
        <is>
          <t>UPPSALA LÄN</t>
        </is>
      </c>
      <c r="E2989" t="inlineStr">
        <is>
          <t>ÄLVKARLEBY</t>
        </is>
      </c>
      <c r="G2989" t="n">
        <v>0.1</v>
      </c>
      <c r="H2989" t="n">
        <v>0</v>
      </c>
      <c r="I2989" t="n">
        <v>0</v>
      </c>
      <c r="J2989" t="n">
        <v>0</v>
      </c>
      <c r="K2989" t="n">
        <v>0</v>
      </c>
      <c r="L2989" t="n">
        <v>0</v>
      </c>
      <c r="M2989" t="n">
        <v>0</v>
      </c>
      <c r="N2989" t="n">
        <v>0</v>
      </c>
      <c r="O2989" t="n">
        <v>0</v>
      </c>
      <c r="P2989" t="n">
        <v>0</v>
      </c>
      <c r="Q2989" t="n">
        <v>0</v>
      </c>
      <c r="R2989" s="2" t="inlineStr"/>
    </row>
    <row r="2990" ht="15" customHeight="1">
      <c r="A2990" t="inlineStr">
        <is>
          <t>A 36343-2022</t>
        </is>
      </c>
      <c r="B2990" s="1" t="n">
        <v>44803</v>
      </c>
      <c r="C2990" s="1" t="n">
        <v>45846</v>
      </c>
      <c r="D2990" t="inlineStr">
        <is>
          <t>UPPSALA LÄN</t>
        </is>
      </c>
      <c r="E2990" t="inlineStr">
        <is>
          <t>ÖSTHAMMAR</t>
        </is>
      </c>
      <c r="F2990" t="inlineStr">
        <is>
          <t>Bergvik skog öst AB</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36549-2022</t>
        </is>
      </c>
      <c r="B2991" s="1" t="n">
        <v>44804</v>
      </c>
      <c r="C2991" s="1" t="n">
        <v>45846</v>
      </c>
      <c r="D2991" t="inlineStr">
        <is>
          <t>UPPSALA LÄN</t>
        </is>
      </c>
      <c r="E2991" t="inlineStr">
        <is>
          <t>TIERP</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36561-2022</t>
        </is>
      </c>
      <c r="B2992" s="1" t="n">
        <v>44804</v>
      </c>
      <c r="C2992" s="1" t="n">
        <v>45846</v>
      </c>
      <c r="D2992" t="inlineStr">
        <is>
          <t>UPPSALA LÄN</t>
        </is>
      </c>
      <c r="E2992" t="inlineStr">
        <is>
          <t>TIERP</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36873-2022</t>
        </is>
      </c>
      <c r="B2993" s="1" t="n">
        <v>44805</v>
      </c>
      <c r="C2993" s="1" t="n">
        <v>45846</v>
      </c>
      <c r="D2993" t="inlineStr">
        <is>
          <t>UPPSALA LÄN</t>
        </is>
      </c>
      <c r="E2993" t="inlineStr">
        <is>
          <t>ÖSTHAMMAR</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37187-2022</t>
        </is>
      </c>
      <c r="B2994" s="1" t="n">
        <v>44806</v>
      </c>
      <c r="C2994" s="1" t="n">
        <v>45846</v>
      </c>
      <c r="D2994" t="inlineStr">
        <is>
          <t>UPPSALA LÄN</t>
        </is>
      </c>
      <c r="E2994" t="inlineStr">
        <is>
          <t>UPPSALA</t>
        </is>
      </c>
      <c r="F2994" t="inlineStr">
        <is>
          <t>Holmen skog AB</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37316-2022</t>
        </is>
      </c>
      <c r="B2995" s="1" t="n">
        <v>44806</v>
      </c>
      <c r="C2995" s="1" t="n">
        <v>45846</v>
      </c>
      <c r="D2995" t="inlineStr">
        <is>
          <t>UPPSALA LÄN</t>
        </is>
      </c>
      <c r="E2995" t="inlineStr">
        <is>
          <t>UPPSALA</t>
        </is>
      </c>
      <c r="G2995" t="n">
        <v>10.6</v>
      </c>
      <c r="H2995" t="n">
        <v>0</v>
      </c>
      <c r="I2995" t="n">
        <v>0</v>
      </c>
      <c r="J2995" t="n">
        <v>0</v>
      </c>
      <c r="K2995" t="n">
        <v>0</v>
      </c>
      <c r="L2995" t="n">
        <v>0</v>
      </c>
      <c r="M2995" t="n">
        <v>0</v>
      </c>
      <c r="N2995" t="n">
        <v>0</v>
      </c>
      <c r="O2995" t="n">
        <v>0</v>
      </c>
      <c r="P2995" t="n">
        <v>0</v>
      </c>
      <c r="Q2995" t="n">
        <v>0</v>
      </c>
      <c r="R2995" s="2" t="inlineStr"/>
    </row>
    <row r="2996" ht="15" customHeight="1">
      <c r="A2996" t="inlineStr">
        <is>
          <t>A 37188-2022</t>
        </is>
      </c>
      <c r="B2996" s="1" t="n">
        <v>44806</v>
      </c>
      <c r="C2996" s="1" t="n">
        <v>45846</v>
      </c>
      <c r="D2996" t="inlineStr">
        <is>
          <t>UPPSALA LÄN</t>
        </is>
      </c>
      <c r="E2996" t="inlineStr">
        <is>
          <t>UPPSALA</t>
        </is>
      </c>
      <c r="F2996" t="inlineStr">
        <is>
          <t>Holmen skog AB</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37410-2022</t>
        </is>
      </c>
      <c r="B2997" s="1" t="n">
        <v>44809</v>
      </c>
      <c r="C2997" s="1" t="n">
        <v>45846</v>
      </c>
      <c r="D2997" t="inlineStr">
        <is>
          <t>UPPSALA LÄN</t>
        </is>
      </c>
      <c r="E2997" t="inlineStr">
        <is>
          <t>ENKÖPING</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37414-2022</t>
        </is>
      </c>
      <c r="B2998" s="1" t="n">
        <v>44809</v>
      </c>
      <c r="C2998" s="1" t="n">
        <v>45846</v>
      </c>
      <c r="D2998" t="inlineStr">
        <is>
          <t>UPPSALA LÄN</t>
        </is>
      </c>
      <c r="E2998" t="inlineStr">
        <is>
          <t>ENKÖPING</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37545-2022</t>
        </is>
      </c>
      <c r="B2999" s="1" t="n">
        <v>44809</v>
      </c>
      <c r="C2999" s="1" t="n">
        <v>45846</v>
      </c>
      <c r="D2999" t="inlineStr">
        <is>
          <t>UPPSALA LÄN</t>
        </is>
      </c>
      <c r="E2999" t="inlineStr">
        <is>
          <t>ÖSTHAMMAR</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37588-2022</t>
        </is>
      </c>
      <c r="B3000" s="1" t="n">
        <v>44810</v>
      </c>
      <c r="C3000" s="1" t="n">
        <v>45846</v>
      </c>
      <c r="D3000" t="inlineStr">
        <is>
          <t>UPPSALA LÄN</t>
        </is>
      </c>
      <c r="E3000" t="inlineStr">
        <is>
          <t>UPPSALA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37570-2022</t>
        </is>
      </c>
      <c r="B3001" s="1" t="n">
        <v>44809</v>
      </c>
      <c r="C3001" s="1" t="n">
        <v>45846</v>
      </c>
      <c r="D3001" t="inlineStr">
        <is>
          <t>UPPSALA LÄN</t>
        </is>
      </c>
      <c r="E3001" t="inlineStr">
        <is>
          <t>ÖSTHAMMAR</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37761-2022</t>
        </is>
      </c>
      <c r="B3002" s="1" t="n">
        <v>44810</v>
      </c>
      <c r="C3002" s="1" t="n">
        <v>45846</v>
      </c>
      <c r="D3002" t="inlineStr">
        <is>
          <t>UPPSALA LÄN</t>
        </is>
      </c>
      <c r="E3002" t="inlineStr">
        <is>
          <t>UPPSALA</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37670-2022</t>
        </is>
      </c>
      <c r="B3003" s="1" t="n">
        <v>44810</v>
      </c>
      <c r="C3003" s="1" t="n">
        <v>45846</v>
      </c>
      <c r="D3003" t="inlineStr">
        <is>
          <t>UPPSALA LÄN</t>
        </is>
      </c>
      <c r="E3003" t="inlineStr">
        <is>
          <t>UPPSALA</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37766-2022</t>
        </is>
      </c>
      <c r="B3004" s="1" t="n">
        <v>44810</v>
      </c>
      <c r="C3004" s="1" t="n">
        <v>45846</v>
      </c>
      <c r="D3004" t="inlineStr">
        <is>
          <t>UPPSALA LÄN</t>
        </is>
      </c>
      <c r="E3004" t="inlineStr">
        <is>
          <t>HEBY</t>
        </is>
      </c>
      <c r="F3004" t="inlineStr">
        <is>
          <t>Bergvik skog väst AB</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37782-2022</t>
        </is>
      </c>
      <c r="B3005" s="1" t="n">
        <v>44810</v>
      </c>
      <c r="C3005" s="1" t="n">
        <v>45846</v>
      </c>
      <c r="D3005" t="inlineStr">
        <is>
          <t>UPPSALA LÄN</t>
        </is>
      </c>
      <c r="E3005" t="inlineStr">
        <is>
          <t>HEBY</t>
        </is>
      </c>
      <c r="F3005" t="inlineStr">
        <is>
          <t>Bergvik skog väst AB</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37781-2022</t>
        </is>
      </c>
      <c r="B3006" s="1" t="n">
        <v>44810</v>
      </c>
      <c r="C3006" s="1" t="n">
        <v>45846</v>
      </c>
      <c r="D3006" t="inlineStr">
        <is>
          <t>UPPSALA LÄN</t>
        </is>
      </c>
      <c r="E3006" t="inlineStr">
        <is>
          <t>HEBY</t>
        </is>
      </c>
      <c r="F3006" t="inlineStr">
        <is>
          <t>Bergvik skog väst AB</t>
        </is>
      </c>
      <c r="G3006" t="n">
        <v>21.6</v>
      </c>
      <c r="H3006" t="n">
        <v>0</v>
      </c>
      <c r="I3006" t="n">
        <v>0</v>
      </c>
      <c r="J3006" t="n">
        <v>0</v>
      </c>
      <c r="K3006" t="n">
        <v>0</v>
      </c>
      <c r="L3006" t="n">
        <v>0</v>
      </c>
      <c r="M3006" t="n">
        <v>0</v>
      </c>
      <c r="N3006" t="n">
        <v>0</v>
      </c>
      <c r="O3006" t="n">
        <v>0</v>
      </c>
      <c r="P3006" t="n">
        <v>0</v>
      </c>
      <c r="Q3006" t="n">
        <v>0</v>
      </c>
      <c r="R3006" s="2" t="inlineStr"/>
    </row>
    <row r="3007" ht="15" customHeight="1">
      <c r="A3007" t="inlineStr">
        <is>
          <t>A 38005-2022</t>
        </is>
      </c>
      <c r="B3007" s="1" t="n">
        <v>44810</v>
      </c>
      <c r="C3007" s="1" t="n">
        <v>45846</v>
      </c>
      <c r="D3007" t="inlineStr">
        <is>
          <t>UPPSALA LÄN</t>
        </is>
      </c>
      <c r="E3007" t="inlineStr">
        <is>
          <t>ENKÖPING</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37813-2022</t>
        </is>
      </c>
      <c r="B3008" s="1" t="n">
        <v>44810</v>
      </c>
      <c r="C3008" s="1" t="n">
        <v>45846</v>
      </c>
      <c r="D3008" t="inlineStr">
        <is>
          <t>UPPSALA LÄN</t>
        </is>
      </c>
      <c r="E3008" t="inlineStr">
        <is>
          <t>ÖSTHAMMAR</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37812-2022</t>
        </is>
      </c>
      <c r="B3009" s="1" t="n">
        <v>44810</v>
      </c>
      <c r="C3009" s="1" t="n">
        <v>45846</v>
      </c>
      <c r="D3009" t="inlineStr">
        <is>
          <t>UPPSALA LÄN</t>
        </is>
      </c>
      <c r="E3009" t="inlineStr">
        <is>
          <t>ÖSTHAMMAR</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37938-2022</t>
        </is>
      </c>
      <c r="B3010" s="1" t="n">
        <v>44811</v>
      </c>
      <c r="C3010" s="1" t="n">
        <v>45846</v>
      </c>
      <c r="D3010" t="inlineStr">
        <is>
          <t>UPPSALA LÄN</t>
        </is>
      </c>
      <c r="E3010" t="inlineStr">
        <is>
          <t>TIERP</t>
        </is>
      </c>
      <c r="F3010" t="inlineStr">
        <is>
          <t>Bergvik skog öst AB</t>
        </is>
      </c>
      <c r="G3010" t="n">
        <v>8.699999999999999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38085-2022</t>
        </is>
      </c>
      <c r="B3011" s="1" t="n">
        <v>44811</v>
      </c>
      <c r="C3011" s="1" t="n">
        <v>45846</v>
      </c>
      <c r="D3011" t="inlineStr">
        <is>
          <t>UPPSALA LÄN</t>
        </is>
      </c>
      <c r="E3011" t="inlineStr">
        <is>
          <t>HEBY</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38078-2022</t>
        </is>
      </c>
      <c r="B3012" s="1" t="n">
        <v>44811</v>
      </c>
      <c r="C3012" s="1" t="n">
        <v>45846</v>
      </c>
      <c r="D3012" t="inlineStr">
        <is>
          <t>UPPSALA LÄN</t>
        </is>
      </c>
      <c r="E3012" t="inlineStr">
        <is>
          <t>UPPSALA</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38501-2022</t>
        </is>
      </c>
      <c r="B3013" s="1" t="n">
        <v>44813</v>
      </c>
      <c r="C3013" s="1" t="n">
        <v>45846</v>
      </c>
      <c r="D3013" t="inlineStr">
        <is>
          <t>UPPSALA LÄN</t>
        </is>
      </c>
      <c r="E3013" t="inlineStr">
        <is>
          <t>ÖSTHAMMAR</t>
        </is>
      </c>
      <c r="F3013" t="inlineStr">
        <is>
          <t>Bergvik skog öst AB</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38524-2022</t>
        </is>
      </c>
      <c r="B3014" s="1" t="n">
        <v>44813</v>
      </c>
      <c r="C3014" s="1" t="n">
        <v>45846</v>
      </c>
      <c r="D3014" t="inlineStr">
        <is>
          <t>UPPSALA LÄN</t>
        </is>
      </c>
      <c r="E3014" t="inlineStr">
        <is>
          <t>UPPSALA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38702-2022</t>
        </is>
      </c>
      <c r="B3015" s="1" t="n">
        <v>44814</v>
      </c>
      <c r="C3015" s="1" t="n">
        <v>45846</v>
      </c>
      <c r="D3015" t="inlineStr">
        <is>
          <t>UPPSALA LÄN</t>
        </is>
      </c>
      <c r="E3015" t="inlineStr">
        <is>
          <t>ÖSTHAMMAR</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38775-2022</t>
        </is>
      </c>
      <c r="B3016" s="1" t="n">
        <v>44816</v>
      </c>
      <c r="C3016" s="1" t="n">
        <v>45846</v>
      </c>
      <c r="D3016" t="inlineStr">
        <is>
          <t>UPPSALA LÄN</t>
        </is>
      </c>
      <c r="E3016" t="inlineStr">
        <is>
          <t>ENKÖPING</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38865-2022</t>
        </is>
      </c>
      <c r="B3017" s="1" t="n">
        <v>44816</v>
      </c>
      <c r="C3017" s="1" t="n">
        <v>45846</v>
      </c>
      <c r="D3017" t="inlineStr">
        <is>
          <t>UPPSALA LÄN</t>
        </is>
      </c>
      <c r="E3017" t="inlineStr">
        <is>
          <t>UPPSALA</t>
        </is>
      </c>
      <c r="G3017" t="n">
        <v>14.6</v>
      </c>
      <c r="H3017" t="n">
        <v>0</v>
      </c>
      <c r="I3017" t="n">
        <v>0</v>
      </c>
      <c r="J3017" t="n">
        <v>0</v>
      </c>
      <c r="K3017" t="n">
        <v>0</v>
      </c>
      <c r="L3017" t="n">
        <v>0</v>
      </c>
      <c r="M3017" t="n">
        <v>0</v>
      </c>
      <c r="N3017" t="n">
        <v>0</v>
      </c>
      <c r="O3017" t="n">
        <v>0</v>
      </c>
      <c r="P3017" t="n">
        <v>0</v>
      </c>
      <c r="Q3017" t="n">
        <v>0</v>
      </c>
      <c r="R3017" s="2" t="inlineStr"/>
    </row>
    <row r="3018" ht="15" customHeight="1">
      <c r="A3018" t="inlineStr">
        <is>
          <t>A 38892-2022</t>
        </is>
      </c>
      <c r="B3018" s="1" t="n">
        <v>44816</v>
      </c>
      <c r="C3018" s="1" t="n">
        <v>45846</v>
      </c>
      <c r="D3018" t="inlineStr">
        <is>
          <t>UPPSALA LÄN</t>
        </is>
      </c>
      <c r="E3018" t="inlineStr">
        <is>
          <t>UPPSALA</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38909-2022</t>
        </is>
      </c>
      <c r="B3019" s="1" t="n">
        <v>44816</v>
      </c>
      <c r="C3019" s="1" t="n">
        <v>45846</v>
      </c>
      <c r="D3019" t="inlineStr">
        <is>
          <t>UPPSALA LÄN</t>
        </is>
      </c>
      <c r="E3019" t="inlineStr">
        <is>
          <t>UPPSALA</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39148-2022</t>
        </is>
      </c>
      <c r="B3020" s="1" t="n">
        <v>44816</v>
      </c>
      <c r="C3020" s="1" t="n">
        <v>45846</v>
      </c>
      <c r="D3020" t="inlineStr">
        <is>
          <t>UPPSALA LÄN</t>
        </is>
      </c>
      <c r="E3020" t="inlineStr">
        <is>
          <t>UPPSALA</t>
        </is>
      </c>
      <c r="F3020" t="inlineStr">
        <is>
          <t>Övriga statliga verk och myndigheter</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39144-2022</t>
        </is>
      </c>
      <c r="B3021" s="1" t="n">
        <v>44816</v>
      </c>
      <c r="C3021" s="1" t="n">
        <v>45846</v>
      </c>
      <c r="D3021" t="inlineStr">
        <is>
          <t>UPPSALA LÄN</t>
        </is>
      </c>
      <c r="E3021" t="inlineStr">
        <is>
          <t>UPPSALA</t>
        </is>
      </c>
      <c r="G3021" t="n">
        <v>8.4</v>
      </c>
      <c r="H3021" t="n">
        <v>0</v>
      </c>
      <c r="I3021" t="n">
        <v>0</v>
      </c>
      <c r="J3021" t="n">
        <v>0</v>
      </c>
      <c r="K3021" t="n">
        <v>0</v>
      </c>
      <c r="L3021" t="n">
        <v>0</v>
      </c>
      <c r="M3021" t="n">
        <v>0</v>
      </c>
      <c r="N3021" t="n">
        <v>0</v>
      </c>
      <c r="O3021" t="n">
        <v>0</v>
      </c>
      <c r="P3021" t="n">
        <v>0</v>
      </c>
      <c r="Q3021" t="n">
        <v>0</v>
      </c>
      <c r="R3021" s="2" t="inlineStr"/>
    </row>
    <row r="3022" ht="15" customHeight="1">
      <c r="A3022" t="inlineStr">
        <is>
          <t>A 39454-2022</t>
        </is>
      </c>
      <c r="B3022" s="1" t="n">
        <v>44817</v>
      </c>
      <c r="C3022" s="1" t="n">
        <v>45846</v>
      </c>
      <c r="D3022" t="inlineStr">
        <is>
          <t>UPPSALA LÄN</t>
        </is>
      </c>
      <c r="E3022" t="inlineStr">
        <is>
          <t>UPPSALA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39608-2022</t>
        </is>
      </c>
      <c r="B3023" s="1" t="n">
        <v>44817</v>
      </c>
      <c r="C3023" s="1" t="n">
        <v>45846</v>
      </c>
      <c r="D3023" t="inlineStr">
        <is>
          <t>UPPSALA LÄN</t>
        </is>
      </c>
      <c r="E3023" t="inlineStr">
        <is>
          <t>UPPSALA</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39599-2022</t>
        </is>
      </c>
      <c r="B3024" s="1" t="n">
        <v>44817</v>
      </c>
      <c r="C3024" s="1" t="n">
        <v>45846</v>
      </c>
      <c r="D3024" t="inlineStr">
        <is>
          <t>UPPSALA LÄN</t>
        </is>
      </c>
      <c r="E3024" t="inlineStr">
        <is>
          <t>UPPSALA</t>
        </is>
      </c>
      <c r="G3024" t="n">
        <v>4.8</v>
      </c>
      <c r="H3024" t="n">
        <v>0</v>
      </c>
      <c r="I3024" t="n">
        <v>0</v>
      </c>
      <c r="J3024" t="n">
        <v>0</v>
      </c>
      <c r="K3024" t="n">
        <v>0</v>
      </c>
      <c r="L3024" t="n">
        <v>0</v>
      </c>
      <c r="M3024" t="n">
        <v>0</v>
      </c>
      <c r="N3024" t="n">
        <v>0</v>
      </c>
      <c r="O3024" t="n">
        <v>0</v>
      </c>
      <c r="P3024" t="n">
        <v>0</v>
      </c>
      <c r="Q3024" t="n">
        <v>0</v>
      </c>
      <c r="R3024" s="2" t="inlineStr"/>
    </row>
    <row r="3025" ht="15" customHeight="1">
      <c r="A3025" t="inlineStr">
        <is>
          <t>A 39480-2022</t>
        </is>
      </c>
      <c r="B3025" s="1" t="n">
        <v>44818</v>
      </c>
      <c r="C3025" s="1" t="n">
        <v>45846</v>
      </c>
      <c r="D3025" t="inlineStr">
        <is>
          <t>UPPSALA LÄN</t>
        </is>
      </c>
      <c r="E3025" t="inlineStr">
        <is>
          <t>ÖSTHAMMAR</t>
        </is>
      </c>
      <c r="F3025" t="inlineStr">
        <is>
          <t>Bergvik skog öst AB</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39751-2022</t>
        </is>
      </c>
      <c r="B3026" s="1" t="n">
        <v>44819</v>
      </c>
      <c r="C3026" s="1" t="n">
        <v>45846</v>
      </c>
      <c r="D3026" t="inlineStr">
        <is>
          <t>UPPSALA LÄN</t>
        </is>
      </c>
      <c r="E3026" t="inlineStr">
        <is>
          <t>ENKÖPING</t>
        </is>
      </c>
      <c r="G3026" t="n">
        <v>7.6</v>
      </c>
      <c r="H3026" t="n">
        <v>0</v>
      </c>
      <c r="I3026" t="n">
        <v>0</v>
      </c>
      <c r="J3026" t="n">
        <v>0</v>
      </c>
      <c r="K3026" t="n">
        <v>0</v>
      </c>
      <c r="L3026" t="n">
        <v>0</v>
      </c>
      <c r="M3026" t="n">
        <v>0</v>
      </c>
      <c r="N3026" t="n">
        <v>0</v>
      </c>
      <c r="O3026" t="n">
        <v>0</v>
      </c>
      <c r="P3026" t="n">
        <v>0</v>
      </c>
      <c r="Q3026" t="n">
        <v>0</v>
      </c>
      <c r="R3026" s="2" t="inlineStr"/>
    </row>
    <row r="3027" ht="15" customHeight="1">
      <c r="A3027" t="inlineStr">
        <is>
          <t>A 39802-2022</t>
        </is>
      </c>
      <c r="B3027" s="1" t="n">
        <v>44819</v>
      </c>
      <c r="C3027" s="1" t="n">
        <v>45846</v>
      </c>
      <c r="D3027" t="inlineStr">
        <is>
          <t>UPPSALA LÄN</t>
        </is>
      </c>
      <c r="E3027" t="inlineStr">
        <is>
          <t>TIERP</t>
        </is>
      </c>
      <c r="G3027" t="n">
        <v>5.8</v>
      </c>
      <c r="H3027" t="n">
        <v>0</v>
      </c>
      <c r="I3027" t="n">
        <v>0</v>
      </c>
      <c r="J3027" t="n">
        <v>0</v>
      </c>
      <c r="K3027" t="n">
        <v>0</v>
      </c>
      <c r="L3027" t="n">
        <v>0</v>
      </c>
      <c r="M3027" t="n">
        <v>0</v>
      </c>
      <c r="N3027" t="n">
        <v>0</v>
      </c>
      <c r="O3027" t="n">
        <v>0</v>
      </c>
      <c r="P3027" t="n">
        <v>0</v>
      </c>
      <c r="Q3027" t="n">
        <v>0</v>
      </c>
      <c r="R3027" s="2" t="inlineStr"/>
    </row>
    <row r="3028" ht="15" customHeight="1">
      <c r="A3028" t="inlineStr">
        <is>
          <t>A 39795-2022</t>
        </is>
      </c>
      <c r="B3028" s="1" t="n">
        <v>44819</v>
      </c>
      <c r="C3028" s="1" t="n">
        <v>45846</v>
      </c>
      <c r="D3028" t="inlineStr">
        <is>
          <t>UPPSALA LÄN</t>
        </is>
      </c>
      <c r="E3028" t="inlineStr">
        <is>
          <t>UPPSALA</t>
        </is>
      </c>
      <c r="F3028" t="inlineStr">
        <is>
          <t>Övriga Aktiebolag</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39903-2022</t>
        </is>
      </c>
      <c r="B3029" s="1" t="n">
        <v>44819</v>
      </c>
      <c r="C3029" s="1" t="n">
        <v>45846</v>
      </c>
      <c r="D3029" t="inlineStr">
        <is>
          <t>UPPSALA LÄN</t>
        </is>
      </c>
      <c r="E3029" t="inlineStr">
        <is>
          <t>TIERP</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39915-2022</t>
        </is>
      </c>
      <c r="B3030" s="1" t="n">
        <v>44819</v>
      </c>
      <c r="C3030" s="1" t="n">
        <v>45846</v>
      </c>
      <c r="D3030" t="inlineStr">
        <is>
          <t>UPPSALA LÄN</t>
        </is>
      </c>
      <c r="E3030" t="inlineStr">
        <is>
          <t>UPPSALA</t>
        </is>
      </c>
      <c r="F3030" t="inlineStr">
        <is>
          <t>Allmännings- och besparingsskogar</t>
        </is>
      </c>
      <c r="G3030" t="n">
        <v>20.1</v>
      </c>
      <c r="H3030" t="n">
        <v>0</v>
      </c>
      <c r="I3030" t="n">
        <v>0</v>
      </c>
      <c r="J3030" t="n">
        <v>0</v>
      </c>
      <c r="K3030" t="n">
        <v>0</v>
      </c>
      <c r="L3030" t="n">
        <v>0</v>
      </c>
      <c r="M3030" t="n">
        <v>0</v>
      </c>
      <c r="N3030" t="n">
        <v>0</v>
      </c>
      <c r="O3030" t="n">
        <v>0</v>
      </c>
      <c r="P3030" t="n">
        <v>0</v>
      </c>
      <c r="Q3030" t="n">
        <v>0</v>
      </c>
      <c r="R3030" s="2" t="inlineStr"/>
    </row>
    <row r="3031" ht="15" customHeight="1">
      <c r="A3031" t="inlineStr">
        <is>
          <t>A 39865-2022</t>
        </is>
      </c>
      <c r="B3031" s="1" t="n">
        <v>44819</v>
      </c>
      <c r="C3031" s="1" t="n">
        <v>45846</v>
      </c>
      <c r="D3031" t="inlineStr">
        <is>
          <t>UPPSALA LÄN</t>
        </is>
      </c>
      <c r="E3031" t="inlineStr">
        <is>
          <t>UPPSALA</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39922-2022</t>
        </is>
      </c>
      <c r="B3032" s="1" t="n">
        <v>44819</v>
      </c>
      <c r="C3032" s="1" t="n">
        <v>45846</v>
      </c>
      <c r="D3032" t="inlineStr">
        <is>
          <t>UPPSALA LÄN</t>
        </is>
      </c>
      <c r="E3032" t="inlineStr">
        <is>
          <t>ENKÖPING</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40038-2022</t>
        </is>
      </c>
      <c r="B3033" s="1" t="n">
        <v>44820</v>
      </c>
      <c r="C3033" s="1" t="n">
        <v>45846</v>
      </c>
      <c r="D3033" t="inlineStr">
        <is>
          <t>UPPSALA LÄN</t>
        </is>
      </c>
      <c r="E3033" t="inlineStr">
        <is>
          <t>HEBY</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40086-2022</t>
        </is>
      </c>
      <c r="B3034" s="1" t="n">
        <v>44820</v>
      </c>
      <c r="C3034" s="1" t="n">
        <v>45846</v>
      </c>
      <c r="D3034" t="inlineStr">
        <is>
          <t>UPPSALA LÄN</t>
        </is>
      </c>
      <c r="E3034" t="inlineStr">
        <is>
          <t>HEBY</t>
        </is>
      </c>
      <c r="F3034" t="inlineStr">
        <is>
          <t>Bergvik skog öst AB</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40079-2022</t>
        </is>
      </c>
      <c r="B3035" s="1" t="n">
        <v>44820</v>
      </c>
      <c r="C3035" s="1" t="n">
        <v>45846</v>
      </c>
      <c r="D3035" t="inlineStr">
        <is>
          <t>UPPSALA LÄN</t>
        </is>
      </c>
      <c r="E3035" t="inlineStr">
        <is>
          <t>HEBY</t>
        </is>
      </c>
      <c r="F3035" t="inlineStr">
        <is>
          <t>Bergvik skog öst AB</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40100-2022</t>
        </is>
      </c>
      <c r="B3036" s="1" t="n">
        <v>44820</v>
      </c>
      <c r="C3036" s="1" t="n">
        <v>45846</v>
      </c>
      <c r="D3036" t="inlineStr">
        <is>
          <t>UPPSALA LÄN</t>
        </is>
      </c>
      <c r="E3036" t="inlineStr">
        <is>
          <t>UPPSALA</t>
        </is>
      </c>
      <c r="F3036" t="inlineStr">
        <is>
          <t>Övriga Aktiebolag</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40336-2022</t>
        </is>
      </c>
      <c r="B3037" s="1" t="n">
        <v>44823</v>
      </c>
      <c r="C3037" s="1" t="n">
        <v>45846</v>
      </c>
      <c r="D3037" t="inlineStr">
        <is>
          <t>UPPSALA LÄN</t>
        </is>
      </c>
      <c r="E3037" t="inlineStr">
        <is>
          <t>ÖSTHAMMAR</t>
        </is>
      </c>
      <c r="F3037" t="inlineStr">
        <is>
          <t>Bergvik skog öst AB</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40387-2022</t>
        </is>
      </c>
      <c r="B3038" s="1" t="n">
        <v>44823</v>
      </c>
      <c r="C3038" s="1" t="n">
        <v>45846</v>
      </c>
      <c r="D3038" t="inlineStr">
        <is>
          <t>UPPSALA LÄN</t>
        </is>
      </c>
      <c r="E3038" t="inlineStr">
        <is>
          <t>HEBY</t>
        </is>
      </c>
      <c r="G3038" t="n">
        <v>25.2</v>
      </c>
      <c r="H3038" t="n">
        <v>0</v>
      </c>
      <c r="I3038" t="n">
        <v>0</v>
      </c>
      <c r="J3038" t="n">
        <v>0</v>
      </c>
      <c r="K3038" t="n">
        <v>0</v>
      </c>
      <c r="L3038" t="n">
        <v>0</v>
      </c>
      <c r="M3038" t="n">
        <v>0</v>
      </c>
      <c r="N3038" t="n">
        <v>0</v>
      </c>
      <c r="O3038" t="n">
        <v>0</v>
      </c>
      <c r="P3038" t="n">
        <v>0</v>
      </c>
      <c r="Q3038" t="n">
        <v>0</v>
      </c>
      <c r="R3038" s="2" t="inlineStr"/>
    </row>
    <row r="3039" ht="15" customHeight="1">
      <c r="A3039" t="inlineStr">
        <is>
          <t>A 40533-2022</t>
        </is>
      </c>
      <c r="B3039" s="1" t="n">
        <v>44823</v>
      </c>
      <c r="C3039" s="1" t="n">
        <v>45846</v>
      </c>
      <c r="D3039" t="inlineStr">
        <is>
          <t>UPPSALA LÄN</t>
        </is>
      </c>
      <c r="E3039" t="inlineStr">
        <is>
          <t>HEBY</t>
        </is>
      </c>
      <c r="F3039" t="inlineStr">
        <is>
          <t>Övriga Aktiebolag</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40765-2022</t>
        </is>
      </c>
      <c r="B3040" s="1" t="n">
        <v>44824</v>
      </c>
      <c r="C3040" s="1" t="n">
        <v>45846</v>
      </c>
      <c r="D3040" t="inlineStr">
        <is>
          <t>UPPSALA LÄN</t>
        </is>
      </c>
      <c r="E3040" t="inlineStr">
        <is>
          <t>TIERP</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40773-2022</t>
        </is>
      </c>
      <c r="B3041" s="1" t="n">
        <v>44824</v>
      </c>
      <c r="C3041" s="1" t="n">
        <v>45846</v>
      </c>
      <c r="D3041" t="inlineStr">
        <is>
          <t>UPPSALA LÄN</t>
        </is>
      </c>
      <c r="E3041" t="inlineStr">
        <is>
          <t>ENKÖPING</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40812-2022</t>
        </is>
      </c>
      <c r="B3042" s="1" t="n">
        <v>44824</v>
      </c>
      <c r="C3042" s="1" t="n">
        <v>45846</v>
      </c>
      <c r="D3042" t="inlineStr">
        <is>
          <t>UPPSALA LÄN</t>
        </is>
      </c>
      <c r="E3042" t="inlineStr">
        <is>
          <t>ENKÖPING</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40637-2022</t>
        </is>
      </c>
      <c r="B3043" s="1" t="n">
        <v>44824</v>
      </c>
      <c r="C3043" s="1" t="n">
        <v>45846</v>
      </c>
      <c r="D3043" t="inlineStr">
        <is>
          <t>UPPSALA LÄN</t>
        </is>
      </c>
      <c r="E3043" t="inlineStr">
        <is>
          <t>ÖSTHAMMAR</t>
        </is>
      </c>
      <c r="F3043" t="inlineStr">
        <is>
          <t>Övriga Aktiebolag</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40681-2022</t>
        </is>
      </c>
      <c r="B3044" s="1" t="n">
        <v>44824</v>
      </c>
      <c r="C3044" s="1" t="n">
        <v>45846</v>
      </c>
      <c r="D3044" t="inlineStr">
        <is>
          <t>UPPSALA LÄN</t>
        </is>
      </c>
      <c r="E3044" t="inlineStr">
        <is>
          <t>ÖSTHAMMAR</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41029-2022</t>
        </is>
      </c>
      <c r="B3045" s="1" t="n">
        <v>44824</v>
      </c>
      <c r="C3045" s="1" t="n">
        <v>45846</v>
      </c>
      <c r="D3045" t="inlineStr">
        <is>
          <t>UPPSALA LÄN</t>
        </is>
      </c>
      <c r="E3045" t="inlineStr">
        <is>
          <t>HEBY</t>
        </is>
      </c>
      <c r="F3045" t="inlineStr">
        <is>
          <t>Bergvik skog väst AB</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41033-2022</t>
        </is>
      </c>
      <c r="B3046" s="1" t="n">
        <v>44825</v>
      </c>
      <c r="C3046" s="1" t="n">
        <v>45846</v>
      </c>
      <c r="D3046" t="inlineStr">
        <is>
          <t>UPPSALA LÄN</t>
        </is>
      </c>
      <c r="E3046" t="inlineStr">
        <is>
          <t>ÖSTHAMMAR</t>
        </is>
      </c>
      <c r="F3046" t="inlineStr">
        <is>
          <t>Kyrkan</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41321-2022</t>
        </is>
      </c>
      <c r="B3047" s="1" t="n">
        <v>44826</v>
      </c>
      <c r="C3047" s="1" t="n">
        <v>45846</v>
      </c>
      <c r="D3047" t="inlineStr">
        <is>
          <t>UPPSALA LÄN</t>
        </is>
      </c>
      <c r="E3047" t="inlineStr">
        <is>
          <t>HEBY</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41413-2022</t>
        </is>
      </c>
      <c r="B3048" s="1" t="n">
        <v>44826</v>
      </c>
      <c r="C3048" s="1" t="n">
        <v>45846</v>
      </c>
      <c r="D3048" t="inlineStr">
        <is>
          <t>UPPSALA LÄN</t>
        </is>
      </c>
      <c r="E3048" t="inlineStr">
        <is>
          <t>HEBY</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41423-2022</t>
        </is>
      </c>
      <c r="B3049" s="1" t="n">
        <v>44826</v>
      </c>
      <c r="C3049" s="1" t="n">
        <v>45846</v>
      </c>
      <c r="D3049" t="inlineStr">
        <is>
          <t>UPPSALA LÄN</t>
        </is>
      </c>
      <c r="E3049" t="inlineStr">
        <is>
          <t>ÖSTHAMMAR</t>
        </is>
      </c>
      <c r="F3049" t="inlineStr">
        <is>
          <t>Övriga Aktiebolag</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41700-2022</t>
        </is>
      </c>
      <c r="B3050" s="1" t="n">
        <v>44827</v>
      </c>
      <c r="C3050" s="1" t="n">
        <v>45846</v>
      </c>
      <c r="D3050" t="inlineStr">
        <is>
          <t>UPPSALA LÄN</t>
        </is>
      </c>
      <c r="E3050" t="inlineStr">
        <is>
          <t>HEBY</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41736-2022</t>
        </is>
      </c>
      <c r="B3051" s="1" t="n">
        <v>44827</v>
      </c>
      <c r="C3051" s="1" t="n">
        <v>45846</v>
      </c>
      <c r="D3051" t="inlineStr">
        <is>
          <t>UPPSALA LÄN</t>
        </is>
      </c>
      <c r="E3051" t="inlineStr">
        <is>
          <t>ENKÖPING</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41737-2022</t>
        </is>
      </c>
      <c r="B3052" s="1" t="n">
        <v>44827</v>
      </c>
      <c r="C3052" s="1" t="n">
        <v>45846</v>
      </c>
      <c r="D3052" t="inlineStr">
        <is>
          <t>UPPSALA LÄN</t>
        </is>
      </c>
      <c r="E3052" t="inlineStr">
        <is>
          <t>ENKÖPING</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41757-2022</t>
        </is>
      </c>
      <c r="B3053" s="1" t="n">
        <v>44827</v>
      </c>
      <c r="C3053" s="1" t="n">
        <v>45846</v>
      </c>
      <c r="D3053" t="inlineStr">
        <is>
          <t>UPPSALA LÄN</t>
        </is>
      </c>
      <c r="E3053" t="inlineStr">
        <is>
          <t>ÄLVKARLEBY</t>
        </is>
      </c>
      <c r="F3053" t="inlineStr">
        <is>
          <t>Bergvik skog väst AB</t>
        </is>
      </c>
      <c r="G3053" t="n">
        <v>12.7</v>
      </c>
      <c r="H3053" t="n">
        <v>0</v>
      </c>
      <c r="I3053" t="n">
        <v>0</v>
      </c>
      <c r="J3053" t="n">
        <v>0</v>
      </c>
      <c r="K3053" t="n">
        <v>0</v>
      </c>
      <c r="L3053" t="n">
        <v>0</v>
      </c>
      <c r="M3053" t="n">
        <v>0</v>
      </c>
      <c r="N3053" t="n">
        <v>0</v>
      </c>
      <c r="O3053" t="n">
        <v>0</v>
      </c>
      <c r="P3053" t="n">
        <v>0</v>
      </c>
      <c r="Q3053" t="n">
        <v>0</v>
      </c>
      <c r="R3053" s="2" t="inlineStr"/>
    </row>
    <row r="3054" ht="15" customHeight="1">
      <c r="A3054" t="inlineStr">
        <is>
          <t>A 41971-2022</t>
        </is>
      </c>
      <c r="B3054" s="1" t="n">
        <v>44827</v>
      </c>
      <c r="C3054" s="1" t="n">
        <v>45846</v>
      </c>
      <c r="D3054" t="inlineStr">
        <is>
          <t>UPPSALA LÄN</t>
        </is>
      </c>
      <c r="E3054" t="inlineStr">
        <is>
          <t>TIERP</t>
        </is>
      </c>
      <c r="G3054" t="n">
        <v>10</v>
      </c>
      <c r="H3054" t="n">
        <v>0</v>
      </c>
      <c r="I3054" t="n">
        <v>0</v>
      </c>
      <c r="J3054" t="n">
        <v>0</v>
      </c>
      <c r="K3054" t="n">
        <v>0</v>
      </c>
      <c r="L3054" t="n">
        <v>0</v>
      </c>
      <c r="M3054" t="n">
        <v>0</v>
      </c>
      <c r="N3054" t="n">
        <v>0</v>
      </c>
      <c r="O3054" t="n">
        <v>0</v>
      </c>
      <c r="P3054" t="n">
        <v>0</v>
      </c>
      <c r="Q3054" t="n">
        <v>0</v>
      </c>
      <c r="R3054" s="2" t="inlineStr"/>
    </row>
    <row r="3055" ht="15" customHeight="1">
      <c r="A3055" t="inlineStr">
        <is>
          <t>A 41753-2022</t>
        </is>
      </c>
      <c r="B3055" s="1" t="n">
        <v>44827</v>
      </c>
      <c r="C3055" s="1" t="n">
        <v>45846</v>
      </c>
      <c r="D3055" t="inlineStr">
        <is>
          <t>UPPSALA LÄN</t>
        </is>
      </c>
      <c r="E3055" t="inlineStr">
        <is>
          <t>ENKÖPING</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42589-2022</t>
        </is>
      </c>
      <c r="B3056" s="1" t="n">
        <v>44831</v>
      </c>
      <c r="C3056" s="1" t="n">
        <v>45846</v>
      </c>
      <c r="D3056" t="inlineStr">
        <is>
          <t>UPPSALA LÄN</t>
        </is>
      </c>
      <c r="E3056" t="inlineStr">
        <is>
          <t>ENKÖPING</t>
        </is>
      </c>
      <c r="G3056" t="n">
        <v>20</v>
      </c>
      <c r="H3056" t="n">
        <v>0</v>
      </c>
      <c r="I3056" t="n">
        <v>0</v>
      </c>
      <c r="J3056" t="n">
        <v>0</v>
      </c>
      <c r="K3056" t="n">
        <v>0</v>
      </c>
      <c r="L3056" t="n">
        <v>0</v>
      </c>
      <c r="M3056" t="n">
        <v>0</v>
      </c>
      <c r="N3056" t="n">
        <v>0</v>
      </c>
      <c r="O3056" t="n">
        <v>0</v>
      </c>
      <c r="P3056" t="n">
        <v>0</v>
      </c>
      <c r="Q3056" t="n">
        <v>0</v>
      </c>
      <c r="R3056" s="2" t="inlineStr"/>
    </row>
    <row r="3057" ht="15" customHeight="1">
      <c r="A3057" t="inlineStr">
        <is>
          <t>A 42592-2022</t>
        </is>
      </c>
      <c r="B3057" s="1" t="n">
        <v>44831</v>
      </c>
      <c r="C3057" s="1" t="n">
        <v>45846</v>
      </c>
      <c r="D3057" t="inlineStr">
        <is>
          <t>UPPSALA LÄN</t>
        </is>
      </c>
      <c r="E3057" t="inlineStr">
        <is>
          <t>ENKÖPING</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42543-2022</t>
        </is>
      </c>
      <c r="B3058" s="1" t="n">
        <v>44831</v>
      </c>
      <c r="C3058" s="1" t="n">
        <v>45846</v>
      </c>
      <c r="D3058" t="inlineStr">
        <is>
          <t>UPPSALA LÄN</t>
        </is>
      </c>
      <c r="E3058" t="inlineStr">
        <is>
          <t>HEBY</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42622-2022</t>
        </is>
      </c>
      <c r="B3059" s="1" t="n">
        <v>44831</v>
      </c>
      <c r="C3059" s="1" t="n">
        <v>45846</v>
      </c>
      <c r="D3059" t="inlineStr">
        <is>
          <t>UPPSALA LÄN</t>
        </is>
      </c>
      <c r="E3059" t="inlineStr">
        <is>
          <t>UPPSALA</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42772-2022</t>
        </is>
      </c>
      <c r="B3060" s="1" t="n">
        <v>44832</v>
      </c>
      <c r="C3060" s="1" t="n">
        <v>45846</v>
      </c>
      <c r="D3060" t="inlineStr">
        <is>
          <t>UPPSALA LÄN</t>
        </is>
      </c>
      <c r="E3060" t="inlineStr">
        <is>
          <t>UPPSALA</t>
        </is>
      </c>
      <c r="G3060" t="n">
        <v>17.7</v>
      </c>
      <c r="H3060" t="n">
        <v>0</v>
      </c>
      <c r="I3060" t="n">
        <v>0</v>
      </c>
      <c r="J3060" t="n">
        <v>0</v>
      </c>
      <c r="K3060" t="n">
        <v>0</v>
      </c>
      <c r="L3060" t="n">
        <v>0</v>
      </c>
      <c r="M3060" t="n">
        <v>0</v>
      </c>
      <c r="N3060" t="n">
        <v>0</v>
      </c>
      <c r="O3060" t="n">
        <v>0</v>
      </c>
      <c r="P3060" t="n">
        <v>0</v>
      </c>
      <c r="Q3060" t="n">
        <v>0</v>
      </c>
      <c r="R3060" s="2" t="inlineStr"/>
    </row>
    <row r="3061" ht="15" customHeight="1">
      <c r="A3061" t="inlineStr">
        <is>
          <t>A 42855-2022</t>
        </is>
      </c>
      <c r="B3061" s="1" t="n">
        <v>44832</v>
      </c>
      <c r="C3061" s="1" t="n">
        <v>45846</v>
      </c>
      <c r="D3061" t="inlineStr">
        <is>
          <t>UPPSALA LÄN</t>
        </is>
      </c>
      <c r="E3061" t="inlineStr">
        <is>
          <t>HEBY</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43032-2022</t>
        </is>
      </c>
      <c r="B3062" s="1" t="n">
        <v>44832</v>
      </c>
      <c r="C3062" s="1" t="n">
        <v>45846</v>
      </c>
      <c r="D3062" t="inlineStr">
        <is>
          <t>UPPSALA LÄN</t>
        </is>
      </c>
      <c r="E3062" t="inlineStr">
        <is>
          <t>UPPSALA</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42859-2022</t>
        </is>
      </c>
      <c r="B3063" s="1" t="n">
        <v>44832</v>
      </c>
      <c r="C3063" s="1" t="n">
        <v>45846</v>
      </c>
      <c r="D3063" t="inlineStr">
        <is>
          <t>UPPSALA LÄN</t>
        </is>
      </c>
      <c r="E3063" t="inlineStr">
        <is>
          <t>HEBY</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42938-2022</t>
        </is>
      </c>
      <c r="B3064" s="1" t="n">
        <v>44833</v>
      </c>
      <c r="C3064" s="1" t="n">
        <v>45846</v>
      </c>
      <c r="D3064" t="inlineStr">
        <is>
          <t>UPPSALA LÄN</t>
        </is>
      </c>
      <c r="E3064" t="inlineStr">
        <is>
          <t>HEBY</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43713-2022</t>
        </is>
      </c>
      <c r="B3065" s="1" t="n">
        <v>44837</v>
      </c>
      <c r="C3065" s="1" t="n">
        <v>45846</v>
      </c>
      <c r="D3065" t="inlineStr">
        <is>
          <t>UPPSALA LÄN</t>
        </is>
      </c>
      <c r="E3065" t="inlineStr">
        <is>
          <t>TIERP</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43680-2022</t>
        </is>
      </c>
      <c r="B3066" s="1" t="n">
        <v>44837</v>
      </c>
      <c r="C3066" s="1" t="n">
        <v>45846</v>
      </c>
      <c r="D3066" t="inlineStr">
        <is>
          <t>UPPSALA LÄN</t>
        </is>
      </c>
      <c r="E3066" t="inlineStr">
        <is>
          <t>TIERP</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43896-2022</t>
        </is>
      </c>
      <c r="B3067" s="1" t="n">
        <v>44838</v>
      </c>
      <c r="C3067" s="1" t="n">
        <v>45846</v>
      </c>
      <c r="D3067" t="inlineStr">
        <is>
          <t>UPPSALA LÄN</t>
        </is>
      </c>
      <c r="E3067" t="inlineStr">
        <is>
          <t>ENKÖPING</t>
        </is>
      </c>
      <c r="G3067" t="n">
        <v>5.3</v>
      </c>
      <c r="H3067" t="n">
        <v>0</v>
      </c>
      <c r="I3067" t="n">
        <v>0</v>
      </c>
      <c r="J3067" t="n">
        <v>0</v>
      </c>
      <c r="K3067" t="n">
        <v>0</v>
      </c>
      <c r="L3067" t="n">
        <v>0</v>
      </c>
      <c r="M3067" t="n">
        <v>0</v>
      </c>
      <c r="N3067" t="n">
        <v>0</v>
      </c>
      <c r="O3067" t="n">
        <v>0</v>
      </c>
      <c r="P3067" t="n">
        <v>0</v>
      </c>
      <c r="Q3067" t="n">
        <v>0</v>
      </c>
      <c r="R3067" s="2" t="inlineStr"/>
    </row>
    <row r="3068" ht="15" customHeight="1">
      <c r="A3068" t="inlineStr">
        <is>
          <t>A 43850-2022</t>
        </is>
      </c>
      <c r="B3068" s="1" t="n">
        <v>44838</v>
      </c>
      <c r="C3068" s="1" t="n">
        <v>45846</v>
      </c>
      <c r="D3068" t="inlineStr">
        <is>
          <t>UPPSALA LÄN</t>
        </is>
      </c>
      <c r="E3068" t="inlineStr">
        <is>
          <t>UPPSALA</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43820-2022</t>
        </is>
      </c>
      <c r="B3069" s="1" t="n">
        <v>44838</v>
      </c>
      <c r="C3069" s="1" t="n">
        <v>45846</v>
      </c>
      <c r="D3069" t="inlineStr">
        <is>
          <t>UPPSALA LÄN</t>
        </is>
      </c>
      <c r="E3069" t="inlineStr">
        <is>
          <t>HEBY</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44020-2022</t>
        </is>
      </c>
      <c r="B3070" s="1" t="n">
        <v>44838</v>
      </c>
      <c r="C3070" s="1" t="n">
        <v>45846</v>
      </c>
      <c r="D3070" t="inlineStr">
        <is>
          <t>UPPSALA LÄN</t>
        </is>
      </c>
      <c r="E3070" t="inlineStr">
        <is>
          <t>ÖSTHAMMAR</t>
        </is>
      </c>
      <c r="F3070" t="inlineStr">
        <is>
          <t>Bergvik skog öst AB</t>
        </is>
      </c>
      <c r="G3070" t="n">
        <v>12.1</v>
      </c>
      <c r="H3070" t="n">
        <v>0</v>
      </c>
      <c r="I3070" t="n">
        <v>0</v>
      </c>
      <c r="J3070" t="n">
        <v>0</v>
      </c>
      <c r="K3070" t="n">
        <v>0</v>
      </c>
      <c r="L3070" t="n">
        <v>0</v>
      </c>
      <c r="M3070" t="n">
        <v>0</v>
      </c>
      <c r="N3070" t="n">
        <v>0</v>
      </c>
      <c r="O3070" t="n">
        <v>0</v>
      </c>
      <c r="P3070" t="n">
        <v>0</v>
      </c>
      <c r="Q3070" t="n">
        <v>0</v>
      </c>
      <c r="R3070" s="2" t="inlineStr"/>
    </row>
    <row r="3071" ht="15" customHeight="1">
      <c r="A3071" t="inlineStr">
        <is>
          <t>A 44019-2022</t>
        </is>
      </c>
      <c r="B3071" s="1" t="n">
        <v>44838</v>
      </c>
      <c r="C3071" s="1" t="n">
        <v>45846</v>
      </c>
      <c r="D3071" t="inlineStr">
        <is>
          <t>UPPSALA LÄN</t>
        </is>
      </c>
      <c r="E3071" t="inlineStr">
        <is>
          <t>ÖSTHAMMAR</t>
        </is>
      </c>
      <c r="F3071" t="inlineStr">
        <is>
          <t>Bergvik skog öst AB</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44239-2022</t>
        </is>
      </c>
      <c r="B3072" s="1" t="n">
        <v>44839</v>
      </c>
      <c r="C3072" s="1" t="n">
        <v>45846</v>
      </c>
      <c r="D3072" t="inlineStr">
        <is>
          <t>UPPSALA LÄN</t>
        </is>
      </c>
      <c r="E3072" t="inlineStr">
        <is>
          <t>HEBY</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44354-2022</t>
        </is>
      </c>
      <c r="B3073" s="1" t="n">
        <v>44839</v>
      </c>
      <c r="C3073" s="1" t="n">
        <v>45846</v>
      </c>
      <c r="D3073" t="inlineStr">
        <is>
          <t>UPPSALA LÄN</t>
        </is>
      </c>
      <c r="E3073" t="inlineStr">
        <is>
          <t>ÖSTHAMMAR</t>
        </is>
      </c>
      <c r="G3073" t="n">
        <v>5.4</v>
      </c>
      <c r="H3073" t="n">
        <v>0</v>
      </c>
      <c r="I3073" t="n">
        <v>0</v>
      </c>
      <c r="J3073" t="n">
        <v>0</v>
      </c>
      <c r="K3073" t="n">
        <v>0</v>
      </c>
      <c r="L3073" t="n">
        <v>0</v>
      </c>
      <c r="M3073" t="n">
        <v>0</v>
      </c>
      <c r="N3073" t="n">
        <v>0</v>
      </c>
      <c r="O3073" t="n">
        <v>0</v>
      </c>
      <c r="P3073" t="n">
        <v>0</v>
      </c>
      <c r="Q3073" t="n">
        <v>0</v>
      </c>
      <c r="R3073" s="2" t="inlineStr"/>
    </row>
    <row r="3074" ht="15" customHeight="1">
      <c r="A3074" t="inlineStr">
        <is>
          <t>A 44243-2022</t>
        </is>
      </c>
      <c r="B3074" s="1" t="n">
        <v>44839</v>
      </c>
      <c r="C3074" s="1" t="n">
        <v>45846</v>
      </c>
      <c r="D3074" t="inlineStr">
        <is>
          <t>UPPSALA LÄN</t>
        </is>
      </c>
      <c r="E3074" t="inlineStr">
        <is>
          <t>HEBY</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44265-2022</t>
        </is>
      </c>
      <c r="B3075" s="1" t="n">
        <v>44839</v>
      </c>
      <c r="C3075" s="1" t="n">
        <v>45846</v>
      </c>
      <c r="D3075" t="inlineStr">
        <is>
          <t>UPPSALA LÄN</t>
        </is>
      </c>
      <c r="E3075" t="inlineStr">
        <is>
          <t>UPPSALA</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44366-2022</t>
        </is>
      </c>
      <c r="B3076" s="1" t="n">
        <v>44839</v>
      </c>
      <c r="C3076" s="1" t="n">
        <v>45846</v>
      </c>
      <c r="D3076" t="inlineStr">
        <is>
          <t>UPPSALA LÄN</t>
        </is>
      </c>
      <c r="E3076" t="inlineStr">
        <is>
          <t>ÖSTHAMMAR</t>
        </is>
      </c>
      <c r="G3076" t="n">
        <v>8.1</v>
      </c>
      <c r="H3076" t="n">
        <v>0</v>
      </c>
      <c r="I3076" t="n">
        <v>0</v>
      </c>
      <c r="J3076" t="n">
        <v>0</v>
      </c>
      <c r="K3076" t="n">
        <v>0</v>
      </c>
      <c r="L3076" t="n">
        <v>0</v>
      </c>
      <c r="M3076" t="n">
        <v>0</v>
      </c>
      <c r="N3076" t="n">
        <v>0</v>
      </c>
      <c r="O3076" t="n">
        <v>0</v>
      </c>
      <c r="P3076" t="n">
        <v>0</v>
      </c>
      <c r="Q3076" t="n">
        <v>0</v>
      </c>
      <c r="R3076" s="2" t="inlineStr"/>
    </row>
    <row r="3077" ht="15" customHeight="1">
      <c r="A3077" t="inlineStr">
        <is>
          <t>A 44184-2022</t>
        </is>
      </c>
      <c r="B3077" s="1" t="n">
        <v>44839</v>
      </c>
      <c r="C3077" s="1" t="n">
        <v>45846</v>
      </c>
      <c r="D3077" t="inlineStr">
        <is>
          <t>UPPSALA LÄN</t>
        </is>
      </c>
      <c r="E3077" t="inlineStr">
        <is>
          <t>ÖSTHAMMAR</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44525-2022</t>
        </is>
      </c>
      <c r="B3078" s="1" t="n">
        <v>44840</v>
      </c>
      <c r="C3078" s="1" t="n">
        <v>45846</v>
      </c>
      <c r="D3078" t="inlineStr">
        <is>
          <t>UPPSALA LÄN</t>
        </is>
      </c>
      <c r="E3078" t="inlineStr">
        <is>
          <t>HEBY</t>
        </is>
      </c>
      <c r="G3078" t="n">
        <v>1.8</v>
      </c>
      <c r="H3078" t="n">
        <v>0</v>
      </c>
      <c r="I3078" t="n">
        <v>0</v>
      </c>
      <c r="J3078" t="n">
        <v>0</v>
      </c>
      <c r="K3078" t="n">
        <v>0</v>
      </c>
      <c r="L3078" t="n">
        <v>0</v>
      </c>
      <c r="M3078" t="n">
        <v>0</v>
      </c>
      <c r="N3078" t="n">
        <v>0</v>
      </c>
      <c r="O3078" t="n">
        <v>0</v>
      </c>
      <c r="P3078" t="n">
        <v>0</v>
      </c>
      <c r="Q3078" t="n">
        <v>0</v>
      </c>
      <c r="R3078" s="2" t="inlineStr"/>
      <c r="U3078">
        <f>HYPERLINK("https://klasma.github.io/Logging_0331/knärot/A 44525-2022 karta knärot.png", "A 44525-2022")</f>
        <v/>
      </c>
      <c r="V3078">
        <f>HYPERLINK("https://klasma.github.io/Logging_0331/klagomål/A 44525-2022 FSC-klagomål.docx", "A 44525-2022")</f>
        <v/>
      </c>
      <c r="W3078">
        <f>HYPERLINK("https://klasma.github.io/Logging_0331/klagomålsmail/A 44525-2022 FSC-klagomål mail.docx", "A 44525-2022")</f>
        <v/>
      </c>
      <c r="X3078">
        <f>HYPERLINK("https://klasma.github.io/Logging_0331/tillsyn/A 44525-2022 tillsynsbegäran.docx", "A 44525-2022")</f>
        <v/>
      </c>
      <c r="Y3078">
        <f>HYPERLINK("https://klasma.github.io/Logging_0331/tillsynsmail/A 44525-2022 tillsynsbegäran mail.docx", "A 44525-2022")</f>
        <v/>
      </c>
    </row>
    <row r="3079" ht="15" customHeight="1">
      <c r="A3079" t="inlineStr">
        <is>
          <t>A 44617-2022</t>
        </is>
      </c>
      <c r="B3079" s="1" t="n">
        <v>44840</v>
      </c>
      <c r="C3079" s="1" t="n">
        <v>45846</v>
      </c>
      <c r="D3079" t="inlineStr">
        <is>
          <t>UPPSALA LÄN</t>
        </is>
      </c>
      <c r="E3079" t="inlineStr">
        <is>
          <t>ÖSTHAMMAR</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45275-2022</t>
        </is>
      </c>
      <c r="B3080" s="1" t="n">
        <v>44840</v>
      </c>
      <c r="C3080" s="1" t="n">
        <v>45846</v>
      </c>
      <c r="D3080" t="inlineStr">
        <is>
          <t>UPPSALA LÄN</t>
        </is>
      </c>
      <c r="E3080" t="inlineStr">
        <is>
          <t>HEBY</t>
        </is>
      </c>
      <c r="F3080" t="inlineStr">
        <is>
          <t>Bergvik skog väst AB</t>
        </is>
      </c>
      <c r="G3080" t="n">
        <v>15.9</v>
      </c>
      <c r="H3080" t="n">
        <v>0</v>
      </c>
      <c r="I3080" t="n">
        <v>0</v>
      </c>
      <c r="J3080" t="n">
        <v>0</v>
      </c>
      <c r="K3080" t="n">
        <v>0</v>
      </c>
      <c r="L3080" t="n">
        <v>0</v>
      </c>
      <c r="M3080" t="n">
        <v>0</v>
      </c>
      <c r="N3080" t="n">
        <v>0</v>
      </c>
      <c r="O3080" t="n">
        <v>0</v>
      </c>
      <c r="P3080" t="n">
        <v>0</v>
      </c>
      <c r="Q3080" t="n">
        <v>0</v>
      </c>
      <c r="R3080" s="2" t="inlineStr"/>
    </row>
    <row r="3081" ht="15" customHeight="1">
      <c r="A3081" t="inlineStr">
        <is>
          <t>A 44945-2022</t>
        </is>
      </c>
      <c r="B3081" s="1" t="n">
        <v>44841</v>
      </c>
      <c r="C3081" s="1" t="n">
        <v>45846</v>
      </c>
      <c r="D3081" t="inlineStr">
        <is>
          <t>UPPSALA LÄN</t>
        </is>
      </c>
      <c r="E3081" t="inlineStr">
        <is>
          <t>ÖSTHAMMAR</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45009-2022</t>
        </is>
      </c>
      <c r="B3082" s="1" t="n">
        <v>44841</v>
      </c>
      <c r="C3082" s="1" t="n">
        <v>45846</v>
      </c>
      <c r="D3082" t="inlineStr">
        <is>
          <t>UPPSALA LÄN</t>
        </is>
      </c>
      <c r="E3082" t="inlineStr">
        <is>
          <t>HEBY</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44815-2022</t>
        </is>
      </c>
      <c r="B3083" s="1" t="n">
        <v>44841</v>
      </c>
      <c r="C3083" s="1" t="n">
        <v>45846</v>
      </c>
      <c r="D3083" t="inlineStr">
        <is>
          <t>UPPSALA LÄN</t>
        </is>
      </c>
      <c r="E3083" t="inlineStr">
        <is>
          <t>ÖSTHAMMAR</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44817-2022</t>
        </is>
      </c>
      <c r="B3084" s="1" t="n">
        <v>44841</v>
      </c>
      <c r="C3084" s="1" t="n">
        <v>45846</v>
      </c>
      <c r="D3084" t="inlineStr">
        <is>
          <t>UPPSALA LÄN</t>
        </is>
      </c>
      <c r="E3084" t="inlineStr">
        <is>
          <t>UPPSALA</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44946-2022</t>
        </is>
      </c>
      <c r="B3085" s="1" t="n">
        <v>44841</v>
      </c>
      <c r="C3085" s="1" t="n">
        <v>45846</v>
      </c>
      <c r="D3085" t="inlineStr">
        <is>
          <t>UPPSALA LÄN</t>
        </is>
      </c>
      <c r="E3085" t="inlineStr">
        <is>
          <t>TIERP</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45057-2022</t>
        </is>
      </c>
      <c r="B3086" s="1" t="n">
        <v>44841</v>
      </c>
      <c r="C3086" s="1" t="n">
        <v>45846</v>
      </c>
      <c r="D3086" t="inlineStr">
        <is>
          <t>UPPSALA LÄN</t>
        </is>
      </c>
      <c r="E3086" t="inlineStr">
        <is>
          <t>TIERP</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46681-2022</t>
        </is>
      </c>
      <c r="B3087" s="1" t="n">
        <v>44843</v>
      </c>
      <c r="C3087" s="1" t="n">
        <v>45846</v>
      </c>
      <c r="D3087" t="inlineStr">
        <is>
          <t>UPPSALA LÄN</t>
        </is>
      </c>
      <c r="E3087" t="inlineStr">
        <is>
          <t>TIERP</t>
        </is>
      </c>
      <c r="G3087" t="n">
        <v>5.9</v>
      </c>
      <c r="H3087" t="n">
        <v>0</v>
      </c>
      <c r="I3087" t="n">
        <v>0</v>
      </c>
      <c r="J3087" t="n">
        <v>0</v>
      </c>
      <c r="K3087" t="n">
        <v>0</v>
      </c>
      <c r="L3087" t="n">
        <v>0</v>
      </c>
      <c r="M3087" t="n">
        <v>0</v>
      </c>
      <c r="N3087" t="n">
        <v>0</v>
      </c>
      <c r="O3087" t="n">
        <v>0</v>
      </c>
      <c r="P3087" t="n">
        <v>0</v>
      </c>
      <c r="Q3087" t="n">
        <v>0</v>
      </c>
      <c r="R3087" s="2" t="inlineStr"/>
    </row>
    <row r="3088" ht="15" customHeight="1">
      <c r="A3088" t="inlineStr">
        <is>
          <t>A 45185-2022</t>
        </is>
      </c>
      <c r="B3088" s="1" t="n">
        <v>44844</v>
      </c>
      <c r="C3088" s="1" t="n">
        <v>45846</v>
      </c>
      <c r="D3088" t="inlineStr">
        <is>
          <t>UPPSALA LÄN</t>
        </is>
      </c>
      <c r="E3088" t="inlineStr">
        <is>
          <t>HEBY</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45195-2022</t>
        </is>
      </c>
      <c r="B3089" s="1" t="n">
        <v>44844</v>
      </c>
      <c r="C3089" s="1" t="n">
        <v>45846</v>
      </c>
      <c r="D3089" t="inlineStr">
        <is>
          <t>UPPSALA LÄN</t>
        </is>
      </c>
      <c r="E3089" t="inlineStr">
        <is>
          <t>UPPSALA</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45313-2022</t>
        </is>
      </c>
      <c r="B3090" s="1" t="n">
        <v>44844</v>
      </c>
      <c r="C3090" s="1" t="n">
        <v>45846</v>
      </c>
      <c r="D3090" t="inlineStr">
        <is>
          <t>UPPSALA LÄN</t>
        </is>
      </c>
      <c r="E3090" t="inlineStr">
        <is>
          <t>HEBY</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45362-2022</t>
        </is>
      </c>
      <c r="B3091" s="1" t="n">
        <v>44844</v>
      </c>
      <c r="C3091" s="1" t="n">
        <v>45846</v>
      </c>
      <c r="D3091" t="inlineStr">
        <is>
          <t>UPPSALA LÄN</t>
        </is>
      </c>
      <c r="E3091" t="inlineStr">
        <is>
          <t>ENKÖPING</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45283-2022</t>
        </is>
      </c>
      <c r="B3092" s="1" t="n">
        <v>44844</v>
      </c>
      <c r="C3092" s="1" t="n">
        <v>45846</v>
      </c>
      <c r="D3092" t="inlineStr">
        <is>
          <t>UPPSALA LÄN</t>
        </is>
      </c>
      <c r="E3092" t="inlineStr">
        <is>
          <t>ENKÖPING</t>
        </is>
      </c>
      <c r="G3092" t="n">
        <v>5.9</v>
      </c>
      <c r="H3092" t="n">
        <v>0</v>
      </c>
      <c r="I3092" t="n">
        <v>0</v>
      </c>
      <c r="J3092" t="n">
        <v>0</v>
      </c>
      <c r="K3092" t="n">
        <v>0</v>
      </c>
      <c r="L3092" t="n">
        <v>0</v>
      </c>
      <c r="M3092" t="n">
        <v>0</v>
      </c>
      <c r="N3092" t="n">
        <v>0</v>
      </c>
      <c r="O3092" t="n">
        <v>0</v>
      </c>
      <c r="P3092" t="n">
        <v>0</v>
      </c>
      <c r="Q3092" t="n">
        <v>0</v>
      </c>
      <c r="R3092" s="2" t="inlineStr"/>
    </row>
    <row r="3093" ht="15" customHeight="1">
      <c r="A3093" t="inlineStr">
        <is>
          <t>A 45516-2022</t>
        </is>
      </c>
      <c r="B3093" s="1" t="n">
        <v>44845</v>
      </c>
      <c r="C3093" s="1" t="n">
        <v>45846</v>
      </c>
      <c r="D3093" t="inlineStr">
        <is>
          <t>UPPSALA LÄN</t>
        </is>
      </c>
      <c r="E3093" t="inlineStr">
        <is>
          <t>TIERP</t>
        </is>
      </c>
      <c r="F3093" t="inlineStr">
        <is>
          <t>Bergvik skog öst AB</t>
        </is>
      </c>
      <c r="G3093" t="n">
        <v>28.1</v>
      </c>
      <c r="H3093" t="n">
        <v>0</v>
      </c>
      <c r="I3093" t="n">
        <v>0</v>
      </c>
      <c r="J3093" t="n">
        <v>0</v>
      </c>
      <c r="K3093" t="n">
        <v>0</v>
      </c>
      <c r="L3093" t="n">
        <v>0</v>
      </c>
      <c r="M3093" t="n">
        <v>0</v>
      </c>
      <c r="N3093" t="n">
        <v>0</v>
      </c>
      <c r="O3093" t="n">
        <v>0</v>
      </c>
      <c r="P3093" t="n">
        <v>0</v>
      </c>
      <c r="Q3093" t="n">
        <v>0</v>
      </c>
      <c r="R3093" s="2" t="inlineStr"/>
    </row>
    <row r="3094" ht="15" customHeight="1">
      <c r="A3094" t="inlineStr">
        <is>
          <t>A 45852-2022</t>
        </is>
      </c>
      <c r="B3094" s="1" t="n">
        <v>44846</v>
      </c>
      <c r="C3094" s="1" t="n">
        <v>45846</v>
      </c>
      <c r="D3094" t="inlineStr">
        <is>
          <t>UPPSALA LÄN</t>
        </is>
      </c>
      <c r="E3094" t="inlineStr">
        <is>
          <t>ENKÖPING</t>
        </is>
      </c>
      <c r="G3094" t="n">
        <v>6</v>
      </c>
      <c r="H3094" t="n">
        <v>0</v>
      </c>
      <c r="I3094" t="n">
        <v>0</v>
      </c>
      <c r="J3094" t="n">
        <v>0</v>
      </c>
      <c r="K3094" t="n">
        <v>0</v>
      </c>
      <c r="L3094" t="n">
        <v>0</v>
      </c>
      <c r="M3094" t="n">
        <v>0</v>
      </c>
      <c r="N3094" t="n">
        <v>0</v>
      </c>
      <c r="O3094" t="n">
        <v>0</v>
      </c>
      <c r="P3094" t="n">
        <v>0</v>
      </c>
      <c r="Q3094" t="n">
        <v>0</v>
      </c>
      <c r="R3094" s="2" t="inlineStr"/>
    </row>
    <row r="3095" ht="15" customHeight="1">
      <c r="A3095" t="inlineStr">
        <is>
          <t>A 45916-2022</t>
        </is>
      </c>
      <c r="B3095" s="1" t="n">
        <v>44846</v>
      </c>
      <c r="C3095" s="1" t="n">
        <v>45846</v>
      </c>
      <c r="D3095" t="inlineStr">
        <is>
          <t>UPPSALA LÄN</t>
        </is>
      </c>
      <c r="E3095" t="inlineStr">
        <is>
          <t>KNIVSTA</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45769-2022</t>
        </is>
      </c>
      <c r="B3096" s="1" t="n">
        <v>44846</v>
      </c>
      <c r="C3096" s="1" t="n">
        <v>45846</v>
      </c>
      <c r="D3096" t="inlineStr">
        <is>
          <t>UPPSALA LÄN</t>
        </is>
      </c>
      <c r="E3096" t="inlineStr">
        <is>
          <t>TIERP</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45780-2022</t>
        </is>
      </c>
      <c r="B3097" s="1" t="n">
        <v>44846</v>
      </c>
      <c r="C3097" s="1" t="n">
        <v>45846</v>
      </c>
      <c r="D3097" t="inlineStr">
        <is>
          <t>UPPSALA LÄN</t>
        </is>
      </c>
      <c r="E3097" t="inlineStr">
        <is>
          <t>UPPSALA</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45788-2022</t>
        </is>
      </c>
      <c r="B3098" s="1" t="n">
        <v>44846</v>
      </c>
      <c r="C3098" s="1" t="n">
        <v>45846</v>
      </c>
      <c r="D3098" t="inlineStr">
        <is>
          <t>UPPSALA LÄN</t>
        </is>
      </c>
      <c r="E3098" t="inlineStr">
        <is>
          <t>ÖSTHAMMAR</t>
        </is>
      </c>
      <c r="F3098" t="inlineStr">
        <is>
          <t>Övriga Aktiebolag</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45849-2022</t>
        </is>
      </c>
      <c r="B3099" s="1" t="n">
        <v>44846</v>
      </c>
      <c r="C3099" s="1" t="n">
        <v>45846</v>
      </c>
      <c r="D3099" t="inlineStr">
        <is>
          <t>UPPSALA LÄN</t>
        </is>
      </c>
      <c r="E3099" t="inlineStr">
        <is>
          <t>UPPSALA</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45921-2022</t>
        </is>
      </c>
      <c r="B3100" s="1" t="n">
        <v>44846</v>
      </c>
      <c r="C3100" s="1" t="n">
        <v>45846</v>
      </c>
      <c r="D3100" t="inlineStr">
        <is>
          <t>UPPSALA LÄN</t>
        </is>
      </c>
      <c r="E3100" t="inlineStr">
        <is>
          <t>HEBY</t>
        </is>
      </c>
      <c r="F3100" t="inlineStr">
        <is>
          <t>Allmännings- och besparingsskogar</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46077-2022</t>
        </is>
      </c>
      <c r="B3101" s="1" t="n">
        <v>44847</v>
      </c>
      <c r="C3101" s="1" t="n">
        <v>45846</v>
      </c>
      <c r="D3101" t="inlineStr">
        <is>
          <t>UPPSALA LÄN</t>
        </is>
      </c>
      <c r="E3101" t="inlineStr">
        <is>
          <t>UPPSALA</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46149-2022</t>
        </is>
      </c>
      <c r="B3102" s="1" t="n">
        <v>44847</v>
      </c>
      <c r="C3102" s="1" t="n">
        <v>45846</v>
      </c>
      <c r="D3102" t="inlineStr">
        <is>
          <t>UPPSALA LÄN</t>
        </is>
      </c>
      <c r="E3102" t="inlineStr">
        <is>
          <t>KNIVSTA</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46069-2022</t>
        </is>
      </c>
      <c r="B3103" s="1" t="n">
        <v>44847</v>
      </c>
      <c r="C3103" s="1" t="n">
        <v>45846</v>
      </c>
      <c r="D3103" t="inlineStr">
        <is>
          <t>UPPSALA LÄN</t>
        </is>
      </c>
      <c r="E3103" t="inlineStr">
        <is>
          <t>UPPSALA</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46079-2022</t>
        </is>
      </c>
      <c r="B3104" s="1" t="n">
        <v>44847</v>
      </c>
      <c r="C3104" s="1" t="n">
        <v>45846</v>
      </c>
      <c r="D3104" t="inlineStr">
        <is>
          <t>UPPSALA LÄN</t>
        </is>
      </c>
      <c r="E3104" t="inlineStr">
        <is>
          <t>UPPSALA</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46293-2022</t>
        </is>
      </c>
      <c r="B3105" s="1" t="n">
        <v>44847</v>
      </c>
      <c r="C3105" s="1" t="n">
        <v>45846</v>
      </c>
      <c r="D3105" t="inlineStr">
        <is>
          <t>UPPSALA LÄN</t>
        </is>
      </c>
      <c r="E3105" t="inlineStr">
        <is>
          <t>UPPSALA</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46094-2022</t>
        </is>
      </c>
      <c r="B3106" s="1" t="n">
        <v>44847</v>
      </c>
      <c r="C3106" s="1" t="n">
        <v>45846</v>
      </c>
      <c r="D3106" t="inlineStr">
        <is>
          <t>UPPSALA LÄN</t>
        </is>
      </c>
      <c r="E3106" t="inlineStr">
        <is>
          <t>HEBY</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46275-2022</t>
        </is>
      </c>
      <c r="B3107" s="1" t="n">
        <v>44847</v>
      </c>
      <c r="C3107" s="1" t="n">
        <v>45846</v>
      </c>
      <c r="D3107" t="inlineStr">
        <is>
          <t>UPPSALA LÄN</t>
        </is>
      </c>
      <c r="E3107" t="inlineStr">
        <is>
          <t>TIERP</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46805-2022</t>
        </is>
      </c>
      <c r="B3108" s="1" t="n">
        <v>44847</v>
      </c>
      <c r="C3108" s="1" t="n">
        <v>45846</v>
      </c>
      <c r="D3108" t="inlineStr">
        <is>
          <t>UPPSALA LÄN</t>
        </is>
      </c>
      <c r="E3108" t="inlineStr">
        <is>
          <t>UPPSALA</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46447-2022</t>
        </is>
      </c>
      <c r="B3109" s="1" t="n">
        <v>44847</v>
      </c>
      <c r="C3109" s="1" t="n">
        <v>45846</v>
      </c>
      <c r="D3109" t="inlineStr">
        <is>
          <t>UPPSALA LÄN</t>
        </is>
      </c>
      <c r="E3109" t="inlineStr">
        <is>
          <t>HEBY</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46448-2022</t>
        </is>
      </c>
      <c r="B3110" s="1" t="n">
        <v>44848</v>
      </c>
      <c r="C3110" s="1" t="n">
        <v>45846</v>
      </c>
      <c r="D3110" t="inlineStr">
        <is>
          <t>UPPSALA LÄN</t>
        </is>
      </c>
      <c r="E3110" t="inlineStr">
        <is>
          <t>ÖSTHAMMAR</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46807-2022</t>
        </is>
      </c>
      <c r="B3111" s="1" t="n">
        <v>44848</v>
      </c>
      <c r="C3111" s="1" t="n">
        <v>45846</v>
      </c>
      <c r="D3111" t="inlineStr">
        <is>
          <t>UPPSALA LÄN</t>
        </is>
      </c>
      <c r="E3111" t="inlineStr">
        <is>
          <t>UPPSALA</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46635-2022</t>
        </is>
      </c>
      <c r="B3112" s="1" t="n">
        <v>44849</v>
      </c>
      <c r="C3112" s="1" t="n">
        <v>45846</v>
      </c>
      <c r="D3112" t="inlineStr">
        <is>
          <t>UPPSALA LÄN</t>
        </is>
      </c>
      <c r="E3112" t="inlineStr">
        <is>
          <t>UPPSALA</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46651-2022</t>
        </is>
      </c>
      <c r="B3113" s="1" t="n">
        <v>44850</v>
      </c>
      <c r="C3113" s="1" t="n">
        <v>45846</v>
      </c>
      <c r="D3113" t="inlineStr">
        <is>
          <t>UPPSALA LÄN</t>
        </is>
      </c>
      <c r="E3113" t="inlineStr">
        <is>
          <t>HEBY</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46749-2022</t>
        </is>
      </c>
      <c r="B3114" s="1" t="n">
        <v>44851</v>
      </c>
      <c r="C3114" s="1" t="n">
        <v>45846</v>
      </c>
      <c r="D3114" t="inlineStr">
        <is>
          <t>UPPSALA LÄN</t>
        </is>
      </c>
      <c r="E3114" t="inlineStr">
        <is>
          <t>ENKÖPING</t>
        </is>
      </c>
      <c r="G3114" t="n">
        <v>6.6</v>
      </c>
      <c r="H3114" t="n">
        <v>0</v>
      </c>
      <c r="I3114" t="n">
        <v>0</v>
      </c>
      <c r="J3114" t="n">
        <v>0</v>
      </c>
      <c r="K3114" t="n">
        <v>0</v>
      </c>
      <c r="L3114" t="n">
        <v>0</v>
      </c>
      <c r="M3114" t="n">
        <v>0</v>
      </c>
      <c r="N3114" t="n">
        <v>0</v>
      </c>
      <c r="O3114" t="n">
        <v>0</v>
      </c>
      <c r="P3114" t="n">
        <v>0</v>
      </c>
      <c r="Q3114" t="n">
        <v>0</v>
      </c>
      <c r="R3114" s="2" t="inlineStr"/>
    </row>
    <row r="3115" ht="15" customHeight="1">
      <c r="A3115" t="inlineStr">
        <is>
          <t>A 46915-2022</t>
        </is>
      </c>
      <c r="B3115" s="1" t="n">
        <v>44851</v>
      </c>
      <c r="C3115" s="1" t="n">
        <v>45846</v>
      </c>
      <c r="D3115" t="inlineStr">
        <is>
          <t>UPPSALA LÄN</t>
        </is>
      </c>
      <c r="E3115" t="inlineStr">
        <is>
          <t>ÖSTHAMMAR</t>
        </is>
      </c>
      <c r="F3115" t="inlineStr">
        <is>
          <t>Bergvik skog öst AB</t>
        </is>
      </c>
      <c r="G3115" t="n">
        <v>7.9</v>
      </c>
      <c r="H3115" t="n">
        <v>0</v>
      </c>
      <c r="I3115" t="n">
        <v>0</v>
      </c>
      <c r="J3115" t="n">
        <v>0</v>
      </c>
      <c r="K3115" t="n">
        <v>0</v>
      </c>
      <c r="L3115" t="n">
        <v>0</v>
      </c>
      <c r="M3115" t="n">
        <v>0</v>
      </c>
      <c r="N3115" t="n">
        <v>0</v>
      </c>
      <c r="O3115" t="n">
        <v>0</v>
      </c>
      <c r="P3115" t="n">
        <v>0</v>
      </c>
      <c r="Q3115" t="n">
        <v>0</v>
      </c>
      <c r="R3115" s="2" t="inlineStr"/>
    </row>
    <row r="3116" ht="15" customHeight="1">
      <c r="A3116" t="inlineStr">
        <is>
          <t>A 47163-2022</t>
        </is>
      </c>
      <c r="B3116" s="1" t="n">
        <v>44852</v>
      </c>
      <c r="C3116" s="1" t="n">
        <v>45846</v>
      </c>
      <c r="D3116" t="inlineStr">
        <is>
          <t>UPPSALA LÄN</t>
        </is>
      </c>
      <c r="E3116" t="inlineStr">
        <is>
          <t>ÖSTHAMMAR</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47199-2022</t>
        </is>
      </c>
      <c r="B3117" s="1" t="n">
        <v>44852</v>
      </c>
      <c r="C3117" s="1" t="n">
        <v>45846</v>
      </c>
      <c r="D3117" t="inlineStr">
        <is>
          <t>UPPSALA LÄN</t>
        </is>
      </c>
      <c r="E3117" t="inlineStr">
        <is>
          <t>HEBY</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47419-2022</t>
        </is>
      </c>
      <c r="B3118" s="1" t="n">
        <v>44853</v>
      </c>
      <c r="C3118" s="1" t="n">
        <v>45846</v>
      </c>
      <c r="D3118" t="inlineStr">
        <is>
          <t>UPPSALA LÄN</t>
        </is>
      </c>
      <c r="E3118" t="inlineStr">
        <is>
          <t>TIERP</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47431-2022</t>
        </is>
      </c>
      <c r="B3119" s="1" t="n">
        <v>44853</v>
      </c>
      <c r="C3119" s="1" t="n">
        <v>45846</v>
      </c>
      <c r="D3119" t="inlineStr">
        <is>
          <t>UPPSALA LÄN</t>
        </is>
      </c>
      <c r="E3119" t="inlineStr">
        <is>
          <t>ENKÖPING</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47516-2022</t>
        </is>
      </c>
      <c r="B3120" s="1" t="n">
        <v>44853</v>
      </c>
      <c r="C3120" s="1" t="n">
        <v>45846</v>
      </c>
      <c r="D3120" t="inlineStr">
        <is>
          <t>UPPSALA LÄN</t>
        </is>
      </c>
      <c r="E3120" t="inlineStr">
        <is>
          <t>ENKÖPING</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47414-2022</t>
        </is>
      </c>
      <c r="B3121" s="1" t="n">
        <v>44853</v>
      </c>
      <c r="C3121" s="1" t="n">
        <v>45846</v>
      </c>
      <c r="D3121" t="inlineStr">
        <is>
          <t>UPPSALA LÄN</t>
        </is>
      </c>
      <c r="E3121" t="inlineStr">
        <is>
          <t>TIERP</t>
        </is>
      </c>
      <c r="G3121" t="n">
        <v>5.3</v>
      </c>
      <c r="H3121" t="n">
        <v>0</v>
      </c>
      <c r="I3121" t="n">
        <v>0</v>
      </c>
      <c r="J3121" t="n">
        <v>0</v>
      </c>
      <c r="K3121" t="n">
        <v>0</v>
      </c>
      <c r="L3121" t="n">
        <v>0</v>
      </c>
      <c r="M3121" t="n">
        <v>0</v>
      </c>
      <c r="N3121" t="n">
        <v>0</v>
      </c>
      <c r="O3121" t="n">
        <v>0</v>
      </c>
      <c r="P3121" t="n">
        <v>0</v>
      </c>
      <c r="Q3121" t="n">
        <v>0</v>
      </c>
      <c r="R3121" s="2" t="inlineStr"/>
    </row>
    <row r="3122" ht="15" customHeight="1">
      <c r="A3122" t="inlineStr">
        <is>
          <t>A 47422-2022</t>
        </is>
      </c>
      <c r="B3122" s="1" t="n">
        <v>44853</v>
      </c>
      <c r="C3122" s="1" t="n">
        <v>45846</v>
      </c>
      <c r="D3122" t="inlineStr">
        <is>
          <t>UPPSALA LÄN</t>
        </is>
      </c>
      <c r="E3122" t="inlineStr">
        <is>
          <t>TIERP</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47413-2022</t>
        </is>
      </c>
      <c r="B3123" s="1" t="n">
        <v>44853</v>
      </c>
      <c r="C3123" s="1" t="n">
        <v>45846</v>
      </c>
      <c r="D3123" t="inlineStr">
        <is>
          <t>UPPSALA LÄN</t>
        </is>
      </c>
      <c r="E3123" t="inlineStr">
        <is>
          <t>UPPSALA</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47428-2022</t>
        </is>
      </c>
      <c r="B3124" s="1" t="n">
        <v>44853</v>
      </c>
      <c r="C3124" s="1" t="n">
        <v>45846</v>
      </c>
      <c r="D3124" t="inlineStr">
        <is>
          <t>UPPSALA LÄN</t>
        </is>
      </c>
      <c r="E3124" t="inlineStr">
        <is>
          <t>HEBY</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48230-2022</t>
        </is>
      </c>
      <c r="B3125" s="1" t="n">
        <v>44858</v>
      </c>
      <c r="C3125" s="1" t="n">
        <v>45846</v>
      </c>
      <c r="D3125" t="inlineStr">
        <is>
          <t>UPPSALA LÄN</t>
        </is>
      </c>
      <c r="E3125" t="inlineStr">
        <is>
          <t>ENKÖPING</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48483-2022</t>
        </is>
      </c>
      <c r="B3126" s="1" t="n">
        <v>44858</v>
      </c>
      <c r="C3126" s="1" t="n">
        <v>45846</v>
      </c>
      <c r="D3126" t="inlineStr">
        <is>
          <t>UPPSALA LÄN</t>
        </is>
      </c>
      <c r="E3126" t="inlineStr">
        <is>
          <t>TIERP</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48163-2022</t>
        </is>
      </c>
      <c r="B3127" s="1" t="n">
        <v>44858</v>
      </c>
      <c r="C3127" s="1" t="n">
        <v>45846</v>
      </c>
      <c r="D3127" t="inlineStr">
        <is>
          <t>UPPSALA LÄN</t>
        </is>
      </c>
      <c r="E3127" t="inlineStr">
        <is>
          <t>HEBY</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48165-2022</t>
        </is>
      </c>
      <c r="B3128" s="1" t="n">
        <v>44858</v>
      </c>
      <c r="C3128" s="1" t="n">
        <v>45846</v>
      </c>
      <c r="D3128" t="inlineStr">
        <is>
          <t>UPPSALA LÄN</t>
        </is>
      </c>
      <c r="E3128" t="inlineStr">
        <is>
          <t>HEBY</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48191-2022</t>
        </is>
      </c>
      <c r="B3129" s="1" t="n">
        <v>44858</v>
      </c>
      <c r="C3129" s="1" t="n">
        <v>45846</v>
      </c>
      <c r="D3129" t="inlineStr">
        <is>
          <t>UPPSALA LÄN</t>
        </is>
      </c>
      <c r="E3129" t="inlineStr">
        <is>
          <t>ÖSTHAMMAR</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48233-2022</t>
        </is>
      </c>
      <c r="B3130" s="1" t="n">
        <v>44858</v>
      </c>
      <c r="C3130" s="1" t="n">
        <v>45846</v>
      </c>
      <c r="D3130" t="inlineStr">
        <is>
          <t>UPPSALA LÄN</t>
        </is>
      </c>
      <c r="E3130" t="inlineStr">
        <is>
          <t>ENKÖPING</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48231-2022</t>
        </is>
      </c>
      <c r="B3131" s="1" t="n">
        <v>44858</v>
      </c>
      <c r="C3131" s="1" t="n">
        <v>45846</v>
      </c>
      <c r="D3131" t="inlineStr">
        <is>
          <t>UPPSALA LÄN</t>
        </is>
      </c>
      <c r="E3131" t="inlineStr">
        <is>
          <t>ÖSTHAMMAR</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48486-2022</t>
        </is>
      </c>
      <c r="B3132" s="1" t="n">
        <v>44858</v>
      </c>
      <c r="C3132" s="1" t="n">
        <v>45846</v>
      </c>
      <c r="D3132" t="inlineStr">
        <is>
          <t>UPPSALA LÄN</t>
        </is>
      </c>
      <c r="E3132" t="inlineStr">
        <is>
          <t>TIERP</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48403-2022</t>
        </is>
      </c>
      <c r="B3133" s="1" t="n">
        <v>44858</v>
      </c>
      <c r="C3133" s="1" t="n">
        <v>45846</v>
      </c>
      <c r="D3133" t="inlineStr">
        <is>
          <t>UPPSALA LÄN</t>
        </is>
      </c>
      <c r="E3133" t="inlineStr">
        <is>
          <t>TIERP</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48575-2022</t>
        </is>
      </c>
      <c r="B3134" s="1" t="n">
        <v>44859</v>
      </c>
      <c r="C3134" s="1" t="n">
        <v>45846</v>
      </c>
      <c r="D3134" t="inlineStr">
        <is>
          <t>UPPSALA LÄN</t>
        </is>
      </c>
      <c r="E3134" t="inlineStr">
        <is>
          <t>TIERP</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48686-2022</t>
        </is>
      </c>
      <c r="B3135" s="1" t="n">
        <v>44859</v>
      </c>
      <c r="C3135" s="1" t="n">
        <v>45846</v>
      </c>
      <c r="D3135" t="inlineStr">
        <is>
          <t>UPPSALA LÄN</t>
        </is>
      </c>
      <c r="E3135" t="inlineStr">
        <is>
          <t>UPPSALA</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48568-2022</t>
        </is>
      </c>
      <c r="B3136" s="1" t="n">
        <v>44859</v>
      </c>
      <c r="C3136" s="1" t="n">
        <v>45846</v>
      </c>
      <c r="D3136" t="inlineStr">
        <is>
          <t>UPPSALA LÄN</t>
        </is>
      </c>
      <c r="E3136" t="inlineStr">
        <is>
          <t>TIERP</t>
        </is>
      </c>
      <c r="F3136" t="inlineStr">
        <is>
          <t>Bergvik skog väst AB</t>
        </is>
      </c>
      <c r="G3136" t="n">
        <v>6.2</v>
      </c>
      <c r="H3136" t="n">
        <v>0</v>
      </c>
      <c r="I3136" t="n">
        <v>0</v>
      </c>
      <c r="J3136" t="n">
        <v>0</v>
      </c>
      <c r="K3136" t="n">
        <v>0</v>
      </c>
      <c r="L3136" t="n">
        <v>0</v>
      </c>
      <c r="M3136" t="n">
        <v>0</v>
      </c>
      <c r="N3136" t="n">
        <v>0</v>
      </c>
      <c r="O3136" t="n">
        <v>0</v>
      </c>
      <c r="P3136" t="n">
        <v>0</v>
      </c>
      <c r="Q3136" t="n">
        <v>0</v>
      </c>
      <c r="R3136" s="2" t="inlineStr"/>
    </row>
    <row r="3137" ht="15" customHeight="1">
      <c r="A3137" t="inlineStr">
        <is>
          <t>A 48588-2022</t>
        </is>
      </c>
      <c r="B3137" s="1" t="n">
        <v>44859</v>
      </c>
      <c r="C3137" s="1" t="n">
        <v>45846</v>
      </c>
      <c r="D3137" t="inlineStr">
        <is>
          <t>UPPSALA LÄN</t>
        </is>
      </c>
      <c r="E3137" t="inlineStr">
        <is>
          <t>UPPSALA</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48692-2022</t>
        </is>
      </c>
      <c r="B3138" s="1" t="n">
        <v>44859</v>
      </c>
      <c r="C3138" s="1" t="n">
        <v>45846</v>
      </c>
      <c r="D3138" t="inlineStr">
        <is>
          <t>UPPSALA LÄN</t>
        </is>
      </c>
      <c r="E3138" t="inlineStr">
        <is>
          <t>UPPSALA</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48750-2022</t>
        </is>
      </c>
      <c r="B3139" s="1" t="n">
        <v>44859</v>
      </c>
      <c r="C3139" s="1" t="n">
        <v>45846</v>
      </c>
      <c r="D3139" t="inlineStr">
        <is>
          <t>UPPSALA LÄN</t>
        </is>
      </c>
      <c r="E3139" t="inlineStr">
        <is>
          <t>TIERP</t>
        </is>
      </c>
      <c r="F3139" t="inlineStr">
        <is>
          <t>Bergvik skog öst AB</t>
        </is>
      </c>
      <c r="G3139" t="n">
        <v>30.2</v>
      </c>
      <c r="H3139" t="n">
        <v>0</v>
      </c>
      <c r="I3139" t="n">
        <v>0</v>
      </c>
      <c r="J3139" t="n">
        <v>0</v>
      </c>
      <c r="K3139" t="n">
        <v>0</v>
      </c>
      <c r="L3139" t="n">
        <v>0</v>
      </c>
      <c r="M3139" t="n">
        <v>0</v>
      </c>
      <c r="N3139" t="n">
        <v>0</v>
      </c>
      <c r="O3139" t="n">
        <v>0</v>
      </c>
      <c r="P3139" t="n">
        <v>0</v>
      </c>
      <c r="Q3139" t="n">
        <v>0</v>
      </c>
      <c r="R3139" s="2" t="inlineStr"/>
    </row>
    <row r="3140" ht="15" customHeight="1">
      <c r="A3140" t="inlineStr">
        <is>
          <t>A 48688-2022</t>
        </is>
      </c>
      <c r="B3140" s="1" t="n">
        <v>44859</v>
      </c>
      <c r="C3140" s="1" t="n">
        <v>45846</v>
      </c>
      <c r="D3140" t="inlineStr">
        <is>
          <t>UPPSALA LÄN</t>
        </is>
      </c>
      <c r="E3140" t="inlineStr">
        <is>
          <t>UPPSALA</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48864-2022</t>
        </is>
      </c>
      <c r="B3141" s="1" t="n">
        <v>44859</v>
      </c>
      <c r="C3141" s="1" t="n">
        <v>45846</v>
      </c>
      <c r="D3141" t="inlineStr">
        <is>
          <t>UPPSALA LÄN</t>
        </is>
      </c>
      <c r="E3141" t="inlineStr">
        <is>
          <t>ENKÖPING</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49097-2022</t>
        </is>
      </c>
      <c r="B3142" s="1" t="n">
        <v>44860</v>
      </c>
      <c r="C3142" s="1" t="n">
        <v>45846</v>
      </c>
      <c r="D3142" t="inlineStr">
        <is>
          <t>UPPSALA LÄN</t>
        </is>
      </c>
      <c r="E3142" t="inlineStr">
        <is>
          <t>ÖSTHAMMAR</t>
        </is>
      </c>
      <c r="G3142" t="n">
        <v>6.9</v>
      </c>
      <c r="H3142" t="n">
        <v>0</v>
      </c>
      <c r="I3142" t="n">
        <v>0</v>
      </c>
      <c r="J3142" t="n">
        <v>0</v>
      </c>
      <c r="K3142" t="n">
        <v>0</v>
      </c>
      <c r="L3142" t="n">
        <v>0</v>
      </c>
      <c r="M3142" t="n">
        <v>0</v>
      </c>
      <c r="N3142" t="n">
        <v>0</v>
      </c>
      <c r="O3142" t="n">
        <v>0</v>
      </c>
      <c r="P3142" t="n">
        <v>0</v>
      </c>
      <c r="Q3142" t="n">
        <v>0</v>
      </c>
      <c r="R3142" s="2" t="inlineStr"/>
    </row>
    <row r="3143" ht="15" customHeight="1">
      <c r="A3143" t="inlineStr">
        <is>
          <t>A 49334-2022</t>
        </is>
      </c>
      <c r="B3143" s="1" t="n">
        <v>44861</v>
      </c>
      <c r="C3143" s="1" t="n">
        <v>45846</v>
      </c>
      <c r="D3143" t="inlineStr">
        <is>
          <t>UPPSALA LÄN</t>
        </is>
      </c>
      <c r="E3143" t="inlineStr">
        <is>
          <t>ÖSTHAMMAR</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49314-2022</t>
        </is>
      </c>
      <c r="B3144" s="1" t="n">
        <v>44861</v>
      </c>
      <c r="C3144" s="1" t="n">
        <v>45846</v>
      </c>
      <c r="D3144" t="inlineStr">
        <is>
          <t>UPPSALA LÄN</t>
        </is>
      </c>
      <c r="E3144" t="inlineStr">
        <is>
          <t>TIERP</t>
        </is>
      </c>
      <c r="F3144" t="inlineStr">
        <is>
          <t>Bergvik skog öst AB</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49557-2022</t>
        </is>
      </c>
      <c r="B3145" s="1" t="n">
        <v>44862</v>
      </c>
      <c r="C3145" s="1" t="n">
        <v>45846</v>
      </c>
      <c r="D3145" t="inlineStr">
        <is>
          <t>UPPSALA LÄN</t>
        </is>
      </c>
      <c r="E3145" t="inlineStr">
        <is>
          <t>ENKÖPING</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49562-2022</t>
        </is>
      </c>
      <c r="B3146" s="1" t="n">
        <v>44862</v>
      </c>
      <c r="C3146" s="1" t="n">
        <v>45846</v>
      </c>
      <c r="D3146" t="inlineStr">
        <is>
          <t>UPPSALA LÄN</t>
        </is>
      </c>
      <c r="E3146" t="inlineStr">
        <is>
          <t>ENKÖPING</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49560-2022</t>
        </is>
      </c>
      <c r="B3147" s="1" t="n">
        <v>44862</v>
      </c>
      <c r="C3147" s="1" t="n">
        <v>45846</v>
      </c>
      <c r="D3147" t="inlineStr">
        <is>
          <t>UPPSALA LÄN</t>
        </is>
      </c>
      <c r="E3147" t="inlineStr">
        <is>
          <t>ENKÖPING</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49568-2022</t>
        </is>
      </c>
      <c r="B3148" s="1" t="n">
        <v>44862</v>
      </c>
      <c r="C3148" s="1" t="n">
        <v>45846</v>
      </c>
      <c r="D3148" t="inlineStr">
        <is>
          <t>UPPSALA LÄN</t>
        </is>
      </c>
      <c r="E3148" t="inlineStr">
        <is>
          <t>ENKÖPING</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50859-2022</t>
        </is>
      </c>
      <c r="B3149" s="1" t="n">
        <v>44862</v>
      </c>
      <c r="C3149" s="1" t="n">
        <v>45846</v>
      </c>
      <c r="D3149" t="inlineStr">
        <is>
          <t>UPPSALA LÄN</t>
        </is>
      </c>
      <c r="E3149" t="inlineStr">
        <is>
          <t>HEBY</t>
        </is>
      </c>
      <c r="G3149" t="n">
        <v>6.7</v>
      </c>
      <c r="H3149" t="n">
        <v>0</v>
      </c>
      <c r="I3149" t="n">
        <v>0</v>
      </c>
      <c r="J3149" t="n">
        <v>0</v>
      </c>
      <c r="K3149" t="n">
        <v>0</v>
      </c>
      <c r="L3149" t="n">
        <v>0</v>
      </c>
      <c r="M3149" t="n">
        <v>0</v>
      </c>
      <c r="N3149" t="n">
        <v>0</v>
      </c>
      <c r="O3149" t="n">
        <v>0</v>
      </c>
      <c r="P3149" t="n">
        <v>0</v>
      </c>
      <c r="Q3149" t="n">
        <v>0</v>
      </c>
      <c r="R3149" s="2" t="inlineStr"/>
    </row>
    <row r="3150" ht="15" customHeight="1">
      <c r="A3150" t="inlineStr">
        <is>
          <t>A 49946-2022</t>
        </is>
      </c>
      <c r="B3150" s="1" t="n">
        <v>44865</v>
      </c>
      <c r="C3150" s="1" t="n">
        <v>45846</v>
      </c>
      <c r="D3150" t="inlineStr">
        <is>
          <t>UPPSALA LÄN</t>
        </is>
      </c>
      <c r="E3150" t="inlineStr">
        <is>
          <t>TIERP</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49971-2022</t>
        </is>
      </c>
      <c r="B3151" s="1" t="n">
        <v>44865</v>
      </c>
      <c r="C3151" s="1" t="n">
        <v>45846</v>
      </c>
      <c r="D3151" t="inlineStr">
        <is>
          <t>UPPSALA LÄN</t>
        </is>
      </c>
      <c r="E3151" t="inlineStr">
        <is>
          <t>HEBY</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49914-2022</t>
        </is>
      </c>
      <c r="B3152" s="1" t="n">
        <v>44865</v>
      </c>
      <c r="C3152" s="1" t="n">
        <v>45846</v>
      </c>
      <c r="D3152" t="inlineStr">
        <is>
          <t>UPPSALA LÄN</t>
        </is>
      </c>
      <c r="E3152" t="inlineStr">
        <is>
          <t>ÖSTHAMMAR</t>
        </is>
      </c>
      <c r="F3152" t="inlineStr">
        <is>
          <t>Bergvik skog öst AB</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49933-2022</t>
        </is>
      </c>
      <c r="B3153" s="1" t="n">
        <v>44865</v>
      </c>
      <c r="C3153" s="1" t="n">
        <v>45846</v>
      </c>
      <c r="D3153" t="inlineStr">
        <is>
          <t>UPPSALA LÄN</t>
        </is>
      </c>
      <c r="E3153" t="inlineStr">
        <is>
          <t>TIERP</t>
        </is>
      </c>
      <c r="G3153" t="n">
        <v>11.3</v>
      </c>
      <c r="H3153" t="n">
        <v>0</v>
      </c>
      <c r="I3153" t="n">
        <v>0</v>
      </c>
      <c r="J3153" t="n">
        <v>0</v>
      </c>
      <c r="K3153" t="n">
        <v>0</v>
      </c>
      <c r="L3153" t="n">
        <v>0</v>
      </c>
      <c r="M3153" t="n">
        <v>0</v>
      </c>
      <c r="N3153" t="n">
        <v>0</v>
      </c>
      <c r="O3153" t="n">
        <v>0</v>
      </c>
      <c r="P3153" t="n">
        <v>0</v>
      </c>
      <c r="Q3153" t="n">
        <v>0</v>
      </c>
      <c r="R3153" s="2" t="inlineStr"/>
    </row>
    <row r="3154" ht="15" customHeight="1">
      <c r="A3154" t="inlineStr">
        <is>
          <t>A 50006-2022</t>
        </is>
      </c>
      <c r="B3154" s="1" t="n">
        <v>44865</v>
      </c>
      <c r="C3154" s="1" t="n">
        <v>45846</v>
      </c>
      <c r="D3154" t="inlineStr">
        <is>
          <t>UPPSALA LÄN</t>
        </is>
      </c>
      <c r="E3154" t="inlineStr">
        <is>
          <t>UPPSALA</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50040-2022</t>
        </is>
      </c>
      <c r="B3155" s="1" t="n">
        <v>44865</v>
      </c>
      <c r="C3155" s="1" t="n">
        <v>45846</v>
      </c>
      <c r="D3155" t="inlineStr">
        <is>
          <t>UPPSALA LÄN</t>
        </is>
      </c>
      <c r="E3155" t="inlineStr">
        <is>
          <t>TIERP</t>
        </is>
      </c>
      <c r="F3155" t="inlineStr">
        <is>
          <t>Bergvik skog väst AB</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50092-2022</t>
        </is>
      </c>
      <c r="B3156" s="1" t="n">
        <v>44865</v>
      </c>
      <c r="C3156" s="1" t="n">
        <v>45846</v>
      </c>
      <c r="D3156" t="inlineStr">
        <is>
          <t>UPPSALA LÄN</t>
        </is>
      </c>
      <c r="E3156" t="inlineStr">
        <is>
          <t>UPPSALA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50576-2022</t>
        </is>
      </c>
      <c r="B3157" s="1" t="n">
        <v>44866</v>
      </c>
      <c r="C3157" s="1" t="n">
        <v>45846</v>
      </c>
      <c r="D3157" t="inlineStr">
        <is>
          <t>UPPSALA LÄN</t>
        </is>
      </c>
      <c r="E3157" t="inlineStr">
        <is>
          <t>ÖSTHAMMAR</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50954-2022</t>
        </is>
      </c>
      <c r="B3158" s="1" t="n">
        <v>44866</v>
      </c>
      <c r="C3158" s="1" t="n">
        <v>45846</v>
      </c>
      <c r="D3158" t="inlineStr">
        <is>
          <t>UPPSALA LÄN</t>
        </is>
      </c>
      <c r="E3158" t="inlineStr">
        <is>
          <t>UPPSALA</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50747-2022</t>
        </is>
      </c>
      <c r="B3159" s="1" t="n">
        <v>44867</v>
      </c>
      <c r="C3159" s="1" t="n">
        <v>45846</v>
      </c>
      <c r="D3159" t="inlineStr">
        <is>
          <t>UPPSALA LÄN</t>
        </is>
      </c>
      <c r="E3159" t="inlineStr">
        <is>
          <t>ENKÖPING</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51055-2022</t>
        </is>
      </c>
      <c r="B3160" s="1" t="n">
        <v>44868</v>
      </c>
      <c r="C3160" s="1" t="n">
        <v>45846</v>
      </c>
      <c r="D3160" t="inlineStr">
        <is>
          <t>UPPSALA LÄN</t>
        </is>
      </c>
      <c r="E3160" t="inlineStr">
        <is>
          <t>ÖSTHAMMAR</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51232-2022</t>
        </is>
      </c>
      <c r="B3161" s="1" t="n">
        <v>44868</v>
      </c>
      <c r="C3161" s="1" t="n">
        <v>45846</v>
      </c>
      <c r="D3161" t="inlineStr">
        <is>
          <t>UPPSALA LÄN</t>
        </is>
      </c>
      <c r="E3161" t="inlineStr">
        <is>
          <t>TIERP</t>
        </is>
      </c>
      <c r="F3161" t="inlineStr">
        <is>
          <t>Bergvik skog öst AB</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51524-2022</t>
        </is>
      </c>
      <c r="B3162" s="1" t="n">
        <v>44869</v>
      </c>
      <c r="C3162" s="1" t="n">
        <v>45846</v>
      </c>
      <c r="D3162" t="inlineStr">
        <is>
          <t>UPPSALA LÄN</t>
        </is>
      </c>
      <c r="E3162" t="inlineStr">
        <is>
          <t>ENKÖPING</t>
        </is>
      </c>
      <c r="G3162" t="n">
        <v>6.6</v>
      </c>
      <c r="H3162" t="n">
        <v>0</v>
      </c>
      <c r="I3162" t="n">
        <v>0</v>
      </c>
      <c r="J3162" t="n">
        <v>0</v>
      </c>
      <c r="K3162" t="n">
        <v>0</v>
      </c>
      <c r="L3162" t="n">
        <v>0</v>
      </c>
      <c r="M3162" t="n">
        <v>0</v>
      </c>
      <c r="N3162" t="n">
        <v>0</v>
      </c>
      <c r="O3162" t="n">
        <v>0</v>
      </c>
      <c r="P3162" t="n">
        <v>0</v>
      </c>
      <c r="Q3162" t="n">
        <v>0</v>
      </c>
      <c r="R3162" s="2" t="inlineStr"/>
    </row>
    <row r="3163" ht="15" customHeight="1">
      <c r="A3163" t="inlineStr">
        <is>
          <t>A 51606-2022</t>
        </is>
      </c>
      <c r="B3163" s="1" t="n">
        <v>44871</v>
      </c>
      <c r="C3163" s="1" t="n">
        <v>45846</v>
      </c>
      <c r="D3163" t="inlineStr">
        <is>
          <t>UPPSALA LÄN</t>
        </is>
      </c>
      <c r="E3163" t="inlineStr">
        <is>
          <t>TIERP</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51661-2022</t>
        </is>
      </c>
      <c r="B3164" s="1" t="n">
        <v>44872</v>
      </c>
      <c r="C3164" s="1" t="n">
        <v>45846</v>
      </c>
      <c r="D3164" t="inlineStr">
        <is>
          <t>UPPSALA LÄN</t>
        </is>
      </c>
      <c r="E3164" t="inlineStr">
        <is>
          <t>UPPSALA</t>
        </is>
      </c>
      <c r="G3164" t="n">
        <v>8.9</v>
      </c>
      <c r="H3164" t="n">
        <v>0</v>
      </c>
      <c r="I3164" t="n">
        <v>0</v>
      </c>
      <c r="J3164" t="n">
        <v>0</v>
      </c>
      <c r="K3164" t="n">
        <v>0</v>
      </c>
      <c r="L3164" t="n">
        <v>0</v>
      </c>
      <c r="M3164" t="n">
        <v>0</v>
      </c>
      <c r="N3164" t="n">
        <v>0</v>
      </c>
      <c r="O3164" t="n">
        <v>0</v>
      </c>
      <c r="P3164" t="n">
        <v>0</v>
      </c>
      <c r="Q3164" t="n">
        <v>0</v>
      </c>
      <c r="R3164" s="2" t="inlineStr"/>
    </row>
    <row r="3165" ht="15" customHeight="1">
      <c r="A3165" t="inlineStr">
        <is>
          <t>A 51696-2022</t>
        </is>
      </c>
      <c r="B3165" s="1" t="n">
        <v>44872</v>
      </c>
      <c r="C3165" s="1" t="n">
        <v>45846</v>
      </c>
      <c r="D3165" t="inlineStr">
        <is>
          <t>UPPSALA LÄN</t>
        </is>
      </c>
      <c r="E3165" t="inlineStr">
        <is>
          <t>ÖSTHAMMAR</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51899-2022</t>
        </is>
      </c>
      <c r="B3166" s="1" t="n">
        <v>44872</v>
      </c>
      <c r="C3166" s="1" t="n">
        <v>45846</v>
      </c>
      <c r="D3166" t="inlineStr">
        <is>
          <t>UPPSALA LÄN</t>
        </is>
      </c>
      <c r="E3166" t="inlineStr">
        <is>
          <t>UPPSALA</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51906-2022</t>
        </is>
      </c>
      <c r="B3167" s="1" t="n">
        <v>44872</v>
      </c>
      <c r="C3167" s="1" t="n">
        <v>45846</v>
      </c>
      <c r="D3167" t="inlineStr">
        <is>
          <t>UPPSALA LÄN</t>
        </is>
      </c>
      <c r="E3167" t="inlineStr">
        <is>
          <t>ÖSTHAMMAR</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51934-2022</t>
        </is>
      </c>
      <c r="B3168" s="1" t="n">
        <v>44872</v>
      </c>
      <c r="C3168" s="1" t="n">
        <v>45846</v>
      </c>
      <c r="D3168" t="inlineStr">
        <is>
          <t>UPPSALA LÄN</t>
        </is>
      </c>
      <c r="E3168" t="inlineStr">
        <is>
          <t>HEBY</t>
        </is>
      </c>
      <c r="F3168" t="inlineStr">
        <is>
          <t>Övriga Aktiebolag</t>
        </is>
      </c>
      <c r="G3168" t="n">
        <v>7.9</v>
      </c>
      <c r="H3168" t="n">
        <v>0</v>
      </c>
      <c r="I3168" t="n">
        <v>0</v>
      </c>
      <c r="J3168" t="n">
        <v>0</v>
      </c>
      <c r="K3168" t="n">
        <v>0</v>
      </c>
      <c r="L3168" t="n">
        <v>0</v>
      </c>
      <c r="M3168" t="n">
        <v>0</v>
      </c>
      <c r="N3168" t="n">
        <v>0</v>
      </c>
      <c r="O3168" t="n">
        <v>0</v>
      </c>
      <c r="P3168" t="n">
        <v>0</v>
      </c>
      <c r="Q3168" t="n">
        <v>0</v>
      </c>
      <c r="R3168" s="2" t="inlineStr"/>
    </row>
    <row r="3169" ht="15" customHeight="1">
      <c r="A3169" t="inlineStr">
        <is>
          <t>A 51932-2022</t>
        </is>
      </c>
      <c r="B3169" s="1" t="n">
        <v>44872</v>
      </c>
      <c r="C3169" s="1" t="n">
        <v>45846</v>
      </c>
      <c r="D3169" t="inlineStr">
        <is>
          <t>UPPSALA LÄN</t>
        </is>
      </c>
      <c r="E3169" t="inlineStr">
        <is>
          <t>ENKÖPING</t>
        </is>
      </c>
      <c r="G3169" t="n">
        <v>5.5</v>
      </c>
      <c r="H3169" t="n">
        <v>0</v>
      </c>
      <c r="I3169" t="n">
        <v>0</v>
      </c>
      <c r="J3169" t="n">
        <v>0</v>
      </c>
      <c r="K3169" t="n">
        <v>0</v>
      </c>
      <c r="L3169" t="n">
        <v>0</v>
      </c>
      <c r="M3169" t="n">
        <v>0</v>
      </c>
      <c r="N3169" t="n">
        <v>0</v>
      </c>
      <c r="O3169" t="n">
        <v>0</v>
      </c>
      <c r="P3169" t="n">
        <v>0</v>
      </c>
      <c r="Q3169" t="n">
        <v>0</v>
      </c>
      <c r="R3169" s="2" t="inlineStr"/>
    </row>
    <row r="3170" ht="15" customHeight="1">
      <c r="A3170" t="inlineStr">
        <is>
          <t>A 52265-2022</t>
        </is>
      </c>
      <c r="B3170" s="1" t="n">
        <v>44873</v>
      </c>
      <c r="C3170" s="1" t="n">
        <v>45846</v>
      </c>
      <c r="D3170" t="inlineStr">
        <is>
          <t>UPPSALA LÄN</t>
        </is>
      </c>
      <c r="E3170" t="inlineStr">
        <is>
          <t>ÖSTHAMMAR</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52255-2022</t>
        </is>
      </c>
      <c r="B3171" s="1" t="n">
        <v>44873</v>
      </c>
      <c r="C3171" s="1" t="n">
        <v>45846</v>
      </c>
      <c r="D3171" t="inlineStr">
        <is>
          <t>UPPSALA LÄN</t>
        </is>
      </c>
      <c r="E3171" t="inlineStr">
        <is>
          <t>ÖSTHAMMAR</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52292-2022</t>
        </is>
      </c>
      <c r="B3172" s="1" t="n">
        <v>44873</v>
      </c>
      <c r="C3172" s="1" t="n">
        <v>45846</v>
      </c>
      <c r="D3172" t="inlineStr">
        <is>
          <t>UPPSALA LÄN</t>
        </is>
      </c>
      <c r="E3172" t="inlineStr">
        <is>
          <t>HEBY</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52295-2022</t>
        </is>
      </c>
      <c r="B3173" s="1" t="n">
        <v>44873</v>
      </c>
      <c r="C3173" s="1" t="n">
        <v>45846</v>
      </c>
      <c r="D3173" t="inlineStr">
        <is>
          <t>UPPSALA LÄN</t>
        </is>
      </c>
      <c r="E3173" t="inlineStr">
        <is>
          <t>ÖSTHAMMAR</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52388-2022</t>
        </is>
      </c>
      <c r="B3174" s="1" t="n">
        <v>44874</v>
      </c>
      <c r="C3174" s="1" t="n">
        <v>45846</v>
      </c>
      <c r="D3174" t="inlineStr">
        <is>
          <t>UPPSALA LÄN</t>
        </is>
      </c>
      <c r="E3174" t="inlineStr">
        <is>
          <t>TIERP</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52652-2022</t>
        </is>
      </c>
      <c r="B3175" s="1" t="n">
        <v>44874</v>
      </c>
      <c r="C3175" s="1" t="n">
        <v>45846</v>
      </c>
      <c r="D3175" t="inlineStr">
        <is>
          <t>UPPSALA LÄN</t>
        </is>
      </c>
      <c r="E3175" t="inlineStr">
        <is>
          <t>ÖSTHAMMAR</t>
        </is>
      </c>
      <c r="F3175" t="inlineStr">
        <is>
          <t>Bergvik skog öst AB</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52389-2022</t>
        </is>
      </c>
      <c r="B3176" s="1" t="n">
        <v>44874</v>
      </c>
      <c r="C3176" s="1" t="n">
        <v>45846</v>
      </c>
      <c r="D3176" t="inlineStr">
        <is>
          <t>UPPSALA LÄN</t>
        </is>
      </c>
      <c r="E3176" t="inlineStr">
        <is>
          <t>ÖSTHAMMAR</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52663-2022</t>
        </is>
      </c>
      <c r="B3177" s="1" t="n">
        <v>44874</v>
      </c>
      <c r="C3177" s="1" t="n">
        <v>45846</v>
      </c>
      <c r="D3177" t="inlineStr">
        <is>
          <t>UPPSALA LÄN</t>
        </is>
      </c>
      <c r="E3177" t="inlineStr">
        <is>
          <t>ÖSTHAMMAR</t>
        </is>
      </c>
      <c r="F3177" t="inlineStr">
        <is>
          <t>Bergvik skog öst AB</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52650-2022</t>
        </is>
      </c>
      <c r="B3178" s="1" t="n">
        <v>44874</v>
      </c>
      <c r="C3178" s="1" t="n">
        <v>45846</v>
      </c>
      <c r="D3178" t="inlineStr">
        <is>
          <t>UPPSALA LÄN</t>
        </is>
      </c>
      <c r="E3178" t="inlineStr">
        <is>
          <t>ÖSTHAMMAR</t>
        </is>
      </c>
      <c r="F3178" t="inlineStr">
        <is>
          <t>Bergvik skog öst AB</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52661-2022</t>
        </is>
      </c>
      <c r="B3179" s="1" t="n">
        <v>44874</v>
      </c>
      <c r="C3179" s="1" t="n">
        <v>45846</v>
      </c>
      <c r="D3179" t="inlineStr">
        <is>
          <t>UPPSALA LÄN</t>
        </is>
      </c>
      <c r="E3179" t="inlineStr">
        <is>
          <t>ÖSTHAMMAR</t>
        </is>
      </c>
      <c r="F3179" t="inlineStr">
        <is>
          <t>Bergvik skog öst AB</t>
        </is>
      </c>
      <c r="G3179" t="n">
        <v>0.2</v>
      </c>
      <c r="H3179" t="n">
        <v>0</v>
      </c>
      <c r="I3179" t="n">
        <v>0</v>
      </c>
      <c r="J3179" t="n">
        <v>0</v>
      </c>
      <c r="K3179" t="n">
        <v>0</v>
      </c>
      <c r="L3179" t="n">
        <v>0</v>
      </c>
      <c r="M3179" t="n">
        <v>0</v>
      </c>
      <c r="N3179" t="n">
        <v>0</v>
      </c>
      <c r="O3179" t="n">
        <v>0</v>
      </c>
      <c r="P3179" t="n">
        <v>0</v>
      </c>
      <c r="Q3179" t="n">
        <v>0</v>
      </c>
      <c r="R3179" s="2" t="inlineStr"/>
    </row>
    <row r="3180" ht="15" customHeight="1">
      <c r="A3180" t="inlineStr">
        <is>
          <t>A 52895-2022</t>
        </is>
      </c>
      <c r="B3180" s="1" t="n">
        <v>44875</v>
      </c>
      <c r="C3180" s="1" t="n">
        <v>45846</v>
      </c>
      <c r="D3180" t="inlineStr">
        <is>
          <t>UPPSALA LÄN</t>
        </is>
      </c>
      <c r="E3180" t="inlineStr">
        <is>
          <t>ENKÖPING</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52790-2022</t>
        </is>
      </c>
      <c r="B3181" s="1" t="n">
        <v>44875</v>
      </c>
      <c r="C3181" s="1" t="n">
        <v>45846</v>
      </c>
      <c r="D3181" t="inlineStr">
        <is>
          <t>UPPSALA LÄN</t>
        </is>
      </c>
      <c r="E3181" t="inlineStr">
        <is>
          <t>HEBY</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52893-2022</t>
        </is>
      </c>
      <c r="B3182" s="1" t="n">
        <v>44875</v>
      </c>
      <c r="C3182" s="1" t="n">
        <v>45846</v>
      </c>
      <c r="D3182" t="inlineStr">
        <is>
          <t>UPPSALA LÄN</t>
        </is>
      </c>
      <c r="E3182" t="inlineStr">
        <is>
          <t>ENKÖPING</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52889-2022</t>
        </is>
      </c>
      <c r="B3183" s="1" t="n">
        <v>44875</v>
      </c>
      <c r="C3183" s="1" t="n">
        <v>45846</v>
      </c>
      <c r="D3183" t="inlineStr">
        <is>
          <t>UPPSALA LÄN</t>
        </is>
      </c>
      <c r="E3183" t="inlineStr">
        <is>
          <t>ENKÖPING</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52896-2022</t>
        </is>
      </c>
      <c r="B3184" s="1" t="n">
        <v>44875</v>
      </c>
      <c r="C3184" s="1" t="n">
        <v>45846</v>
      </c>
      <c r="D3184" t="inlineStr">
        <is>
          <t>UPPSALA LÄN</t>
        </is>
      </c>
      <c r="E3184" t="inlineStr">
        <is>
          <t>ENKÖPING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52955-2022</t>
        </is>
      </c>
      <c r="B3185" s="1" t="n">
        <v>44875</v>
      </c>
      <c r="C3185" s="1" t="n">
        <v>45846</v>
      </c>
      <c r="D3185" t="inlineStr">
        <is>
          <t>UPPSALA LÄN</t>
        </is>
      </c>
      <c r="E3185" t="inlineStr">
        <is>
          <t>HEBY</t>
        </is>
      </c>
      <c r="G3185" t="n">
        <v>7</v>
      </c>
      <c r="H3185" t="n">
        <v>0</v>
      </c>
      <c r="I3185" t="n">
        <v>0</v>
      </c>
      <c r="J3185" t="n">
        <v>0</v>
      </c>
      <c r="K3185" t="n">
        <v>0</v>
      </c>
      <c r="L3185" t="n">
        <v>0</v>
      </c>
      <c r="M3185" t="n">
        <v>0</v>
      </c>
      <c r="N3185" t="n">
        <v>0</v>
      </c>
      <c r="O3185" t="n">
        <v>0</v>
      </c>
      <c r="P3185" t="n">
        <v>0</v>
      </c>
      <c r="Q3185" t="n">
        <v>0</v>
      </c>
      <c r="R3185" s="2" t="inlineStr"/>
    </row>
    <row r="3186" ht="15" customHeight="1">
      <c r="A3186" t="inlineStr">
        <is>
          <t>A 53770-2022</t>
        </is>
      </c>
      <c r="B3186" s="1" t="n">
        <v>44875</v>
      </c>
      <c r="C3186" s="1" t="n">
        <v>45846</v>
      </c>
      <c r="D3186" t="inlineStr">
        <is>
          <t>UPPSALA LÄN</t>
        </is>
      </c>
      <c r="E3186" t="inlineStr">
        <is>
          <t>HÅBO</t>
        </is>
      </c>
      <c r="F3186" t="inlineStr">
        <is>
          <t>Allmännings- och besparingsskogar</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53180-2022</t>
        </is>
      </c>
      <c r="B3187" s="1" t="n">
        <v>44876</v>
      </c>
      <c r="C3187" s="1" t="n">
        <v>45846</v>
      </c>
      <c r="D3187" t="inlineStr">
        <is>
          <t>UPPSALA LÄN</t>
        </is>
      </c>
      <c r="E3187" t="inlineStr">
        <is>
          <t>ÖSTHAMMAR</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53496-2022</t>
        </is>
      </c>
      <c r="B3188" s="1" t="n">
        <v>44879</v>
      </c>
      <c r="C3188" s="1" t="n">
        <v>45846</v>
      </c>
      <c r="D3188" t="inlineStr">
        <is>
          <t>UPPSALA LÄN</t>
        </is>
      </c>
      <c r="E3188" t="inlineStr">
        <is>
          <t>ENKÖPING</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53819-2022</t>
        </is>
      </c>
      <c r="B3189" s="1" t="n">
        <v>44880</v>
      </c>
      <c r="C3189" s="1" t="n">
        <v>45846</v>
      </c>
      <c r="D3189" t="inlineStr">
        <is>
          <t>UPPSALA LÄN</t>
        </is>
      </c>
      <c r="E3189" t="inlineStr">
        <is>
          <t>TIERP</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53784-2022</t>
        </is>
      </c>
      <c r="B3190" s="1" t="n">
        <v>44880</v>
      </c>
      <c r="C3190" s="1" t="n">
        <v>45846</v>
      </c>
      <c r="D3190" t="inlineStr">
        <is>
          <t>UPPSALA LÄN</t>
        </is>
      </c>
      <c r="E3190" t="inlineStr">
        <is>
          <t>TIERP</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53813-2022</t>
        </is>
      </c>
      <c r="B3191" s="1" t="n">
        <v>44880</v>
      </c>
      <c r="C3191" s="1" t="n">
        <v>45846</v>
      </c>
      <c r="D3191" t="inlineStr">
        <is>
          <t>UPPSALA LÄN</t>
        </is>
      </c>
      <c r="E3191" t="inlineStr">
        <is>
          <t>TIERP</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54041-2022</t>
        </is>
      </c>
      <c r="B3192" s="1" t="n">
        <v>44881</v>
      </c>
      <c r="C3192" s="1" t="n">
        <v>45846</v>
      </c>
      <c r="D3192" t="inlineStr">
        <is>
          <t>UPPSALA LÄN</t>
        </is>
      </c>
      <c r="E3192" t="inlineStr">
        <is>
          <t>TIERP</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54493-2022</t>
        </is>
      </c>
      <c r="B3193" s="1" t="n">
        <v>44882</v>
      </c>
      <c r="C3193" s="1" t="n">
        <v>45846</v>
      </c>
      <c r="D3193" t="inlineStr">
        <is>
          <t>UPPSALA LÄN</t>
        </is>
      </c>
      <c r="E3193" t="inlineStr">
        <is>
          <t>HEBY</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54666-2022</t>
        </is>
      </c>
      <c r="B3194" s="1" t="n">
        <v>44883</v>
      </c>
      <c r="C3194" s="1" t="n">
        <v>45846</v>
      </c>
      <c r="D3194" t="inlineStr">
        <is>
          <t>UPPSALA LÄN</t>
        </is>
      </c>
      <c r="E3194" t="inlineStr">
        <is>
          <t>ÖSTHAMMAR</t>
        </is>
      </c>
      <c r="G3194" t="n">
        <v>14.3</v>
      </c>
      <c r="H3194" t="n">
        <v>0</v>
      </c>
      <c r="I3194" t="n">
        <v>0</v>
      </c>
      <c r="J3194" t="n">
        <v>0</v>
      </c>
      <c r="K3194" t="n">
        <v>0</v>
      </c>
      <c r="L3194" t="n">
        <v>0</v>
      </c>
      <c r="M3194" t="n">
        <v>0</v>
      </c>
      <c r="N3194" t="n">
        <v>0</v>
      </c>
      <c r="O3194" t="n">
        <v>0</v>
      </c>
      <c r="P3194" t="n">
        <v>0</v>
      </c>
      <c r="Q3194" t="n">
        <v>0</v>
      </c>
      <c r="R3194" s="2" t="inlineStr"/>
    </row>
    <row r="3195" ht="15" customHeight="1">
      <c r="A3195" t="inlineStr">
        <is>
          <t>A 54764-2022</t>
        </is>
      </c>
      <c r="B3195" s="1" t="n">
        <v>44883</v>
      </c>
      <c r="C3195" s="1" t="n">
        <v>45846</v>
      </c>
      <c r="D3195" t="inlineStr">
        <is>
          <t>UPPSALA LÄN</t>
        </is>
      </c>
      <c r="E3195" t="inlineStr">
        <is>
          <t>TIERP</t>
        </is>
      </c>
      <c r="G3195" t="n">
        <v>8.699999999999999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54715-2022</t>
        </is>
      </c>
      <c r="B3196" s="1" t="n">
        <v>44883</v>
      </c>
      <c r="C3196" s="1" t="n">
        <v>45846</v>
      </c>
      <c r="D3196" t="inlineStr">
        <is>
          <t>UPPSALA LÄN</t>
        </is>
      </c>
      <c r="E3196" t="inlineStr">
        <is>
          <t>UPPSALA</t>
        </is>
      </c>
      <c r="F3196" t="inlineStr">
        <is>
          <t>Övriga Aktiebolag</t>
        </is>
      </c>
      <c r="G3196" t="n">
        <v>9.5</v>
      </c>
      <c r="H3196" t="n">
        <v>0</v>
      </c>
      <c r="I3196" t="n">
        <v>0</v>
      </c>
      <c r="J3196" t="n">
        <v>0</v>
      </c>
      <c r="K3196" t="n">
        <v>0</v>
      </c>
      <c r="L3196" t="n">
        <v>0</v>
      </c>
      <c r="M3196" t="n">
        <v>0</v>
      </c>
      <c r="N3196" t="n">
        <v>0</v>
      </c>
      <c r="O3196" t="n">
        <v>0</v>
      </c>
      <c r="P3196" t="n">
        <v>0</v>
      </c>
      <c r="Q3196" t="n">
        <v>0</v>
      </c>
      <c r="R3196" s="2" t="inlineStr"/>
    </row>
    <row r="3197" ht="15" customHeight="1">
      <c r="A3197" t="inlineStr">
        <is>
          <t>A 54732-2022</t>
        </is>
      </c>
      <c r="B3197" s="1" t="n">
        <v>44883</v>
      </c>
      <c r="C3197" s="1" t="n">
        <v>45846</v>
      </c>
      <c r="D3197" t="inlineStr">
        <is>
          <t>UPPSALA LÄN</t>
        </is>
      </c>
      <c r="E3197" t="inlineStr">
        <is>
          <t>UPPSALA</t>
        </is>
      </c>
      <c r="F3197" t="inlineStr">
        <is>
          <t>Övriga Aktiebolag</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54813-2022</t>
        </is>
      </c>
      <c r="B3198" s="1" t="n">
        <v>44883</v>
      </c>
      <c r="C3198" s="1" t="n">
        <v>45846</v>
      </c>
      <c r="D3198" t="inlineStr">
        <is>
          <t>UPPSALA LÄN</t>
        </is>
      </c>
      <c r="E3198" t="inlineStr">
        <is>
          <t>UPPSALA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54952-2022</t>
        </is>
      </c>
      <c r="B3199" s="1" t="n">
        <v>44886</v>
      </c>
      <c r="C3199" s="1" t="n">
        <v>45846</v>
      </c>
      <c r="D3199" t="inlineStr">
        <is>
          <t>UPPSALA LÄN</t>
        </is>
      </c>
      <c r="E3199" t="inlineStr">
        <is>
          <t>TIERP</t>
        </is>
      </c>
      <c r="G3199" t="n">
        <v>6.2</v>
      </c>
      <c r="H3199" t="n">
        <v>0</v>
      </c>
      <c r="I3199" t="n">
        <v>0</v>
      </c>
      <c r="J3199" t="n">
        <v>0</v>
      </c>
      <c r="K3199" t="n">
        <v>0</v>
      </c>
      <c r="L3199" t="n">
        <v>0</v>
      </c>
      <c r="M3199" t="n">
        <v>0</v>
      </c>
      <c r="N3199" t="n">
        <v>0</v>
      </c>
      <c r="O3199" t="n">
        <v>0</v>
      </c>
      <c r="P3199" t="n">
        <v>0</v>
      </c>
      <c r="Q3199" t="n">
        <v>0</v>
      </c>
      <c r="R3199" s="2" t="inlineStr"/>
    </row>
    <row r="3200" ht="15" customHeight="1">
      <c r="A3200" t="inlineStr">
        <is>
          <t>A 55021-2022</t>
        </is>
      </c>
      <c r="B3200" s="1" t="n">
        <v>44886</v>
      </c>
      <c r="C3200" s="1" t="n">
        <v>45846</v>
      </c>
      <c r="D3200" t="inlineStr">
        <is>
          <t>UPPSALA LÄN</t>
        </is>
      </c>
      <c r="E3200" t="inlineStr">
        <is>
          <t>UPPSALA</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55040-2022</t>
        </is>
      </c>
      <c r="B3201" s="1" t="n">
        <v>44886</v>
      </c>
      <c r="C3201" s="1" t="n">
        <v>45846</v>
      </c>
      <c r="D3201" t="inlineStr">
        <is>
          <t>UPPSALA LÄN</t>
        </is>
      </c>
      <c r="E3201" t="inlineStr">
        <is>
          <t>UPPSALA</t>
        </is>
      </c>
      <c r="F3201" t="inlineStr">
        <is>
          <t>Sveaskog</t>
        </is>
      </c>
      <c r="G3201" t="n">
        <v>5.3</v>
      </c>
      <c r="H3201" t="n">
        <v>0</v>
      </c>
      <c r="I3201" t="n">
        <v>0</v>
      </c>
      <c r="J3201" t="n">
        <v>0</v>
      </c>
      <c r="K3201" t="n">
        <v>0</v>
      </c>
      <c r="L3201" t="n">
        <v>0</v>
      </c>
      <c r="M3201" t="n">
        <v>0</v>
      </c>
      <c r="N3201" t="n">
        <v>0</v>
      </c>
      <c r="O3201" t="n">
        <v>0</v>
      </c>
      <c r="P3201" t="n">
        <v>0</v>
      </c>
      <c r="Q3201" t="n">
        <v>0</v>
      </c>
      <c r="R3201" s="2" t="inlineStr"/>
    </row>
    <row r="3202" ht="15" customHeight="1">
      <c r="A3202" t="inlineStr">
        <is>
          <t>A 55073-2022</t>
        </is>
      </c>
      <c r="B3202" s="1" t="n">
        <v>44886</v>
      </c>
      <c r="C3202" s="1" t="n">
        <v>45846</v>
      </c>
      <c r="D3202" t="inlineStr">
        <is>
          <t>UPPSALA LÄN</t>
        </is>
      </c>
      <c r="E3202" t="inlineStr">
        <is>
          <t>UPPSALA</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55066-2022</t>
        </is>
      </c>
      <c r="B3203" s="1" t="n">
        <v>44886</v>
      </c>
      <c r="C3203" s="1" t="n">
        <v>45846</v>
      </c>
      <c r="D3203" t="inlineStr">
        <is>
          <t>UPPSALA LÄN</t>
        </is>
      </c>
      <c r="E3203" t="inlineStr">
        <is>
          <t>UPPSALA</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55191-2022</t>
        </is>
      </c>
      <c r="B3204" s="1" t="n">
        <v>44886</v>
      </c>
      <c r="C3204" s="1" t="n">
        <v>45846</v>
      </c>
      <c r="D3204" t="inlineStr">
        <is>
          <t>UPPSALA LÄN</t>
        </is>
      </c>
      <c r="E3204" t="inlineStr">
        <is>
          <t>HEBY</t>
        </is>
      </c>
      <c r="G3204" t="n">
        <v>0.3</v>
      </c>
      <c r="H3204" t="n">
        <v>0</v>
      </c>
      <c r="I3204" t="n">
        <v>0</v>
      </c>
      <c r="J3204" t="n">
        <v>0</v>
      </c>
      <c r="K3204" t="n">
        <v>0</v>
      </c>
      <c r="L3204" t="n">
        <v>0</v>
      </c>
      <c r="M3204" t="n">
        <v>0</v>
      </c>
      <c r="N3204" t="n">
        <v>0</v>
      </c>
      <c r="O3204" t="n">
        <v>0</v>
      </c>
      <c r="P3204" t="n">
        <v>0</v>
      </c>
      <c r="Q3204" t="n">
        <v>0</v>
      </c>
      <c r="R3204" s="2" t="inlineStr"/>
    </row>
    <row r="3205" ht="15" customHeight="1">
      <c r="A3205" t="inlineStr">
        <is>
          <t>A 55204-2022</t>
        </is>
      </c>
      <c r="B3205" s="1" t="n">
        <v>44886</v>
      </c>
      <c r="C3205" s="1" t="n">
        <v>45846</v>
      </c>
      <c r="D3205" t="inlineStr">
        <is>
          <t>UPPSALA LÄN</t>
        </is>
      </c>
      <c r="E3205" t="inlineStr">
        <is>
          <t>HEBY</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55401-2022</t>
        </is>
      </c>
      <c r="B3206" s="1" t="n">
        <v>44887</v>
      </c>
      <c r="C3206" s="1" t="n">
        <v>45846</v>
      </c>
      <c r="D3206" t="inlineStr">
        <is>
          <t>UPPSALA LÄN</t>
        </is>
      </c>
      <c r="E3206" t="inlineStr">
        <is>
          <t>UPPSALA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55423-2022</t>
        </is>
      </c>
      <c r="B3207" s="1" t="n">
        <v>44887</v>
      </c>
      <c r="C3207" s="1" t="n">
        <v>45846</v>
      </c>
      <c r="D3207" t="inlineStr">
        <is>
          <t>UPPSALA LÄN</t>
        </is>
      </c>
      <c r="E3207" t="inlineStr">
        <is>
          <t>TIERP</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55508-2022</t>
        </is>
      </c>
      <c r="B3208" s="1" t="n">
        <v>44887</v>
      </c>
      <c r="C3208" s="1" t="n">
        <v>45846</v>
      </c>
      <c r="D3208" t="inlineStr">
        <is>
          <t>UPPSALA LÄN</t>
        </is>
      </c>
      <c r="E3208" t="inlineStr">
        <is>
          <t>TIERP</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55502-2022</t>
        </is>
      </c>
      <c r="B3209" s="1" t="n">
        <v>44887</v>
      </c>
      <c r="C3209" s="1" t="n">
        <v>45846</v>
      </c>
      <c r="D3209" t="inlineStr">
        <is>
          <t>UPPSALA LÄN</t>
        </is>
      </c>
      <c r="E3209" t="inlineStr">
        <is>
          <t>HEBY</t>
        </is>
      </c>
      <c r="G3209" t="n">
        <v>18.4</v>
      </c>
      <c r="H3209" t="n">
        <v>0</v>
      </c>
      <c r="I3209" t="n">
        <v>0</v>
      </c>
      <c r="J3209" t="n">
        <v>0</v>
      </c>
      <c r="K3209" t="n">
        <v>0</v>
      </c>
      <c r="L3209" t="n">
        <v>0</v>
      </c>
      <c r="M3209" t="n">
        <v>0</v>
      </c>
      <c r="N3209" t="n">
        <v>0</v>
      </c>
      <c r="O3209" t="n">
        <v>0</v>
      </c>
      <c r="P3209" t="n">
        <v>0</v>
      </c>
      <c r="Q3209" t="n">
        <v>0</v>
      </c>
      <c r="R3209" s="2" t="inlineStr"/>
    </row>
    <row r="3210" ht="15" customHeight="1">
      <c r="A3210" t="inlineStr">
        <is>
          <t>A 56558-2022</t>
        </is>
      </c>
      <c r="B3210" s="1" t="n">
        <v>44887</v>
      </c>
      <c r="C3210" s="1" t="n">
        <v>45846</v>
      </c>
      <c r="D3210" t="inlineStr">
        <is>
          <t>UPPSALA LÄN</t>
        </is>
      </c>
      <c r="E3210" t="inlineStr">
        <is>
          <t>TIERP</t>
        </is>
      </c>
      <c r="F3210" t="inlineStr">
        <is>
          <t>Bergvik skog väst AB</t>
        </is>
      </c>
      <c r="G3210" t="n">
        <v>20.3</v>
      </c>
      <c r="H3210" t="n">
        <v>0</v>
      </c>
      <c r="I3210" t="n">
        <v>0</v>
      </c>
      <c r="J3210" t="n">
        <v>0</v>
      </c>
      <c r="K3210" t="n">
        <v>0</v>
      </c>
      <c r="L3210" t="n">
        <v>0</v>
      </c>
      <c r="M3210" t="n">
        <v>0</v>
      </c>
      <c r="N3210" t="n">
        <v>0</v>
      </c>
      <c r="O3210" t="n">
        <v>0</v>
      </c>
      <c r="P3210" t="n">
        <v>0</v>
      </c>
      <c r="Q3210" t="n">
        <v>0</v>
      </c>
      <c r="R3210" s="2" t="inlineStr"/>
    </row>
    <row r="3211" ht="15" customHeight="1">
      <c r="A3211" t="inlineStr">
        <is>
          <t>A 55566-2022</t>
        </is>
      </c>
      <c r="B3211" s="1" t="n">
        <v>44888</v>
      </c>
      <c r="C3211" s="1" t="n">
        <v>45846</v>
      </c>
      <c r="D3211" t="inlineStr">
        <is>
          <t>UPPSALA LÄN</t>
        </is>
      </c>
      <c r="E3211" t="inlineStr">
        <is>
          <t>TIERP</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55862-2022</t>
        </is>
      </c>
      <c r="B3212" s="1" t="n">
        <v>44888</v>
      </c>
      <c r="C3212" s="1" t="n">
        <v>45846</v>
      </c>
      <c r="D3212" t="inlineStr">
        <is>
          <t>UPPSALA LÄN</t>
        </is>
      </c>
      <c r="E3212" t="inlineStr">
        <is>
          <t>UPPSALA</t>
        </is>
      </c>
      <c r="F3212" t="inlineStr">
        <is>
          <t>Bergvik skog öst AB</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56884-2022</t>
        </is>
      </c>
      <c r="B3213" s="1" t="n">
        <v>44888</v>
      </c>
      <c r="C3213" s="1" t="n">
        <v>45846</v>
      </c>
      <c r="D3213" t="inlineStr">
        <is>
          <t>UPPSALA LÄN</t>
        </is>
      </c>
      <c r="E3213" t="inlineStr">
        <is>
          <t>HEBY</t>
        </is>
      </c>
      <c r="F3213" t="inlineStr">
        <is>
          <t>Bergvik skog väst AB</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56896-2022</t>
        </is>
      </c>
      <c r="B3214" s="1" t="n">
        <v>44888</v>
      </c>
      <c r="C3214" s="1" t="n">
        <v>45846</v>
      </c>
      <c r="D3214" t="inlineStr">
        <is>
          <t>UPPSALA LÄN</t>
        </is>
      </c>
      <c r="E3214" t="inlineStr">
        <is>
          <t>HEBY</t>
        </is>
      </c>
      <c r="F3214" t="inlineStr">
        <is>
          <t>Bergvik skog väst AB</t>
        </is>
      </c>
      <c r="G3214" t="n">
        <v>1</v>
      </c>
      <c r="H3214" t="n">
        <v>0</v>
      </c>
      <c r="I3214" t="n">
        <v>0</v>
      </c>
      <c r="J3214" t="n">
        <v>0</v>
      </c>
      <c r="K3214" t="n">
        <v>0</v>
      </c>
      <c r="L3214" t="n">
        <v>0</v>
      </c>
      <c r="M3214" t="n">
        <v>0</v>
      </c>
      <c r="N3214" t="n">
        <v>0</v>
      </c>
      <c r="O3214" t="n">
        <v>0</v>
      </c>
      <c r="P3214" t="n">
        <v>0</v>
      </c>
      <c r="Q3214" t="n">
        <v>0</v>
      </c>
      <c r="R3214" s="2" t="inlineStr"/>
      <c r="U3214">
        <f>HYPERLINK("https://klasma.github.io/Logging_0331/knärot/A 56896-2022 karta knärot.png", "A 56896-2022")</f>
        <v/>
      </c>
      <c r="V3214">
        <f>HYPERLINK("https://klasma.github.io/Logging_0331/klagomål/A 56896-2022 FSC-klagomål.docx", "A 56896-2022")</f>
        <v/>
      </c>
      <c r="W3214">
        <f>HYPERLINK("https://klasma.github.io/Logging_0331/klagomålsmail/A 56896-2022 FSC-klagomål mail.docx", "A 56896-2022")</f>
        <v/>
      </c>
      <c r="X3214">
        <f>HYPERLINK("https://klasma.github.io/Logging_0331/tillsyn/A 56896-2022 tillsynsbegäran.docx", "A 56896-2022")</f>
        <v/>
      </c>
      <c r="Y3214">
        <f>HYPERLINK("https://klasma.github.io/Logging_0331/tillsynsmail/A 56896-2022 tillsynsbegäran mail.docx", "A 56896-2022")</f>
        <v/>
      </c>
    </row>
    <row r="3215" ht="15" customHeight="1">
      <c r="A3215" t="inlineStr">
        <is>
          <t>A 56260-2022</t>
        </is>
      </c>
      <c r="B3215" s="1" t="n">
        <v>44890</v>
      </c>
      <c r="C3215" s="1" t="n">
        <v>45846</v>
      </c>
      <c r="D3215" t="inlineStr">
        <is>
          <t>UPPSALA LÄN</t>
        </is>
      </c>
      <c r="E3215" t="inlineStr">
        <is>
          <t>ÖSTHAMMAR</t>
        </is>
      </c>
      <c r="F3215" t="inlineStr">
        <is>
          <t>Bergvik skog öst AB</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56350-2022</t>
        </is>
      </c>
      <c r="B3216" s="1" t="n">
        <v>44890</v>
      </c>
      <c r="C3216" s="1" t="n">
        <v>45846</v>
      </c>
      <c r="D3216" t="inlineStr">
        <is>
          <t>UPPSALA LÄN</t>
        </is>
      </c>
      <c r="E3216" t="inlineStr">
        <is>
          <t>TIERP</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56438-2022</t>
        </is>
      </c>
      <c r="B3217" s="1" t="n">
        <v>44892</v>
      </c>
      <c r="C3217" s="1" t="n">
        <v>45846</v>
      </c>
      <c r="D3217" t="inlineStr">
        <is>
          <t>UPPSALA LÄN</t>
        </is>
      </c>
      <c r="E3217" t="inlineStr">
        <is>
          <t>TIERP</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56545-2022</t>
        </is>
      </c>
      <c r="B3218" s="1" t="n">
        <v>44893</v>
      </c>
      <c r="C3218" s="1" t="n">
        <v>45846</v>
      </c>
      <c r="D3218" t="inlineStr">
        <is>
          <t>UPPSALA LÄN</t>
        </is>
      </c>
      <c r="E3218" t="inlineStr">
        <is>
          <t>HÅBO</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56526-2022</t>
        </is>
      </c>
      <c r="B3219" s="1" t="n">
        <v>44893</v>
      </c>
      <c r="C3219" s="1" t="n">
        <v>45846</v>
      </c>
      <c r="D3219" t="inlineStr">
        <is>
          <t>UPPSALA LÄN</t>
        </is>
      </c>
      <c r="E3219" t="inlineStr">
        <is>
          <t>ENKÖPING</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56679-2022</t>
        </is>
      </c>
      <c r="B3220" s="1" t="n">
        <v>44893</v>
      </c>
      <c r="C3220" s="1" t="n">
        <v>45846</v>
      </c>
      <c r="D3220" t="inlineStr">
        <is>
          <t>UPPSALA LÄN</t>
        </is>
      </c>
      <c r="E3220" t="inlineStr">
        <is>
          <t>UPPSALA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56889-2022</t>
        </is>
      </c>
      <c r="B3221" s="1" t="n">
        <v>44894</v>
      </c>
      <c r="C3221" s="1" t="n">
        <v>45846</v>
      </c>
      <c r="D3221" t="inlineStr">
        <is>
          <t>UPPSALA LÄN</t>
        </is>
      </c>
      <c r="E3221" t="inlineStr">
        <is>
          <t>UPPSALA</t>
        </is>
      </c>
      <c r="F3221" t="inlineStr">
        <is>
          <t>Övriga Aktiebolag</t>
        </is>
      </c>
      <c r="G3221" t="n">
        <v>21.6</v>
      </c>
      <c r="H3221" t="n">
        <v>0</v>
      </c>
      <c r="I3221" t="n">
        <v>0</v>
      </c>
      <c r="J3221" t="n">
        <v>0</v>
      </c>
      <c r="K3221" t="n">
        <v>0</v>
      </c>
      <c r="L3221" t="n">
        <v>0</v>
      </c>
      <c r="M3221" t="n">
        <v>0</v>
      </c>
      <c r="N3221" t="n">
        <v>0</v>
      </c>
      <c r="O3221" t="n">
        <v>0</v>
      </c>
      <c r="P3221" t="n">
        <v>0</v>
      </c>
      <c r="Q3221" t="n">
        <v>0</v>
      </c>
      <c r="R3221" s="2" t="inlineStr"/>
    </row>
    <row r="3222" ht="15" customHeight="1">
      <c r="A3222" t="inlineStr">
        <is>
          <t>A 56966-2022</t>
        </is>
      </c>
      <c r="B3222" s="1" t="n">
        <v>44894</v>
      </c>
      <c r="C3222" s="1" t="n">
        <v>45846</v>
      </c>
      <c r="D3222" t="inlineStr">
        <is>
          <t>UPPSALA LÄN</t>
        </is>
      </c>
      <c r="E3222" t="inlineStr">
        <is>
          <t>TIERP</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56972-2022</t>
        </is>
      </c>
      <c r="B3223" s="1" t="n">
        <v>44894</v>
      </c>
      <c r="C3223" s="1" t="n">
        <v>45846</v>
      </c>
      <c r="D3223" t="inlineStr">
        <is>
          <t>UPPSALA LÄN</t>
        </is>
      </c>
      <c r="E3223" t="inlineStr">
        <is>
          <t>TIERP</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56795-2022</t>
        </is>
      </c>
      <c r="B3224" s="1" t="n">
        <v>44894</v>
      </c>
      <c r="C3224" s="1" t="n">
        <v>45846</v>
      </c>
      <c r="D3224" t="inlineStr">
        <is>
          <t>UPPSALA LÄN</t>
        </is>
      </c>
      <c r="E3224" t="inlineStr">
        <is>
          <t>UPPSALA</t>
        </is>
      </c>
      <c r="F3224" t="inlineStr">
        <is>
          <t>Holmen skog AB</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56779-2022</t>
        </is>
      </c>
      <c r="B3225" s="1" t="n">
        <v>44894</v>
      </c>
      <c r="C3225" s="1" t="n">
        <v>45846</v>
      </c>
      <c r="D3225" t="inlineStr">
        <is>
          <t>UPPSALA LÄN</t>
        </is>
      </c>
      <c r="E3225" t="inlineStr">
        <is>
          <t>UPPSALA</t>
        </is>
      </c>
      <c r="F3225" t="inlineStr">
        <is>
          <t>Holmen skog AB</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56877-2022</t>
        </is>
      </c>
      <c r="B3226" s="1" t="n">
        <v>44894</v>
      </c>
      <c r="C3226" s="1" t="n">
        <v>45846</v>
      </c>
      <c r="D3226" t="inlineStr">
        <is>
          <t>UPPSALA LÄN</t>
        </is>
      </c>
      <c r="E3226" t="inlineStr">
        <is>
          <t>TIERP</t>
        </is>
      </c>
      <c r="F3226" t="inlineStr">
        <is>
          <t>Bergvik skog väst AB</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56947-2022</t>
        </is>
      </c>
      <c r="B3227" s="1" t="n">
        <v>44894</v>
      </c>
      <c r="C3227" s="1" t="n">
        <v>45846</v>
      </c>
      <c r="D3227" t="inlineStr">
        <is>
          <t>UPPSALA LÄN</t>
        </is>
      </c>
      <c r="E3227" t="inlineStr">
        <is>
          <t>TIERP</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56969-2022</t>
        </is>
      </c>
      <c r="B3228" s="1" t="n">
        <v>44894</v>
      </c>
      <c r="C3228" s="1" t="n">
        <v>45846</v>
      </c>
      <c r="D3228" t="inlineStr">
        <is>
          <t>UPPSALA LÄN</t>
        </is>
      </c>
      <c r="E3228" t="inlineStr">
        <is>
          <t>ÖSTHAMMAR</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57462-2022</t>
        </is>
      </c>
      <c r="B3229" s="1" t="n">
        <v>44896</v>
      </c>
      <c r="C3229" s="1" t="n">
        <v>45846</v>
      </c>
      <c r="D3229" t="inlineStr">
        <is>
          <t>UPPSALA LÄN</t>
        </is>
      </c>
      <c r="E3229" t="inlineStr">
        <is>
          <t>ÖSTHAMMAR</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57453-2022</t>
        </is>
      </c>
      <c r="B3230" s="1" t="n">
        <v>44896</v>
      </c>
      <c r="C3230" s="1" t="n">
        <v>45846</v>
      </c>
      <c r="D3230" t="inlineStr">
        <is>
          <t>UPPSALA LÄN</t>
        </is>
      </c>
      <c r="E3230" t="inlineStr">
        <is>
          <t>ÖSTHAMMAR</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57532-2022</t>
        </is>
      </c>
      <c r="B3231" s="1" t="n">
        <v>44896</v>
      </c>
      <c r="C3231" s="1" t="n">
        <v>45846</v>
      </c>
      <c r="D3231" t="inlineStr">
        <is>
          <t>UPPSALA LÄN</t>
        </is>
      </c>
      <c r="E3231" t="inlineStr">
        <is>
          <t>TIERP</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57495-2022</t>
        </is>
      </c>
      <c r="B3232" s="1" t="n">
        <v>44896</v>
      </c>
      <c r="C3232" s="1" t="n">
        <v>45846</v>
      </c>
      <c r="D3232" t="inlineStr">
        <is>
          <t>UPPSALA LÄN</t>
        </is>
      </c>
      <c r="E3232" t="inlineStr">
        <is>
          <t>UPPSALA</t>
        </is>
      </c>
      <c r="G3232" t="n">
        <v>7</v>
      </c>
      <c r="H3232" t="n">
        <v>0</v>
      </c>
      <c r="I3232" t="n">
        <v>0</v>
      </c>
      <c r="J3232" t="n">
        <v>0</v>
      </c>
      <c r="K3232" t="n">
        <v>0</v>
      </c>
      <c r="L3232" t="n">
        <v>0</v>
      </c>
      <c r="M3232" t="n">
        <v>0</v>
      </c>
      <c r="N3232" t="n">
        <v>0</v>
      </c>
      <c r="O3232" t="n">
        <v>0</v>
      </c>
      <c r="P3232" t="n">
        <v>0</v>
      </c>
      <c r="Q3232" t="n">
        <v>0</v>
      </c>
      <c r="R3232" s="2" t="inlineStr"/>
    </row>
    <row r="3233" ht="15" customHeight="1">
      <c r="A3233" t="inlineStr">
        <is>
          <t>A 57536-2022</t>
        </is>
      </c>
      <c r="B3233" s="1" t="n">
        <v>44896</v>
      </c>
      <c r="C3233" s="1" t="n">
        <v>45846</v>
      </c>
      <c r="D3233" t="inlineStr">
        <is>
          <t>UPPSALA LÄN</t>
        </is>
      </c>
      <c r="E3233" t="inlineStr">
        <is>
          <t>TIERP</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57563-2022</t>
        </is>
      </c>
      <c r="B3234" s="1" t="n">
        <v>44896</v>
      </c>
      <c r="C3234" s="1" t="n">
        <v>45846</v>
      </c>
      <c r="D3234" t="inlineStr">
        <is>
          <t>UPPSALA LÄN</t>
        </is>
      </c>
      <c r="E3234" t="inlineStr">
        <is>
          <t>ENKÖPING</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57714-2022</t>
        </is>
      </c>
      <c r="B3235" s="1" t="n">
        <v>44897</v>
      </c>
      <c r="C3235" s="1" t="n">
        <v>45846</v>
      </c>
      <c r="D3235" t="inlineStr">
        <is>
          <t>UPPSALA LÄN</t>
        </is>
      </c>
      <c r="E3235" t="inlineStr">
        <is>
          <t>UPPSALA</t>
        </is>
      </c>
      <c r="G3235" t="n">
        <v>8.9</v>
      </c>
      <c r="H3235" t="n">
        <v>0</v>
      </c>
      <c r="I3235" t="n">
        <v>0</v>
      </c>
      <c r="J3235" t="n">
        <v>0</v>
      </c>
      <c r="K3235" t="n">
        <v>0</v>
      </c>
      <c r="L3235" t="n">
        <v>0</v>
      </c>
      <c r="M3235" t="n">
        <v>0</v>
      </c>
      <c r="N3235" t="n">
        <v>0</v>
      </c>
      <c r="O3235" t="n">
        <v>0</v>
      </c>
      <c r="P3235" t="n">
        <v>0</v>
      </c>
      <c r="Q3235" t="n">
        <v>0</v>
      </c>
      <c r="R3235" s="2" t="inlineStr"/>
    </row>
    <row r="3236" ht="15" customHeight="1">
      <c r="A3236" t="inlineStr">
        <is>
          <t>A 57809-2022</t>
        </is>
      </c>
      <c r="B3236" s="1" t="n">
        <v>44897</v>
      </c>
      <c r="C3236" s="1" t="n">
        <v>45846</v>
      </c>
      <c r="D3236" t="inlineStr">
        <is>
          <t>UPPSALA LÄN</t>
        </is>
      </c>
      <c r="E3236" t="inlineStr">
        <is>
          <t>UPPSALA</t>
        </is>
      </c>
      <c r="G3236" t="n">
        <v>8.9</v>
      </c>
      <c r="H3236" t="n">
        <v>0</v>
      </c>
      <c r="I3236" t="n">
        <v>0</v>
      </c>
      <c r="J3236" t="n">
        <v>0</v>
      </c>
      <c r="K3236" t="n">
        <v>0</v>
      </c>
      <c r="L3236" t="n">
        <v>0</v>
      </c>
      <c r="M3236" t="n">
        <v>0</v>
      </c>
      <c r="N3236" t="n">
        <v>0</v>
      </c>
      <c r="O3236" t="n">
        <v>0</v>
      </c>
      <c r="P3236" t="n">
        <v>0</v>
      </c>
      <c r="Q3236" t="n">
        <v>0</v>
      </c>
      <c r="R3236" s="2" t="inlineStr"/>
    </row>
    <row r="3237" ht="15" customHeight="1">
      <c r="A3237" t="inlineStr">
        <is>
          <t>A 58023-2022</t>
        </is>
      </c>
      <c r="B3237" s="1" t="n">
        <v>44900</v>
      </c>
      <c r="C3237" s="1" t="n">
        <v>45846</v>
      </c>
      <c r="D3237" t="inlineStr">
        <is>
          <t>UPPSALA LÄN</t>
        </is>
      </c>
      <c r="E3237" t="inlineStr">
        <is>
          <t>UPPSALA</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58096-2022</t>
        </is>
      </c>
      <c r="B3238" s="1" t="n">
        <v>44900</v>
      </c>
      <c r="C3238" s="1" t="n">
        <v>45846</v>
      </c>
      <c r="D3238" t="inlineStr">
        <is>
          <t>UPPSALA LÄN</t>
        </is>
      </c>
      <c r="E3238" t="inlineStr">
        <is>
          <t>UPPSALA</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57940-2022</t>
        </is>
      </c>
      <c r="B3239" s="1" t="n">
        <v>44900</v>
      </c>
      <c r="C3239" s="1" t="n">
        <v>45846</v>
      </c>
      <c r="D3239" t="inlineStr">
        <is>
          <t>UPPSALA LÄN</t>
        </is>
      </c>
      <c r="E3239" t="inlineStr">
        <is>
          <t>ENKÖPING</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58120-2022</t>
        </is>
      </c>
      <c r="B3240" s="1" t="n">
        <v>44900</v>
      </c>
      <c r="C3240" s="1" t="n">
        <v>45846</v>
      </c>
      <c r="D3240" t="inlineStr">
        <is>
          <t>UPPSALA LÄN</t>
        </is>
      </c>
      <c r="E3240" t="inlineStr">
        <is>
          <t>TIERP</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58127-2022</t>
        </is>
      </c>
      <c r="B3241" s="1" t="n">
        <v>44900</v>
      </c>
      <c r="C3241" s="1" t="n">
        <v>45846</v>
      </c>
      <c r="D3241" t="inlineStr">
        <is>
          <t>UPPSALA LÄN</t>
        </is>
      </c>
      <c r="E3241" t="inlineStr">
        <is>
          <t>ÖSTHAMMAR</t>
        </is>
      </c>
      <c r="F3241" t="inlineStr">
        <is>
          <t>Bergvik skog öst AB</t>
        </is>
      </c>
      <c r="G3241" t="n">
        <v>6.4</v>
      </c>
      <c r="H3241" t="n">
        <v>0</v>
      </c>
      <c r="I3241" t="n">
        <v>0</v>
      </c>
      <c r="J3241" t="n">
        <v>0</v>
      </c>
      <c r="K3241" t="n">
        <v>0</v>
      </c>
      <c r="L3241" t="n">
        <v>0</v>
      </c>
      <c r="M3241" t="n">
        <v>0</v>
      </c>
      <c r="N3241" t="n">
        <v>0</v>
      </c>
      <c r="O3241" t="n">
        <v>0</v>
      </c>
      <c r="P3241" t="n">
        <v>0</v>
      </c>
      <c r="Q3241" t="n">
        <v>0</v>
      </c>
      <c r="R3241" s="2" t="inlineStr"/>
    </row>
    <row r="3242" ht="15" customHeight="1">
      <c r="A3242" t="inlineStr">
        <is>
          <t>A 58058-2022</t>
        </is>
      </c>
      <c r="B3242" s="1" t="n">
        <v>44900</v>
      </c>
      <c r="C3242" s="1" t="n">
        <v>45846</v>
      </c>
      <c r="D3242" t="inlineStr">
        <is>
          <t>UPPSALA LÄN</t>
        </is>
      </c>
      <c r="E3242" t="inlineStr">
        <is>
          <t>TIERP</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58080-2022</t>
        </is>
      </c>
      <c r="B3243" s="1" t="n">
        <v>44900</v>
      </c>
      <c r="C3243" s="1" t="n">
        <v>45846</v>
      </c>
      <c r="D3243" t="inlineStr">
        <is>
          <t>UPPSALA LÄN</t>
        </is>
      </c>
      <c r="E3243" t="inlineStr">
        <is>
          <t>TIERP</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58124-2022</t>
        </is>
      </c>
      <c r="B3244" s="1" t="n">
        <v>44900</v>
      </c>
      <c r="C3244" s="1" t="n">
        <v>45846</v>
      </c>
      <c r="D3244" t="inlineStr">
        <is>
          <t>UPPSALA LÄN</t>
        </is>
      </c>
      <c r="E3244" t="inlineStr">
        <is>
          <t>HEBY</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58367-2022</t>
        </is>
      </c>
      <c r="B3245" s="1" t="n">
        <v>44901</v>
      </c>
      <c r="C3245" s="1" t="n">
        <v>45846</v>
      </c>
      <c r="D3245" t="inlineStr">
        <is>
          <t>UPPSALA LÄN</t>
        </is>
      </c>
      <c r="E3245" t="inlineStr">
        <is>
          <t>ÖSTHAMMAR</t>
        </is>
      </c>
      <c r="F3245" t="inlineStr">
        <is>
          <t>Bergvik skog öst AB</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58222-2022</t>
        </is>
      </c>
      <c r="B3246" s="1" t="n">
        <v>44901</v>
      </c>
      <c r="C3246" s="1" t="n">
        <v>45846</v>
      </c>
      <c r="D3246" t="inlineStr">
        <is>
          <t>UPPSALA LÄN</t>
        </is>
      </c>
      <c r="E3246" t="inlineStr">
        <is>
          <t>TIERP</t>
        </is>
      </c>
      <c r="F3246" t="inlineStr">
        <is>
          <t>Bergvik skog väst AB</t>
        </is>
      </c>
      <c r="G3246" t="n">
        <v>6.1</v>
      </c>
      <c r="H3246" t="n">
        <v>0</v>
      </c>
      <c r="I3246" t="n">
        <v>0</v>
      </c>
      <c r="J3246" t="n">
        <v>0</v>
      </c>
      <c r="K3246" t="n">
        <v>0</v>
      </c>
      <c r="L3246" t="n">
        <v>0</v>
      </c>
      <c r="M3246" t="n">
        <v>0</v>
      </c>
      <c r="N3246" t="n">
        <v>0</v>
      </c>
      <c r="O3246" t="n">
        <v>0</v>
      </c>
      <c r="P3246" t="n">
        <v>0</v>
      </c>
      <c r="Q3246" t="n">
        <v>0</v>
      </c>
      <c r="R3246" s="2" t="inlineStr"/>
    </row>
    <row r="3247" ht="15" customHeight="1">
      <c r="A3247" t="inlineStr">
        <is>
          <t>A 58384-2022</t>
        </is>
      </c>
      <c r="B3247" s="1" t="n">
        <v>44901</v>
      </c>
      <c r="C3247" s="1" t="n">
        <v>45846</v>
      </c>
      <c r="D3247" t="inlineStr">
        <is>
          <t>UPPSALA LÄN</t>
        </is>
      </c>
      <c r="E3247" t="inlineStr">
        <is>
          <t>ENKÖPING</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58243-2022</t>
        </is>
      </c>
      <c r="B3248" s="1" t="n">
        <v>44901</v>
      </c>
      <c r="C3248" s="1" t="n">
        <v>45846</v>
      </c>
      <c r="D3248" t="inlineStr">
        <is>
          <t>UPPSALA LÄN</t>
        </is>
      </c>
      <c r="E3248" t="inlineStr">
        <is>
          <t>UPPSALA</t>
        </is>
      </c>
      <c r="F3248" t="inlineStr">
        <is>
          <t>Sveaskog</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58412-2022</t>
        </is>
      </c>
      <c r="B3249" s="1" t="n">
        <v>44901</v>
      </c>
      <c r="C3249" s="1" t="n">
        <v>45846</v>
      </c>
      <c r="D3249" t="inlineStr">
        <is>
          <t>UPPSALA LÄN</t>
        </is>
      </c>
      <c r="E3249" t="inlineStr">
        <is>
          <t>HEBY</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58410-2022</t>
        </is>
      </c>
      <c r="B3250" s="1" t="n">
        <v>44901</v>
      </c>
      <c r="C3250" s="1" t="n">
        <v>45846</v>
      </c>
      <c r="D3250" t="inlineStr">
        <is>
          <t>UPPSALA LÄN</t>
        </is>
      </c>
      <c r="E3250" t="inlineStr">
        <is>
          <t>HEBY</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58691-2022</t>
        </is>
      </c>
      <c r="B3251" s="1" t="n">
        <v>44902</v>
      </c>
      <c r="C3251" s="1" t="n">
        <v>45846</v>
      </c>
      <c r="D3251" t="inlineStr">
        <is>
          <t>UPPSALA LÄN</t>
        </is>
      </c>
      <c r="E3251" t="inlineStr">
        <is>
          <t>TIERP</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58878-2022</t>
        </is>
      </c>
      <c r="B3252" s="1" t="n">
        <v>44903</v>
      </c>
      <c r="C3252" s="1" t="n">
        <v>45846</v>
      </c>
      <c r="D3252" t="inlineStr">
        <is>
          <t>UPPSALA LÄN</t>
        </is>
      </c>
      <c r="E3252" t="inlineStr">
        <is>
          <t>ÖSTHAMMAR</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58957-2022</t>
        </is>
      </c>
      <c r="B3253" s="1" t="n">
        <v>44903</v>
      </c>
      <c r="C3253" s="1" t="n">
        <v>45846</v>
      </c>
      <c r="D3253" t="inlineStr">
        <is>
          <t>UPPSALA LÄN</t>
        </is>
      </c>
      <c r="E3253" t="inlineStr">
        <is>
          <t>TIERP</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59015-2022</t>
        </is>
      </c>
      <c r="B3254" s="1" t="n">
        <v>44903</v>
      </c>
      <c r="C3254" s="1" t="n">
        <v>45846</v>
      </c>
      <c r="D3254" t="inlineStr">
        <is>
          <t>UPPSALA LÄN</t>
        </is>
      </c>
      <c r="E3254" t="inlineStr">
        <is>
          <t>HEBY</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60258-2022</t>
        </is>
      </c>
      <c r="B3255" s="1" t="n">
        <v>44903</v>
      </c>
      <c r="C3255" s="1" t="n">
        <v>45846</v>
      </c>
      <c r="D3255" t="inlineStr">
        <is>
          <t>UPPSALA LÄN</t>
        </is>
      </c>
      <c r="E3255" t="inlineStr">
        <is>
          <t>ÖSTHAMMAR</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59190-2022</t>
        </is>
      </c>
      <c r="B3256" s="1" t="n">
        <v>44904</v>
      </c>
      <c r="C3256" s="1" t="n">
        <v>45846</v>
      </c>
      <c r="D3256" t="inlineStr">
        <is>
          <t>UPPSALA LÄN</t>
        </is>
      </c>
      <c r="E3256" t="inlineStr">
        <is>
          <t>ENKÖPING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59200-2022</t>
        </is>
      </c>
      <c r="B3257" s="1" t="n">
        <v>44904</v>
      </c>
      <c r="C3257" s="1" t="n">
        <v>45846</v>
      </c>
      <c r="D3257" t="inlineStr">
        <is>
          <t>UPPSALA LÄN</t>
        </is>
      </c>
      <c r="E3257" t="inlineStr">
        <is>
          <t>ENKÖPING</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59337-2022</t>
        </is>
      </c>
      <c r="B3258" s="1" t="n">
        <v>44904</v>
      </c>
      <c r="C3258" s="1" t="n">
        <v>45846</v>
      </c>
      <c r="D3258" t="inlineStr">
        <is>
          <t>UPPSALA LÄN</t>
        </is>
      </c>
      <c r="E3258" t="inlineStr">
        <is>
          <t>ENKÖPING</t>
        </is>
      </c>
      <c r="G3258" t="n">
        <v>8.4</v>
      </c>
      <c r="H3258" t="n">
        <v>0</v>
      </c>
      <c r="I3258" t="n">
        <v>0</v>
      </c>
      <c r="J3258" t="n">
        <v>0</v>
      </c>
      <c r="K3258" t="n">
        <v>0</v>
      </c>
      <c r="L3258" t="n">
        <v>0</v>
      </c>
      <c r="M3258" t="n">
        <v>0</v>
      </c>
      <c r="N3258" t="n">
        <v>0</v>
      </c>
      <c r="O3258" t="n">
        <v>0</v>
      </c>
      <c r="P3258" t="n">
        <v>0</v>
      </c>
      <c r="Q3258" t="n">
        <v>0</v>
      </c>
      <c r="R3258" s="2" t="inlineStr"/>
    </row>
    <row r="3259" ht="15" customHeight="1">
      <c r="A3259" t="inlineStr">
        <is>
          <t>A 59203-2022</t>
        </is>
      </c>
      <c r="B3259" s="1" t="n">
        <v>44904</v>
      </c>
      <c r="C3259" s="1" t="n">
        <v>45846</v>
      </c>
      <c r="D3259" t="inlineStr">
        <is>
          <t>UPPSALA LÄN</t>
        </is>
      </c>
      <c r="E3259" t="inlineStr">
        <is>
          <t>ENKÖPING</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59344-2022</t>
        </is>
      </c>
      <c r="B3260" s="1" t="n">
        <v>44904</v>
      </c>
      <c r="C3260" s="1" t="n">
        <v>45846</v>
      </c>
      <c r="D3260" t="inlineStr">
        <is>
          <t>UPPSALA LÄN</t>
        </is>
      </c>
      <c r="E3260" t="inlineStr">
        <is>
          <t>ENKÖPING</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59133-2022</t>
        </is>
      </c>
      <c r="B3261" s="1" t="n">
        <v>44904</v>
      </c>
      <c r="C3261" s="1" t="n">
        <v>45846</v>
      </c>
      <c r="D3261" t="inlineStr">
        <is>
          <t>UPPSALA LÄN</t>
        </is>
      </c>
      <c r="E3261" t="inlineStr">
        <is>
          <t>UPPSALA</t>
        </is>
      </c>
      <c r="F3261" t="inlineStr">
        <is>
          <t>Sveaskog</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59345-2022</t>
        </is>
      </c>
      <c r="B3262" s="1" t="n">
        <v>44904</v>
      </c>
      <c r="C3262" s="1" t="n">
        <v>45846</v>
      </c>
      <c r="D3262" t="inlineStr">
        <is>
          <t>UPPSALA LÄN</t>
        </is>
      </c>
      <c r="E3262" t="inlineStr">
        <is>
          <t>ENKÖPING</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59382-2022</t>
        </is>
      </c>
      <c r="B3263" s="1" t="n">
        <v>44905</v>
      </c>
      <c r="C3263" s="1" t="n">
        <v>45846</v>
      </c>
      <c r="D3263" t="inlineStr">
        <is>
          <t>UPPSALA LÄN</t>
        </is>
      </c>
      <c r="E3263" t="inlineStr">
        <is>
          <t>ÖSTHAMMAR</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59393-2022</t>
        </is>
      </c>
      <c r="B3264" s="1" t="n">
        <v>44906</v>
      </c>
      <c r="C3264" s="1" t="n">
        <v>45846</v>
      </c>
      <c r="D3264" t="inlineStr">
        <is>
          <t>UPPSALA LÄN</t>
        </is>
      </c>
      <c r="E3264" t="inlineStr">
        <is>
          <t>TIERP</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59394-2022</t>
        </is>
      </c>
      <c r="B3265" s="1" t="n">
        <v>44906</v>
      </c>
      <c r="C3265" s="1" t="n">
        <v>45846</v>
      </c>
      <c r="D3265" t="inlineStr">
        <is>
          <t>UPPSALA LÄN</t>
        </is>
      </c>
      <c r="E3265" t="inlineStr">
        <is>
          <t>TIERP</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59444-2022</t>
        </is>
      </c>
      <c r="B3266" s="1" t="n">
        <v>44907</v>
      </c>
      <c r="C3266" s="1" t="n">
        <v>45846</v>
      </c>
      <c r="D3266" t="inlineStr">
        <is>
          <t>UPPSALA LÄN</t>
        </is>
      </c>
      <c r="E3266" t="inlineStr">
        <is>
          <t>HEBY</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59563-2022</t>
        </is>
      </c>
      <c r="B3267" s="1" t="n">
        <v>44907</v>
      </c>
      <c r="C3267" s="1" t="n">
        <v>45846</v>
      </c>
      <c r="D3267" t="inlineStr">
        <is>
          <t>UPPSALA LÄN</t>
        </is>
      </c>
      <c r="E3267" t="inlineStr">
        <is>
          <t>ÖSTHAMMAR</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59534-2022</t>
        </is>
      </c>
      <c r="B3268" s="1" t="n">
        <v>44907</v>
      </c>
      <c r="C3268" s="1" t="n">
        <v>45846</v>
      </c>
      <c r="D3268" t="inlineStr">
        <is>
          <t>UPPSALA LÄN</t>
        </is>
      </c>
      <c r="E3268" t="inlineStr">
        <is>
          <t>TIERP</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59609-2022</t>
        </is>
      </c>
      <c r="B3269" s="1" t="n">
        <v>44907</v>
      </c>
      <c r="C3269" s="1" t="n">
        <v>45846</v>
      </c>
      <c r="D3269" t="inlineStr">
        <is>
          <t>UPPSALA LÄN</t>
        </is>
      </c>
      <c r="E3269" t="inlineStr">
        <is>
          <t>ENKÖPING</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59608-2022</t>
        </is>
      </c>
      <c r="B3270" s="1" t="n">
        <v>44907</v>
      </c>
      <c r="C3270" s="1" t="n">
        <v>45846</v>
      </c>
      <c r="D3270" t="inlineStr">
        <is>
          <t>UPPSALA LÄN</t>
        </is>
      </c>
      <c r="E3270" t="inlineStr">
        <is>
          <t>ENKÖPING</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59602-2022</t>
        </is>
      </c>
      <c r="B3271" s="1" t="n">
        <v>44907</v>
      </c>
      <c r="C3271" s="1" t="n">
        <v>45846</v>
      </c>
      <c r="D3271" t="inlineStr">
        <is>
          <t>UPPSALA LÄN</t>
        </is>
      </c>
      <c r="E3271" t="inlineStr">
        <is>
          <t>ENKÖPING</t>
        </is>
      </c>
      <c r="G3271" t="n">
        <v>14.2</v>
      </c>
      <c r="H3271" t="n">
        <v>0</v>
      </c>
      <c r="I3271" t="n">
        <v>0</v>
      </c>
      <c r="J3271" t="n">
        <v>0</v>
      </c>
      <c r="K3271" t="n">
        <v>0</v>
      </c>
      <c r="L3271" t="n">
        <v>0</v>
      </c>
      <c r="M3271" t="n">
        <v>0</v>
      </c>
      <c r="N3271" t="n">
        <v>0</v>
      </c>
      <c r="O3271" t="n">
        <v>0</v>
      </c>
      <c r="P3271" t="n">
        <v>0</v>
      </c>
      <c r="Q3271" t="n">
        <v>0</v>
      </c>
      <c r="R3271" s="2" t="inlineStr"/>
    </row>
    <row r="3272" ht="15" customHeight="1">
      <c r="A3272" t="inlineStr">
        <is>
          <t>A 59589-2022</t>
        </is>
      </c>
      <c r="B3272" s="1" t="n">
        <v>44907</v>
      </c>
      <c r="C3272" s="1" t="n">
        <v>45846</v>
      </c>
      <c r="D3272" t="inlineStr">
        <is>
          <t>UPPSALA LÄN</t>
        </is>
      </c>
      <c r="E3272" t="inlineStr">
        <is>
          <t>TIERP</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59610-2022</t>
        </is>
      </c>
      <c r="B3273" s="1" t="n">
        <v>44907</v>
      </c>
      <c r="C3273" s="1" t="n">
        <v>45846</v>
      </c>
      <c r="D3273" t="inlineStr">
        <is>
          <t>UPPSALA LÄN</t>
        </is>
      </c>
      <c r="E3273" t="inlineStr">
        <is>
          <t>ENKÖPING</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59730-2022</t>
        </is>
      </c>
      <c r="B3274" s="1" t="n">
        <v>44908</v>
      </c>
      <c r="C3274" s="1" t="n">
        <v>45846</v>
      </c>
      <c r="D3274" t="inlineStr">
        <is>
          <t>UPPSALA LÄN</t>
        </is>
      </c>
      <c r="E3274" t="inlineStr">
        <is>
          <t>UPPSALA</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59719-2022</t>
        </is>
      </c>
      <c r="B3275" s="1" t="n">
        <v>44908</v>
      </c>
      <c r="C3275" s="1" t="n">
        <v>45846</v>
      </c>
      <c r="D3275" t="inlineStr">
        <is>
          <t>UPPSALA LÄN</t>
        </is>
      </c>
      <c r="E3275" t="inlineStr">
        <is>
          <t>UPPSALA</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59727-2022</t>
        </is>
      </c>
      <c r="B3276" s="1" t="n">
        <v>44908</v>
      </c>
      <c r="C3276" s="1" t="n">
        <v>45846</v>
      </c>
      <c r="D3276" t="inlineStr">
        <is>
          <t>UPPSALA LÄN</t>
        </is>
      </c>
      <c r="E3276" t="inlineStr">
        <is>
          <t>UPPSALA</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59731-2022</t>
        </is>
      </c>
      <c r="B3277" s="1" t="n">
        <v>44908</v>
      </c>
      <c r="C3277" s="1" t="n">
        <v>45846</v>
      </c>
      <c r="D3277" t="inlineStr">
        <is>
          <t>UPPSALA LÄN</t>
        </is>
      </c>
      <c r="E3277" t="inlineStr">
        <is>
          <t>TIERP</t>
        </is>
      </c>
      <c r="F3277" t="inlineStr">
        <is>
          <t>Kyrkan</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59880-2022</t>
        </is>
      </c>
      <c r="B3278" s="1" t="n">
        <v>44908</v>
      </c>
      <c r="C3278" s="1" t="n">
        <v>45846</v>
      </c>
      <c r="D3278" t="inlineStr">
        <is>
          <t>UPPSALA LÄN</t>
        </is>
      </c>
      <c r="E3278" t="inlineStr">
        <is>
          <t>ÖSTHAMMAR</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60056-2022</t>
        </is>
      </c>
      <c r="B3279" s="1" t="n">
        <v>44909</v>
      </c>
      <c r="C3279" s="1" t="n">
        <v>45846</v>
      </c>
      <c r="D3279" t="inlineStr">
        <is>
          <t>UPPSALA LÄN</t>
        </is>
      </c>
      <c r="E3279" t="inlineStr">
        <is>
          <t>UPPSALA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60154-2022</t>
        </is>
      </c>
      <c r="B3280" s="1" t="n">
        <v>44909</v>
      </c>
      <c r="C3280" s="1" t="n">
        <v>45846</v>
      </c>
      <c r="D3280" t="inlineStr">
        <is>
          <t>UPPSALA LÄN</t>
        </is>
      </c>
      <c r="E3280" t="inlineStr">
        <is>
          <t>TIERP</t>
        </is>
      </c>
      <c r="G3280" t="n">
        <v>6</v>
      </c>
      <c r="H3280" t="n">
        <v>0</v>
      </c>
      <c r="I3280" t="n">
        <v>0</v>
      </c>
      <c r="J3280" t="n">
        <v>0</v>
      </c>
      <c r="K3280" t="n">
        <v>0</v>
      </c>
      <c r="L3280" t="n">
        <v>0</v>
      </c>
      <c r="M3280" t="n">
        <v>0</v>
      </c>
      <c r="N3280" t="n">
        <v>0</v>
      </c>
      <c r="O3280" t="n">
        <v>0</v>
      </c>
      <c r="P3280" t="n">
        <v>0</v>
      </c>
      <c r="Q3280" t="n">
        <v>0</v>
      </c>
      <c r="R3280" s="2" t="inlineStr"/>
    </row>
    <row r="3281" ht="15" customHeight="1">
      <c r="A3281" t="inlineStr">
        <is>
          <t>A 60047-2022</t>
        </is>
      </c>
      <c r="B3281" s="1" t="n">
        <v>44909</v>
      </c>
      <c r="C3281" s="1" t="n">
        <v>45846</v>
      </c>
      <c r="D3281" t="inlineStr">
        <is>
          <t>UPPSALA LÄN</t>
        </is>
      </c>
      <c r="E3281" t="inlineStr">
        <is>
          <t>UPPSALA</t>
        </is>
      </c>
      <c r="F3281" t="inlineStr">
        <is>
          <t>Kyrkan</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60079-2022</t>
        </is>
      </c>
      <c r="B3282" s="1" t="n">
        <v>44909</v>
      </c>
      <c r="C3282" s="1" t="n">
        <v>45846</v>
      </c>
      <c r="D3282" t="inlineStr">
        <is>
          <t>UPPSALA LÄN</t>
        </is>
      </c>
      <c r="E3282" t="inlineStr">
        <is>
          <t>ÖSTHAMMAR</t>
        </is>
      </c>
      <c r="G3282" t="n">
        <v>9.6</v>
      </c>
      <c r="H3282" t="n">
        <v>0</v>
      </c>
      <c r="I3282" t="n">
        <v>0</v>
      </c>
      <c r="J3282" t="n">
        <v>0</v>
      </c>
      <c r="K3282" t="n">
        <v>0</v>
      </c>
      <c r="L3282" t="n">
        <v>0</v>
      </c>
      <c r="M3282" t="n">
        <v>0</v>
      </c>
      <c r="N3282" t="n">
        <v>0</v>
      </c>
      <c r="O3282" t="n">
        <v>0</v>
      </c>
      <c r="P3282" t="n">
        <v>0</v>
      </c>
      <c r="Q3282" t="n">
        <v>0</v>
      </c>
      <c r="R3282" s="2" t="inlineStr"/>
    </row>
    <row r="3283" ht="15" customHeight="1">
      <c r="A3283" t="inlineStr">
        <is>
          <t>A 59963-2022</t>
        </is>
      </c>
      <c r="B3283" s="1" t="n">
        <v>44909</v>
      </c>
      <c r="C3283" s="1" t="n">
        <v>45846</v>
      </c>
      <c r="D3283" t="inlineStr">
        <is>
          <t>UPPSALA LÄN</t>
        </is>
      </c>
      <c r="E3283" t="inlineStr">
        <is>
          <t>HEBY</t>
        </is>
      </c>
      <c r="F3283" t="inlineStr">
        <is>
          <t>Allmännings- och besparingsskogar</t>
        </is>
      </c>
      <c r="G3283" t="n">
        <v>12.6</v>
      </c>
      <c r="H3283" t="n">
        <v>0</v>
      </c>
      <c r="I3283" t="n">
        <v>0</v>
      </c>
      <c r="J3283" t="n">
        <v>0</v>
      </c>
      <c r="K3283" t="n">
        <v>0</v>
      </c>
      <c r="L3283" t="n">
        <v>0</v>
      </c>
      <c r="M3283" t="n">
        <v>0</v>
      </c>
      <c r="N3283" t="n">
        <v>0</v>
      </c>
      <c r="O3283" t="n">
        <v>0</v>
      </c>
      <c r="P3283" t="n">
        <v>0</v>
      </c>
      <c r="Q3283" t="n">
        <v>0</v>
      </c>
      <c r="R3283" s="2" t="inlineStr"/>
    </row>
    <row r="3284" ht="15" customHeight="1">
      <c r="A3284" t="inlineStr">
        <is>
          <t>A 60132-2022</t>
        </is>
      </c>
      <c r="B3284" s="1" t="n">
        <v>44909</v>
      </c>
      <c r="C3284" s="1" t="n">
        <v>45846</v>
      </c>
      <c r="D3284" t="inlineStr">
        <is>
          <t>UPPSALA LÄN</t>
        </is>
      </c>
      <c r="E3284" t="inlineStr">
        <is>
          <t>ENKÖPING</t>
        </is>
      </c>
      <c r="F3284" t="inlineStr">
        <is>
          <t>Allmännings- och besparingsskogar</t>
        </is>
      </c>
      <c r="G3284" t="n">
        <v>5.4</v>
      </c>
      <c r="H3284" t="n">
        <v>0</v>
      </c>
      <c r="I3284" t="n">
        <v>0</v>
      </c>
      <c r="J3284" t="n">
        <v>0</v>
      </c>
      <c r="K3284" t="n">
        <v>0</v>
      </c>
      <c r="L3284" t="n">
        <v>0</v>
      </c>
      <c r="M3284" t="n">
        <v>0</v>
      </c>
      <c r="N3284" t="n">
        <v>0</v>
      </c>
      <c r="O3284" t="n">
        <v>0</v>
      </c>
      <c r="P3284" t="n">
        <v>0</v>
      </c>
      <c r="Q3284" t="n">
        <v>0</v>
      </c>
      <c r="R3284" s="2" t="inlineStr"/>
    </row>
    <row r="3285" ht="15" customHeight="1">
      <c r="A3285" t="inlineStr">
        <is>
          <t>A 60151-2022</t>
        </is>
      </c>
      <c r="B3285" s="1" t="n">
        <v>44909</v>
      </c>
      <c r="C3285" s="1" t="n">
        <v>45846</v>
      </c>
      <c r="D3285" t="inlineStr">
        <is>
          <t>UPPSALA LÄN</t>
        </is>
      </c>
      <c r="E3285" t="inlineStr">
        <is>
          <t>TIERP</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59968-2022</t>
        </is>
      </c>
      <c r="B3286" s="1" t="n">
        <v>44909</v>
      </c>
      <c r="C3286" s="1" t="n">
        <v>45846</v>
      </c>
      <c r="D3286" t="inlineStr">
        <is>
          <t>UPPSALA LÄN</t>
        </is>
      </c>
      <c r="E3286" t="inlineStr">
        <is>
          <t>HEBY</t>
        </is>
      </c>
      <c r="F3286" t="inlineStr">
        <is>
          <t>Allmännings- och besparingsskogar</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60289-2022</t>
        </is>
      </c>
      <c r="B3287" s="1" t="n">
        <v>44910</v>
      </c>
      <c r="C3287" s="1" t="n">
        <v>45846</v>
      </c>
      <c r="D3287" t="inlineStr">
        <is>
          <t>UPPSALA LÄN</t>
        </is>
      </c>
      <c r="E3287" t="inlineStr">
        <is>
          <t>ENKÖPING</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60350-2022</t>
        </is>
      </c>
      <c r="B3288" s="1" t="n">
        <v>44910</v>
      </c>
      <c r="C3288" s="1" t="n">
        <v>45846</v>
      </c>
      <c r="D3288" t="inlineStr">
        <is>
          <t>UPPSALA LÄN</t>
        </is>
      </c>
      <c r="E3288" t="inlineStr">
        <is>
          <t>ENKÖPING</t>
        </is>
      </c>
      <c r="F3288" t="inlineStr">
        <is>
          <t>Allmännings- och besparingsskogar</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61434-2022</t>
        </is>
      </c>
      <c r="B3289" s="1" t="n">
        <v>44910</v>
      </c>
      <c r="C3289" s="1" t="n">
        <v>45846</v>
      </c>
      <c r="D3289" t="inlineStr">
        <is>
          <t>UPPSALA LÄN</t>
        </is>
      </c>
      <c r="E3289" t="inlineStr">
        <is>
          <t>HEBY</t>
        </is>
      </c>
      <c r="F3289" t="inlineStr">
        <is>
          <t>Bergvik skog väst AB</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60456-2022</t>
        </is>
      </c>
      <c r="B3290" s="1" t="n">
        <v>44911</v>
      </c>
      <c r="C3290" s="1" t="n">
        <v>45846</v>
      </c>
      <c r="D3290" t="inlineStr">
        <is>
          <t>UPPSALA LÄN</t>
        </is>
      </c>
      <c r="E3290" t="inlineStr">
        <is>
          <t>HEBY</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60478-2022</t>
        </is>
      </c>
      <c r="B3291" s="1" t="n">
        <v>44911</v>
      </c>
      <c r="C3291" s="1" t="n">
        <v>45846</v>
      </c>
      <c r="D3291" t="inlineStr">
        <is>
          <t>UPPSALA LÄN</t>
        </is>
      </c>
      <c r="E3291" t="inlineStr">
        <is>
          <t>ENKÖPING</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60552-2022</t>
        </is>
      </c>
      <c r="B3292" s="1" t="n">
        <v>44911</v>
      </c>
      <c r="C3292" s="1" t="n">
        <v>45846</v>
      </c>
      <c r="D3292" t="inlineStr">
        <is>
          <t>UPPSALA LÄN</t>
        </is>
      </c>
      <c r="E3292" t="inlineStr">
        <is>
          <t>HEBY</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60461-2022</t>
        </is>
      </c>
      <c r="B3293" s="1" t="n">
        <v>44911</v>
      </c>
      <c r="C3293" s="1" t="n">
        <v>45846</v>
      </c>
      <c r="D3293" t="inlineStr">
        <is>
          <t>UPPSALA LÄN</t>
        </is>
      </c>
      <c r="E3293" t="inlineStr">
        <is>
          <t>HEBY</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60597-2022</t>
        </is>
      </c>
      <c r="B3294" s="1" t="n">
        <v>44911</v>
      </c>
      <c r="C3294" s="1" t="n">
        <v>45846</v>
      </c>
      <c r="D3294" t="inlineStr">
        <is>
          <t>UPPSALA LÄN</t>
        </is>
      </c>
      <c r="E3294" t="inlineStr">
        <is>
          <t>ÖSTHAMMAR</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60505-2022</t>
        </is>
      </c>
      <c r="B3295" s="1" t="n">
        <v>44911</v>
      </c>
      <c r="C3295" s="1" t="n">
        <v>45846</v>
      </c>
      <c r="D3295" t="inlineStr">
        <is>
          <t>UPPSALA LÄN</t>
        </is>
      </c>
      <c r="E3295" t="inlineStr">
        <is>
          <t>TIERP</t>
        </is>
      </c>
      <c r="F3295" t="inlineStr">
        <is>
          <t>Bergvik skog öst AB</t>
        </is>
      </c>
      <c r="G3295" t="n">
        <v>8</v>
      </c>
      <c r="H3295" t="n">
        <v>0</v>
      </c>
      <c r="I3295" t="n">
        <v>0</v>
      </c>
      <c r="J3295" t="n">
        <v>0</v>
      </c>
      <c r="K3295" t="n">
        <v>0</v>
      </c>
      <c r="L3295" t="n">
        <v>0</v>
      </c>
      <c r="M3295" t="n">
        <v>0</v>
      </c>
      <c r="N3295" t="n">
        <v>0</v>
      </c>
      <c r="O3295" t="n">
        <v>0</v>
      </c>
      <c r="P3295" t="n">
        <v>0</v>
      </c>
      <c r="Q3295" t="n">
        <v>0</v>
      </c>
      <c r="R3295" s="2" t="inlineStr"/>
    </row>
    <row r="3296" ht="15" customHeight="1">
      <c r="A3296" t="inlineStr">
        <is>
          <t>A 60702-2022</t>
        </is>
      </c>
      <c r="B3296" s="1" t="n">
        <v>44912</v>
      </c>
      <c r="C3296" s="1" t="n">
        <v>45846</v>
      </c>
      <c r="D3296" t="inlineStr">
        <is>
          <t>UPPSALA LÄN</t>
        </is>
      </c>
      <c r="E3296" t="inlineStr">
        <is>
          <t>UPPSALA</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60701-2022</t>
        </is>
      </c>
      <c r="B3297" s="1" t="n">
        <v>44912</v>
      </c>
      <c r="C3297" s="1" t="n">
        <v>45846</v>
      </c>
      <c r="D3297" t="inlineStr">
        <is>
          <t>UPPSALA LÄN</t>
        </is>
      </c>
      <c r="E3297" t="inlineStr">
        <is>
          <t>UPPSALA</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60722-2022</t>
        </is>
      </c>
      <c r="B3298" s="1" t="n">
        <v>44913</v>
      </c>
      <c r="C3298" s="1" t="n">
        <v>45846</v>
      </c>
      <c r="D3298" t="inlineStr">
        <is>
          <t>UPPSALA LÄN</t>
        </is>
      </c>
      <c r="E3298" t="inlineStr">
        <is>
          <t>HEBY</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60788-2022</t>
        </is>
      </c>
      <c r="B3299" s="1" t="n">
        <v>44914</v>
      </c>
      <c r="C3299" s="1" t="n">
        <v>45846</v>
      </c>
      <c r="D3299" t="inlineStr">
        <is>
          <t>UPPSALA LÄN</t>
        </is>
      </c>
      <c r="E3299" t="inlineStr">
        <is>
          <t>HEBY</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60798-2022</t>
        </is>
      </c>
      <c r="B3300" s="1" t="n">
        <v>44914</v>
      </c>
      <c r="C3300" s="1" t="n">
        <v>45846</v>
      </c>
      <c r="D3300" t="inlineStr">
        <is>
          <t>UPPSALA LÄN</t>
        </is>
      </c>
      <c r="E3300" t="inlineStr">
        <is>
          <t>HEBY</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60837-2022</t>
        </is>
      </c>
      <c r="B3301" s="1" t="n">
        <v>44914</v>
      </c>
      <c r="C3301" s="1" t="n">
        <v>45846</v>
      </c>
      <c r="D3301" t="inlineStr">
        <is>
          <t>UPPSALA LÄN</t>
        </is>
      </c>
      <c r="E3301" t="inlineStr">
        <is>
          <t>ÄLVKARLEBY</t>
        </is>
      </c>
      <c r="F3301" t="inlineStr">
        <is>
          <t>Bergvik skog väst AB</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60984-2022</t>
        </is>
      </c>
      <c r="B3302" s="1" t="n">
        <v>44914</v>
      </c>
      <c r="C3302" s="1" t="n">
        <v>45846</v>
      </c>
      <c r="D3302" t="inlineStr">
        <is>
          <t>UPPSALA LÄN</t>
        </is>
      </c>
      <c r="E3302" t="inlineStr">
        <is>
          <t>UPPSALA</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60900-2022</t>
        </is>
      </c>
      <c r="B3303" s="1" t="n">
        <v>44914</v>
      </c>
      <c r="C3303" s="1" t="n">
        <v>45846</v>
      </c>
      <c r="D3303" t="inlineStr">
        <is>
          <t>UPPSALA LÄN</t>
        </is>
      </c>
      <c r="E3303" t="inlineStr">
        <is>
          <t>HEBY</t>
        </is>
      </c>
      <c r="G3303" t="n">
        <v>7.5</v>
      </c>
      <c r="H3303" t="n">
        <v>0</v>
      </c>
      <c r="I3303" t="n">
        <v>0</v>
      </c>
      <c r="J3303" t="n">
        <v>0</v>
      </c>
      <c r="K3303" t="n">
        <v>0</v>
      </c>
      <c r="L3303" t="n">
        <v>0</v>
      </c>
      <c r="M3303" t="n">
        <v>0</v>
      </c>
      <c r="N3303" t="n">
        <v>0</v>
      </c>
      <c r="O3303" t="n">
        <v>0</v>
      </c>
      <c r="P3303" t="n">
        <v>0</v>
      </c>
      <c r="Q3303" t="n">
        <v>0</v>
      </c>
      <c r="R3303" s="2" t="inlineStr"/>
    </row>
    <row r="3304" ht="15" customHeight="1">
      <c r="A3304" t="inlineStr">
        <is>
          <t>A 60986-2022</t>
        </is>
      </c>
      <c r="B3304" s="1" t="n">
        <v>44914</v>
      </c>
      <c r="C3304" s="1" t="n">
        <v>45846</v>
      </c>
      <c r="D3304" t="inlineStr">
        <is>
          <t>UPPSALA LÄN</t>
        </is>
      </c>
      <c r="E3304" t="inlineStr">
        <is>
          <t>UPPSALA</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60988-2022</t>
        </is>
      </c>
      <c r="B3305" s="1" t="n">
        <v>44914</v>
      </c>
      <c r="C3305" s="1" t="n">
        <v>45846</v>
      </c>
      <c r="D3305" t="inlineStr">
        <is>
          <t>UPPSALA LÄN</t>
        </is>
      </c>
      <c r="E3305" t="inlineStr">
        <is>
          <t>UPPSALA</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62132-2022</t>
        </is>
      </c>
      <c r="B3306" s="1" t="n">
        <v>44914</v>
      </c>
      <c r="C3306" s="1" t="n">
        <v>45846</v>
      </c>
      <c r="D3306" t="inlineStr">
        <is>
          <t>UPPSALA LÄN</t>
        </is>
      </c>
      <c r="E3306" t="inlineStr">
        <is>
          <t>HEBY</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62145-2022</t>
        </is>
      </c>
      <c r="B3307" s="1" t="n">
        <v>44914</v>
      </c>
      <c r="C3307" s="1" t="n">
        <v>45846</v>
      </c>
      <c r="D3307" t="inlineStr">
        <is>
          <t>UPPSALA LÄN</t>
        </is>
      </c>
      <c r="E3307" t="inlineStr">
        <is>
          <t>HEBY</t>
        </is>
      </c>
      <c r="G3307" t="n">
        <v>5.4</v>
      </c>
      <c r="H3307" t="n">
        <v>0</v>
      </c>
      <c r="I3307" t="n">
        <v>0</v>
      </c>
      <c r="J3307" t="n">
        <v>0</v>
      </c>
      <c r="K3307" t="n">
        <v>0</v>
      </c>
      <c r="L3307" t="n">
        <v>0</v>
      </c>
      <c r="M3307" t="n">
        <v>0</v>
      </c>
      <c r="N3307" t="n">
        <v>0</v>
      </c>
      <c r="O3307" t="n">
        <v>0</v>
      </c>
      <c r="P3307" t="n">
        <v>0</v>
      </c>
      <c r="Q3307" t="n">
        <v>0</v>
      </c>
      <c r="R3307" s="2" t="inlineStr"/>
    </row>
    <row r="3308" ht="15" customHeight="1">
      <c r="A3308" t="inlineStr">
        <is>
          <t>A 61125-2022</t>
        </is>
      </c>
      <c r="B3308" s="1" t="n">
        <v>44915</v>
      </c>
      <c r="C3308" s="1" t="n">
        <v>45846</v>
      </c>
      <c r="D3308" t="inlineStr">
        <is>
          <t>UPPSALA LÄN</t>
        </is>
      </c>
      <c r="E3308" t="inlineStr">
        <is>
          <t>ENKÖPING</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61142-2022</t>
        </is>
      </c>
      <c r="B3309" s="1" t="n">
        <v>44915</v>
      </c>
      <c r="C3309" s="1" t="n">
        <v>45846</v>
      </c>
      <c r="D3309" t="inlineStr">
        <is>
          <t>UPPSALA LÄN</t>
        </is>
      </c>
      <c r="E3309" t="inlineStr">
        <is>
          <t>HEBY</t>
        </is>
      </c>
      <c r="G3309" t="n">
        <v>4.1</v>
      </c>
      <c r="H3309" t="n">
        <v>0</v>
      </c>
      <c r="I3309" t="n">
        <v>0</v>
      </c>
      <c r="J3309" t="n">
        <v>0</v>
      </c>
      <c r="K3309" t="n">
        <v>0</v>
      </c>
      <c r="L3309" t="n">
        <v>0</v>
      </c>
      <c r="M3309" t="n">
        <v>0</v>
      </c>
      <c r="N3309" t="n">
        <v>0</v>
      </c>
      <c r="O3309" t="n">
        <v>0</v>
      </c>
      <c r="P3309" t="n">
        <v>0</v>
      </c>
      <c r="Q3309" t="n">
        <v>0</v>
      </c>
      <c r="R3309" s="2" t="inlineStr"/>
    </row>
    <row r="3310" ht="15" customHeight="1">
      <c r="A3310" t="inlineStr">
        <is>
          <t>A 61181-2022</t>
        </is>
      </c>
      <c r="B3310" s="1" t="n">
        <v>44915</v>
      </c>
      <c r="C3310" s="1" t="n">
        <v>45846</v>
      </c>
      <c r="D3310" t="inlineStr">
        <is>
          <t>UPPSALA LÄN</t>
        </is>
      </c>
      <c r="E3310" t="inlineStr">
        <is>
          <t>ENKÖPING</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61261-2022</t>
        </is>
      </c>
      <c r="B3311" s="1" t="n">
        <v>44915</v>
      </c>
      <c r="C3311" s="1" t="n">
        <v>45846</v>
      </c>
      <c r="D3311" t="inlineStr">
        <is>
          <t>UPPSALA LÄN</t>
        </is>
      </c>
      <c r="E3311" t="inlineStr">
        <is>
          <t>ÖSTHAMMAR</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61106-2022</t>
        </is>
      </c>
      <c r="B3312" s="1" t="n">
        <v>44915</v>
      </c>
      <c r="C3312" s="1" t="n">
        <v>45846</v>
      </c>
      <c r="D3312" t="inlineStr">
        <is>
          <t>UPPSALA LÄN</t>
        </is>
      </c>
      <c r="E3312" t="inlineStr">
        <is>
          <t>ENKÖPING</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61144-2022</t>
        </is>
      </c>
      <c r="B3313" s="1" t="n">
        <v>44915</v>
      </c>
      <c r="C3313" s="1" t="n">
        <v>45846</v>
      </c>
      <c r="D3313" t="inlineStr">
        <is>
          <t>UPPSALA LÄN</t>
        </is>
      </c>
      <c r="E3313" t="inlineStr">
        <is>
          <t>HEBY</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61216-2022</t>
        </is>
      </c>
      <c r="B3314" s="1" t="n">
        <v>44915</v>
      </c>
      <c r="C3314" s="1" t="n">
        <v>45846</v>
      </c>
      <c r="D3314" t="inlineStr">
        <is>
          <t>UPPSALA LÄN</t>
        </is>
      </c>
      <c r="E3314" t="inlineStr">
        <is>
          <t>ÖSTHAMMAR</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61150-2022</t>
        </is>
      </c>
      <c r="B3315" s="1" t="n">
        <v>44915</v>
      </c>
      <c r="C3315" s="1" t="n">
        <v>45846</v>
      </c>
      <c r="D3315" t="inlineStr">
        <is>
          <t>UPPSALA LÄN</t>
        </is>
      </c>
      <c r="E3315" t="inlineStr">
        <is>
          <t>HEBY</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61257-2022</t>
        </is>
      </c>
      <c r="B3316" s="1" t="n">
        <v>44915</v>
      </c>
      <c r="C3316" s="1" t="n">
        <v>45846</v>
      </c>
      <c r="D3316" t="inlineStr">
        <is>
          <t>UPPSALA LÄN</t>
        </is>
      </c>
      <c r="E3316" t="inlineStr">
        <is>
          <t>ÖSTHAMMAR</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61453-2022</t>
        </is>
      </c>
      <c r="B3317" s="1" t="n">
        <v>44916</v>
      </c>
      <c r="C3317" s="1" t="n">
        <v>45846</v>
      </c>
      <c r="D3317" t="inlineStr">
        <is>
          <t>UPPSALA LÄN</t>
        </is>
      </c>
      <c r="E3317" t="inlineStr">
        <is>
          <t>HEBY</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61526-2022</t>
        </is>
      </c>
      <c r="B3318" s="1" t="n">
        <v>44916</v>
      </c>
      <c r="C3318" s="1" t="n">
        <v>45846</v>
      </c>
      <c r="D3318" t="inlineStr">
        <is>
          <t>UPPSALA LÄN</t>
        </is>
      </c>
      <c r="E3318" t="inlineStr">
        <is>
          <t>UPPSALA</t>
        </is>
      </c>
      <c r="F3318" t="inlineStr">
        <is>
          <t>Kyrkan</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61590-2022</t>
        </is>
      </c>
      <c r="B3319" s="1" t="n">
        <v>44916</v>
      </c>
      <c r="C3319" s="1" t="n">
        <v>45846</v>
      </c>
      <c r="D3319" t="inlineStr">
        <is>
          <t>UPPSALA LÄN</t>
        </is>
      </c>
      <c r="E3319" t="inlineStr">
        <is>
          <t>HEBY</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61615-2022</t>
        </is>
      </c>
      <c r="B3320" s="1" t="n">
        <v>44916</v>
      </c>
      <c r="C3320" s="1" t="n">
        <v>45846</v>
      </c>
      <c r="D3320" t="inlineStr">
        <is>
          <t>UPPSALA LÄN</t>
        </is>
      </c>
      <c r="E3320" t="inlineStr">
        <is>
          <t>TIERP</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61578-2022</t>
        </is>
      </c>
      <c r="B3321" s="1" t="n">
        <v>44916</v>
      </c>
      <c r="C3321" s="1" t="n">
        <v>45846</v>
      </c>
      <c r="D3321" t="inlineStr">
        <is>
          <t>UPPSALA LÄN</t>
        </is>
      </c>
      <c r="E3321" t="inlineStr">
        <is>
          <t>UPPSALA</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61617-2022</t>
        </is>
      </c>
      <c r="B3322" s="1" t="n">
        <v>44916</v>
      </c>
      <c r="C3322" s="1" t="n">
        <v>45846</v>
      </c>
      <c r="D3322" t="inlineStr">
        <is>
          <t>UPPSALA LÄN</t>
        </is>
      </c>
      <c r="E3322" t="inlineStr">
        <is>
          <t>TIERP</t>
        </is>
      </c>
      <c r="G3322" t="n">
        <v>0.3</v>
      </c>
      <c r="H3322" t="n">
        <v>0</v>
      </c>
      <c r="I3322" t="n">
        <v>0</v>
      </c>
      <c r="J3322" t="n">
        <v>0</v>
      </c>
      <c r="K3322" t="n">
        <v>0</v>
      </c>
      <c r="L3322" t="n">
        <v>0</v>
      </c>
      <c r="M3322" t="n">
        <v>0</v>
      </c>
      <c r="N3322" t="n">
        <v>0</v>
      </c>
      <c r="O3322" t="n">
        <v>0</v>
      </c>
      <c r="P3322" t="n">
        <v>0</v>
      </c>
      <c r="Q3322" t="n">
        <v>0</v>
      </c>
      <c r="R3322" s="2" t="inlineStr"/>
    </row>
    <row r="3323" ht="15" customHeight="1">
      <c r="A3323" t="inlineStr">
        <is>
          <t>A 62295-2022</t>
        </is>
      </c>
      <c r="B3323" s="1" t="n">
        <v>44916</v>
      </c>
      <c r="C3323" s="1" t="n">
        <v>45846</v>
      </c>
      <c r="D3323" t="inlineStr">
        <is>
          <t>UPPSALA LÄN</t>
        </is>
      </c>
      <c r="E3323" t="inlineStr">
        <is>
          <t>ÖSTHAMMAR</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61694-2022</t>
        </is>
      </c>
      <c r="B3324" s="1" t="n">
        <v>44917</v>
      </c>
      <c r="C3324" s="1" t="n">
        <v>45846</v>
      </c>
      <c r="D3324" t="inlineStr">
        <is>
          <t>UPPSALA LÄN</t>
        </is>
      </c>
      <c r="E3324" t="inlineStr">
        <is>
          <t>TIERP</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61715-2022</t>
        </is>
      </c>
      <c r="B3325" s="1" t="n">
        <v>44917</v>
      </c>
      <c r="C3325" s="1" t="n">
        <v>45846</v>
      </c>
      <c r="D3325" t="inlineStr">
        <is>
          <t>UPPSALA LÄN</t>
        </is>
      </c>
      <c r="E3325" t="inlineStr">
        <is>
          <t>TIERP</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61717-2022</t>
        </is>
      </c>
      <c r="B3326" s="1" t="n">
        <v>44917</v>
      </c>
      <c r="C3326" s="1" t="n">
        <v>45846</v>
      </c>
      <c r="D3326" t="inlineStr">
        <is>
          <t>UPPSALA LÄN</t>
        </is>
      </c>
      <c r="E3326" t="inlineStr">
        <is>
          <t>TIERP</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61800-2022</t>
        </is>
      </c>
      <c r="B3327" s="1" t="n">
        <v>44917</v>
      </c>
      <c r="C3327" s="1" t="n">
        <v>45846</v>
      </c>
      <c r="D3327" t="inlineStr">
        <is>
          <t>UPPSALA LÄN</t>
        </is>
      </c>
      <c r="E3327" t="inlineStr">
        <is>
          <t>ENKÖPING</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61807-2022</t>
        </is>
      </c>
      <c r="B3328" s="1" t="n">
        <v>44917</v>
      </c>
      <c r="C3328" s="1" t="n">
        <v>45846</v>
      </c>
      <c r="D3328" t="inlineStr">
        <is>
          <t>UPPSALA LÄN</t>
        </is>
      </c>
      <c r="E3328" t="inlineStr">
        <is>
          <t>HEBY</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61875-2022</t>
        </is>
      </c>
      <c r="B3329" s="1" t="n">
        <v>44917</v>
      </c>
      <c r="C3329" s="1" t="n">
        <v>45846</v>
      </c>
      <c r="D3329" t="inlineStr">
        <is>
          <t>UPPSALA LÄN</t>
        </is>
      </c>
      <c r="E3329" t="inlineStr">
        <is>
          <t>HEBY</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61801-2022</t>
        </is>
      </c>
      <c r="B3330" s="1" t="n">
        <v>44917</v>
      </c>
      <c r="C3330" s="1" t="n">
        <v>45846</v>
      </c>
      <c r="D3330" t="inlineStr">
        <is>
          <t>UPPSALA LÄN</t>
        </is>
      </c>
      <c r="E3330" t="inlineStr">
        <is>
          <t>HEBY</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62716-2022</t>
        </is>
      </c>
      <c r="B3331" s="1" t="n">
        <v>44917</v>
      </c>
      <c r="C3331" s="1" t="n">
        <v>45846</v>
      </c>
      <c r="D3331" t="inlineStr">
        <is>
          <t>UPPSALA LÄN</t>
        </is>
      </c>
      <c r="E3331" t="inlineStr">
        <is>
          <t>ENKÖPING</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62138-2022</t>
        </is>
      </c>
      <c r="B3332" s="1" t="n">
        <v>44922</v>
      </c>
      <c r="C3332" s="1" t="n">
        <v>45846</v>
      </c>
      <c r="D3332" t="inlineStr">
        <is>
          <t>UPPSALA LÄN</t>
        </is>
      </c>
      <c r="E3332" t="inlineStr">
        <is>
          <t>TIERP</t>
        </is>
      </c>
      <c r="F3332" t="inlineStr">
        <is>
          <t>Bergvik skog öst AB</t>
        </is>
      </c>
      <c r="G3332" t="n">
        <v>16.9</v>
      </c>
      <c r="H3332" t="n">
        <v>0</v>
      </c>
      <c r="I3332" t="n">
        <v>0</v>
      </c>
      <c r="J3332" t="n">
        <v>0</v>
      </c>
      <c r="K3332" t="n">
        <v>0</v>
      </c>
      <c r="L3332" t="n">
        <v>0</v>
      </c>
      <c r="M3332" t="n">
        <v>0</v>
      </c>
      <c r="N3332" t="n">
        <v>0</v>
      </c>
      <c r="O3332" t="n">
        <v>0</v>
      </c>
      <c r="P3332" t="n">
        <v>0</v>
      </c>
      <c r="Q3332" t="n">
        <v>0</v>
      </c>
      <c r="R3332" s="2" t="inlineStr"/>
    </row>
    <row r="3333" ht="15" customHeight="1">
      <c r="A3333" t="inlineStr">
        <is>
          <t>A 62394-2022</t>
        </is>
      </c>
      <c r="B3333" s="1" t="n">
        <v>44923</v>
      </c>
      <c r="C3333" s="1" t="n">
        <v>45846</v>
      </c>
      <c r="D3333" t="inlineStr">
        <is>
          <t>UPPSALA LÄN</t>
        </is>
      </c>
      <c r="E3333" t="inlineStr">
        <is>
          <t>ÖSTHAMMAR</t>
        </is>
      </c>
      <c r="F3333" t="inlineStr">
        <is>
          <t>Bergvik skog öst AB</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62393-2022</t>
        </is>
      </c>
      <c r="B3334" s="1" t="n">
        <v>44923</v>
      </c>
      <c r="C3334" s="1" t="n">
        <v>45846</v>
      </c>
      <c r="D3334" t="inlineStr">
        <is>
          <t>UPPSALA LÄN</t>
        </is>
      </c>
      <c r="E3334" t="inlineStr">
        <is>
          <t>ÖSTHAMMAR</t>
        </is>
      </c>
      <c r="F3334" t="inlineStr">
        <is>
          <t>Bergvik skog öst AB</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62392-2022</t>
        </is>
      </c>
      <c r="B3335" s="1" t="n">
        <v>44923</v>
      </c>
      <c r="C3335" s="1" t="n">
        <v>45846</v>
      </c>
      <c r="D3335" t="inlineStr">
        <is>
          <t>UPPSALA LÄN</t>
        </is>
      </c>
      <c r="E3335" t="inlineStr">
        <is>
          <t>ÖSTHAMMAR</t>
        </is>
      </c>
      <c r="F3335" t="inlineStr">
        <is>
          <t>Bergvik skog öst AB</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62391-2022</t>
        </is>
      </c>
      <c r="B3336" s="1" t="n">
        <v>44923</v>
      </c>
      <c r="C3336" s="1" t="n">
        <v>45846</v>
      </c>
      <c r="D3336" t="inlineStr">
        <is>
          <t>UPPSALA LÄN</t>
        </is>
      </c>
      <c r="E3336" t="inlineStr">
        <is>
          <t>ÖSTHAMMAR</t>
        </is>
      </c>
      <c r="F3336" t="inlineStr">
        <is>
          <t>Bergvik skog öst AB</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62423-2022</t>
        </is>
      </c>
      <c r="B3337" s="1" t="n">
        <v>44924</v>
      </c>
      <c r="C3337" s="1" t="n">
        <v>45846</v>
      </c>
      <c r="D3337" t="inlineStr">
        <is>
          <t>UPPSALA LÄN</t>
        </is>
      </c>
      <c r="E3337" t="inlineStr">
        <is>
          <t>ENKÖPING</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62419-2022</t>
        </is>
      </c>
      <c r="B3338" s="1" t="n">
        <v>44924</v>
      </c>
      <c r="C3338" s="1" t="n">
        <v>45846</v>
      </c>
      <c r="D3338" t="inlineStr">
        <is>
          <t>UPPSALA LÄN</t>
        </is>
      </c>
      <c r="E3338" t="inlineStr">
        <is>
          <t>ENKÖPING</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439-2023</t>
        </is>
      </c>
      <c r="B3339" s="1" t="n">
        <v>44924</v>
      </c>
      <c r="C3339" s="1" t="n">
        <v>45846</v>
      </c>
      <c r="D3339" t="inlineStr">
        <is>
          <t>UPPSALA LÄN</t>
        </is>
      </c>
      <c r="E3339" t="inlineStr">
        <is>
          <t>TIERP</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437-2023</t>
        </is>
      </c>
      <c r="B3340" s="1" t="n">
        <v>44924</v>
      </c>
      <c r="C3340" s="1" t="n">
        <v>45846</v>
      </c>
      <c r="D3340" t="inlineStr">
        <is>
          <t>UPPSALA LÄN</t>
        </is>
      </c>
      <c r="E3340" t="inlineStr">
        <is>
          <t>TIERP</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62650-2022</t>
        </is>
      </c>
      <c r="B3341" s="1" t="n">
        <v>44925</v>
      </c>
      <c r="C3341" s="1" t="n">
        <v>45846</v>
      </c>
      <c r="D3341" t="inlineStr">
        <is>
          <t>UPPSALA LÄN</t>
        </is>
      </c>
      <c r="E3341" t="inlineStr">
        <is>
          <t>HEBY</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57-2023</t>
        </is>
      </c>
      <c r="B3342" s="1" t="n">
        <v>44928</v>
      </c>
      <c r="C3342" s="1" t="n">
        <v>45846</v>
      </c>
      <c r="D3342" t="inlineStr">
        <is>
          <t>UPPSALA LÄN</t>
        </is>
      </c>
      <c r="E3342" t="inlineStr">
        <is>
          <t>ÖSTHAMMAR</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59-2023</t>
        </is>
      </c>
      <c r="B3343" s="1" t="n">
        <v>44928</v>
      </c>
      <c r="C3343" s="1" t="n">
        <v>45846</v>
      </c>
      <c r="D3343" t="inlineStr">
        <is>
          <t>UPPSALA LÄN</t>
        </is>
      </c>
      <c r="E3343" t="inlineStr">
        <is>
          <t>ÖSTHAMMAR</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73-2023</t>
        </is>
      </c>
      <c r="B3344" s="1" t="n">
        <v>44928</v>
      </c>
      <c r="C3344" s="1" t="n">
        <v>45846</v>
      </c>
      <c r="D3344" t="inlineStr">
        <is>
          <t>UPPSALA LÄN</t>
        </is>
      </c>
      <c r="E3344" t="inlineStr">
        <is>
          <t>TIERP</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111-2023</t>
        </is>
      </c>
      <c r="B3345" s="1" t="n">
        <v>44928</v>
      </c>
      <c r="C3345" s="1" t="n">
        <v>45846</v>
      </c>
      <c r="D3345" t="inlineStr">
        <is>
          <t>UPPSALA LÄN</t>
        </is>
      </c>
      <c r="E3345" t="inlineStr">
        <is>
          <t>UPPSALA</t>
        </is>
      </c>
      <c r="F3345" t="inlineStr">
        <is>
          <t>Kommuner</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179-2023</t>
        </is>
      </c>
      <c r="B3346" s="1" t="n">
        <v>44928</v>
      </c>
      <c r="C3346" s="1" t="n">
        <v>45846</v>
      </c>
      <c r="D3346" t="inlineStr">
        <is>
          <t>UPPSALA LÄN</t>
        </is>
      </c>
      <c r="E3346" t="inlineStr">
        <is>
          <t>UPPSALA</t>
        </is>
      </c>
      <c r="F3346" t="inlineStr">
        <is>
          <t>Kommuner</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319-2023</t>
        </is>
      </c>
      <c r="B3347" s="1" t="n">
        <v>44929</v>
      </c>
      <c r="C3347" s="1" t="n">
        <v>45846</v>
      </c>
      <c r="D3347" t="inlineStr">
        <is>
          <t>UPPSALA LÄN</t>
        </is>
      </c>
      <c r="E3347" t="inlineStr">
        <is>
          <t>TIERP</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367-2023</t>
        </is>
      </c>
      <c r="B3348" s="1" t="n">
        <v>44929</v>
      </c>
      <c r="C3348" s="1" t="n">
        <v>45846</v>
      </c>
      <c r="D3348" t="inlineStr">
        <is>
          <t>UPPSALA LÄN</t>
        </is>
      </c>
      <c r="E3348" t="inlineStr">
        <is>
          <t>UPPSALA</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390-2023</t>
        </is>
      </c>
      <c r="B3349" s="1" t="n">
        <v>44929</v>
      </c>
      <c r="C3349" s="1" t="n">
        <v>45846</v>
      </c>
      <c r="D3349" t="inlineStr">
        <is>
          <t>UPPSALA LÄN</t>
        </is>
      </c>
      <c r="E3349" t="inlineStr">
        <is>
          <t>ÖSTHAMMAR</t>
        </is>
      </c>
      <c r="F3349" t="inlineStr">
        <is>
          <t>Övriga Aktiebolag</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554-2023</t>
        </is>
      </c>
      <c r="B3350" s="1" t="n">
        <v>44930</v>
      </c>
      <c r="C3350" s="1" t="n">
        <v>45846</v>
      </c>
      <c r="D3350" t="inlineStr">
        <is>
          <t>UPPSALA LÄN</t>
        </is>
      </c>
      <c r="E3350" t="inlineStr">
        <is>
          <t>UPPSALA</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686-2023</t>
        </is>
      </c>
      <c r="B3351" s="1" t="n">
        <v>44930</v>
      </c>
      <c r="C3351" s="1" t="n">
        <v>45846</v>
      </c>
      <c r="D3351" t="inlineStr">
        <is>
          <t>UPPSALA LÄN</t>
        </is>
      </c>
      <c r="E3351" t="inlineStr">
        <is>
          <t>UPPSALA</t>
        </is>
      </c>
      <c r="F3351" t="inlineStr">
        <is>
          <t>Bergvik skog öst AB</t>
        </is>
      </c>
      <c r="G3351" t="n">
        <v>4.6</v>
      </c>
      <c r="H3351" t="n">
        <v>0</v>
      </c>
      <c r="I3351" t="n">
        <v>0</v>
      </c>
      <c r="J3351" t="n">
        <v>0</v>
      </c>
      <c r="K3351" t="n">
        <v>0</v>
      </c>
      <c r="L3351" t="n">
        <v>0</v>
      </c>
      <c r="M3351" t="n">
        <v>0</v>
      </c>
      <c r="N3351" t="n">
        <v>0</v>
      </c>
      <c r="O3351" t="n">
        <v>0</v>
      </c>
      <c r="P3351" t="n">
        <v>0</v>
      </c>
      <c r="Q3351" t="n">
        <v>0</v>
      </c>
      <c r="R3351" s="2" t="inlineStr"/>
    </row>
    <row r="3352" ht="15" customHeight="1">
      <c r="A3352" t="inlineStr">
        <is>
          <t>A 799-2023</t>
        </is>
      </c>
      <c r="B3352" s="1" t="n">
        <v>44931</v>
      </c>
      <c r="C3352" s="1" t="n">
        <v>45846</v>
      </c>
      <c r="D3352" t="inlineStr">
        <is>
          <t>UPPSALA LÄN</t>
        </is>
      </c>
      <c r="E3352" t="inlineStr">
        <is>
          <t>ENKÖPING</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946-2023</t>
        </is>
      </c>
      <c r="B3353" s="1" t="n">
        <v>44934</v>
      </c>
      <c r="C3353" s="1" t="n">
        <v>45846</v>
      </c>
      <c r="D3353" t="inlineStr">
        <is>
          <t>UPPSALA LÄN</t>
        </is>
      </c>
      <c r="E3353" t="inlineStr">
        <is>
          <t>HEBY</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1032-2023</t>
        </is>
      </c>
      <c r="B3354" s="1" t="n">
        <v>44935</v>
      </c>
      <c r="C3354" s="1" t="n">
        <v>45846</v>
      </c>
      <c r="D3354" t="inlineStr">
        <is>
          <t>UPPSALA LÄN</t>
        </is>
      </c>
      <c r="E3354" t="inlineStr">
        <is>
          <t>UPPSALA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1357-2023</t>
        </is>
      </c>
      <c r="B3355" s="1" t="n">
        <v>44936</v>
      </c>
      <c r="C3355" s="1" t="n">
        <v>45846</v>
      </c>
      <c r="D3355" t="inlineStr">
        <is>
          <t>UPPSALA LÄN</t>
        </is>
      </c>
      <c r="E3355" t="inlineStr">
        <is>
          <t>UPPSALA</t>
        </is>
      </c>
      <c r="F3355" t="inlineStr">
        <is>
          <t>Bergvik skog öst AB</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1384-2023</t>
        </is>
      </c>
      <c r="B3356" s="1" t="n">
        <v>44936</v>
      </c>
      <c r="C3356" s="1" t="n">
        <v>45846</v>
      </c>
      <c r="D3356" t="inlineStr">
        <is>
          <t>UPPSALA LÄN</t>
        </is>
      </c>
      <c r="E3356" t="inlineStr">
        <is>
          <t>TIERP</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1383-2023</t>
        </is>
      </c>
      <c r="B3357" s="1" t="n">
        <v>44936</v>
      </c>
      <c r="C3357" s="1" t="n">
        <v>45846</v>
      </c>
      <c r="D3357" t="inlineStr">
        <is>
          <t>UPPSALA LÄN</t>
        </is>
      </c>
      <c r="E3357" t="inlineStr">
        <is>
          <t>TIERP</t>
        </is>
      </c>
      <c r="G3357" t="n">
        <v>5.2</v>
      </c>
      <c r="H3357" t="n">
        <v>0</v>
      </c>
      <c r="I3357" t="n">
        <v>0</v>
      </c>
      <c r="J3357" t="n">
        <v>0</v>
      </c>
      <c r="K3357" t="n">
        <v>0</v>
      </c>
      <c r="L3357" t="n">
        <v>0</v>
      </c>
      <c r="M3357" t="n">
        <v>0</v>
      </c>
      <c r="N3357" t="n">
        <v>0</v>
      </c>
      <c r="O3357" t="n">
        <v>0</v>
      </c>
      <c r="P3357" t="n">
        <v>0</v>
      </c>
      <c r="Q3357" t="n">
        <v>0</v>
      </c>
      <c r="R3357" s="2" t="inlineStr"/>
    </row>
    <row r="3358" ht="15" customHeight="1">
      <c r="A3358" t="inlineStr">
        <is>
          <t>A 1572-2023</t>
        </is>
      </c>
      <c r="B3358" s="1" t="n">
        <v>44937</v>
      </c>
      <c r="C3358" s="1" t="n">
        <v>45846</v>
      </c>
      <c r="D3358" t="inlineStr">
        <is>
          <t>UPPSALA LÄN</t>
        </is>
      </c>
      <c r="E3358" t="inlineStr">
        <is>
          <t>TIERP</t>
        </is>
      </c>
      <c r="G3358" t="n">
        <v>7.4</v>
      </c>
      <c r="H3358" t="n">
        <v>0</v>
      </c>
      <c r="I3358" t="n">
        <v>0</v>
      </c>
      <c r="J3358" t="n">
        <v>0</v>
      </c>
      <c r="K3358" t="n">
        <v>0</v>
      </c>
      <c r="L3358" t="n">
        <v>0</v>
      </c>
      <c r="M3358" t="n">
        <v>0</v>
      </c>
      <c r="N3358" t="n">
        <v>0</v>
      </c>
      <c r="O3358" t="n">
        <v>0</v>
      </c>
      <c r="P3358" t="n">
        <v>0</v>
      </c>
      <c r="Q3358" t="n">
        <v>0</v>
      </c>
      <c r="R3358" s="2" t="inlineStr"/>
    </row>
    <row r="3359" ht="15" customHeight="1">
      <c r="A3359" t="inlineStr">
        <is>
          <t>A 1587-2023</t>
        </is>
      </c>
      <c r="B3359" s="1" t="n">
        <v>44937</v>
      </c>
      <c r="C3359" s="1" t="n">
        <v>45846</v>
      </c>
      <c r="D3359" t="inlineStr">
        <is>
          <t>UPPSALA LÄN</t>
        </is>
      </c>
      <c r="E3359" t="inlineStr">
        <is>
          <t>ENKÖPING</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1593-2023</t>
        </is>
      </c>
      <c r="B3360" s="1" t="n">
        <v>44937</v>
      </c>
      <c r="C3360" s="1" t="n">
        <v>45846</v>
      </c>
      <c r="D3360" t="inlineStr">
        <is>
          <t>UPPSALA LÄN</t>
        </is>
      </c>
      <c r="E3360" t="inlineStr">
        <is>
          <t>ENKÖPING</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1791-2023</t>
        </is>
      </c>
      <c r="B3361" s="1" t="n">
        <v>44938</v>
      </c>
      <c r="C3361" s="1" t="n">
        <v>45846</v>
      </c>
      <c r="D3361" t="inlineStr">
        <is>
          <t>UPPSALA LÄN</t>
        </is>
      </c>
      <c r="E3361" t="inlineStr">
        <is>
          <t>ÖSTHAMMAR</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1800-2023</t>
        </is>
      </c>
      <c r="B3362" s="1" t="n">
        <v>44938</v>
      </c>
      <c r="C3362" s="1" t="n">
        <v>45846</v>
      </c>
      <c r="D3362" t="inlineStr">
        <is>
          <t>UPPSALA LÄN</t>
        </is>
      </c>
      <c r="E3362" t="inlineStr">
        <is>
          <t>ÖSTHAMMAR</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1796-2023</t>
        </is>
      </c>
      <c r="B3363" s="1" t="n">
        <v>44938</v>
      </c>
      <c r="C3363" s="1" t="n">
        <v>45846</v>
      </c>
      <c r="D3363" t="inlineStr">
        <is>
          <t>UPPSALA LÄN</t>
        </is>
      </c>
      <c r="E3363" t="inlineStr">
        <is>
          <t>ÖSTHAMMAR</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2064-2023</t>
        </is>
      </c>
      <c r="B3364" s="1" t="n">
        <v>44939</v>
      </c>
      <c r="C3364" s="1" t="n">
        <v>45846</v>
      </c>
      <c r="D3364" t="inlineStr">
        <is>
          <t>UPPSALA LÄN</t>
        </is>
      </c>
      <c r="E3364" t="inlineStr">
        <is>
          <t>HEBY</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2025-2023</t>
        </is>
      </c>
      <c r="B3365" s="1" t="n">
        <v>44939</v>
      </c>
      <c r="C3365" s="1" t="n">
        <v>45846</v>
      </c>
      <c r="D3365" t="inlineStr">
        <is>
          <t>UPPSALA LÄN</t>
        </is>
      </c>
      <c r="E3365" t="inlineStr">
        <is>
          <t>HEBY</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2039-2023</t>
        </is>
      </c>
      <c r="B3366" s="1" t="n">
        <v>44939</v>
      </c>
      <c r="C3366" s="1" t="n">
        <v>45846</v>
      </c>
      <c r="D3366" t="inlineStr">
        <is>
          <t>UPPSALA LÄN</t>
        </is>
      </c>
      <c r="E3366" t="inlineStr">
        <is>
          <t>HEBY</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2020-2023</t>
        </is>
      </c>
      <c r="B3367" s="1" t="n">
        <v>44939</v>
      </c>
      <c r="C3367" s="1" t="n">
        <v>45846</v>
      </c>
      <c r="D3367" t="inlineStr">
        <is>
          <t>UPPSALA LÄN</t>
        </is>
      </c>
      <c r="E3367" t="inlineStr">
        <is>
          <t>HEBY</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2030-2023</t>
        </is>
      </c>
      <c r="B3368" s="1" t="n">
        <v>44939</v>
      </c>
      <c r="C3368" s="1" t="n">
        <v>45846</v>
      </c>
      <c r="D3368" t="inlineStr">
        <is>
          <t>UPPSALA LÄN</t>
        </is>
      </c>
      <c r="E3368" t="inlineStr">
        <is>
          <t>HEBY</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2102-2023</t>
        </is>
      </c>
      <c r="B3369" s="1" t="n">
        <v>44939</v>
      </c>
      <c r="C3369" s="1" t="n">
        <v>45846</v>
      </c>
      <c r="D3369" t="inlineStr">
        <is>
          <t>UPPSALA LÄN</t>
        </is>
      </c>
      <c r="E3369" t="inlineStr">
        <is>
          <t>TIERP</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2161-2023</t>
        </is>
      </c>
      <c r="B3370" s="1" t="n">
        <v>44941</v>
      </c>
      <c r="C3370" s="1" t="n">
        <v>45846</v>
      </c>
      <c r="D3370" t="inlineStr">
        <is>
          <t>UPPSALA LÄN</t>
        </is>
      </c>
      <c r="E3370" t="inlineStr">
        <is>
          <t>ENKÖPING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2165-2023</t>
        </is>
      </c>
      <c r="B3371" s="1" t="n">
        <v>44941</v>
      </c>
      <c r="C3371" s="1" t="n">
        <v>45846</v>
      </c>
      <c r="D3371" t="inlineStr">
        <is>
          <t>UPPSALA LÄN</t>
        </is>
      </c>
      <c r="E3371" t="inlineStr">
        <is>
          <t>ENKÖPING</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2162-2023</t>
        </is>
      </c>
      <c r="B3372" s="1" t="n">
        <v>44941</v>
      </c>
      <c r="C3372" s="1" t="n">
        <v>45846</v>
      </c>
      <c r="D3372" t="inlineStr">
        <is>
          <t>UPPSALA LÄN</t>
        </is>
      </c>
      <c r="E3372" t="inlineStr">
        <is>
          <t>ENKÖPING</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2164-2023</t>
        </is>
      </c>
      <c r="B3373" s="1" t="n">
        <v>44941</v>
      </c>
      <c r="C3373" s="1" t="n">
        <v>45846</v>
      </c>
      <c r="D3373" t="inlineStr">
        <is>
          <t>UPPSALA LÄN</t>
        </is>
      </c>
      <c r="E3373" t="inlineStr">
        <is>
          <t>ENKÖPING</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2227-2023</t>
        </is>
      </c>
      <c r="B3374" s="1" t="n">
        <v>44942</v>
      </c>
      <c r="C3374" s="1" t="n">
        <v>45846</v>
      </c>
      <c r="D3374" t="inlineStr">
        <is>
          <t>UPPSALA LÄN</t>
        </is>
      </c>
      <c r="E3374" t="inlineStr">
        <is>
          <t>HEBY</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2212-2023</t>
        </is>
      </c>
      <c r="B3375" s="1" t="n">
        <v>44942</v>
      </c>
      <c r="C3375" s="1" t="n">
        <v>45846</v>
      </c>
      <c r="D3375" t="inlineStr">
        <is>
          <t>UPPSALA LÄN</t>
        </is>
      </c>
      <c r="E3375" t="inlineStr">
        <is>
          <t>HEBY</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2186-2023</t>
        </is>
      </c>
      <c r="B3376" s="1" t="n">
        <v>44942</v>
      </c>
      <c r="C3376" s="1" t="n">
        <v>45846</v>
      </c>
      <c r="D3376" t="inlineStr">
        <is>
          <t>UPPSALA LÄN</t>
        </is>
      </c>
      <c r="E3376" t="inlineStr">
        <is>
          <t>UPPSALA</t>
        </is>
      </c>
      <c r="F3376" t="inlineStr">
        <is>
          <t>Bergvik skog öst AB</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2266-2023</t>
        </is>
      </c>
      <c r="B3377" s="1" t="n">
        <v>44942</v>
      </c>
      <c r="C3377" s="1" t="n">
        <v>45846</v>
      </c>
      <c r="D3377" t="inlineStr">
        <is>
          <t>UPPSALA LÄN</t>
        </is>
      </c>
      <c r="E3377" t="inlineStr">
        <is>
          <t>TIERP</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2541-2023</t>
        </is>
      </c>
      <c r="B3378" s="1" t="n">
        <v>44943</v>
      </c>
      <c r="C3378" s="1" t="n">
        <v>45846</v>
      </c>
      <c r="D3378" t="inlineStr">
        <is>
          <t>UPPSALA LÄN</t>
        </is>
      </c>
      <c r="E3378" t="inlineStr">
        <is>
          <t>HEBY</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2733-2023</t>
        </is>
      </c>
      <c r="B3379" s="1" t="n">
        <v>44943</v>
      </c>
      <c r="C3379" s="1" t="n">
        <v>45846</v>
      </c>
      <c r="D3379" t="inlineStr">
        <is>
          <t>UPPSALA LÄN</t>
        </is>
      </c>
      <c r="E3379" t="inlineStr">
        <is>
          <t>ÖSTHAMMAR</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2553-2023</t>
        </is>
      </c>
      <c r="B3380" s="1" t="n">
        <v>44943</v>
      </c>
      <c r="C3380" s="1" t="n">
        <v>45846</v>
      </c>
      <c r="D3380" t="inlineStr">
        <is>
          <t>UPPSALA LÄN</t>
        </is>
      </c>
      <c r="E3380" t="inlineStr">
        <is>
          <t>HEBY</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2617-2023</t>
        </is>
      </c>
      <c r="B3381" s="1" t="n">
        <v>44944</v>
      </c>
      <c r="C3381" s="1" t="n">
        <v>45846</v>
      </c>
      <c r="D3381" t="inlineStr">
        <is>
          <t>UPPSALA LÄN</t>
        </is>
      </c>
      <c r="E3381" t="inlineStr">
        <is>
          <t>HEBY</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2641-2023</t>
        </is>
      </c>
      <c r="B3382" s="1" t="n">
        <v>44944</v>
      </c>
      <c r="C3382" s="1" t="n">
        <v>45846</v>
      </c>
      <c r="D3382" t="inlineStr">
        <is>
          <t>UPPSALA LÄN</t>
        </is>
      </c>
      <c r="E3382" t="inlineStr">
        <is>
          <t>HEBY</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2622-2023</t>
        </is>
      </c>
      <c r="B3383" s="1" t="n">
        <v>44944</v>
      </c>
      <c r="C3383" s="1" t="n">
        <v>45846</v>
      </c>
      <c r="D3383" t="inlineStr">
        <is>
          <t>UPPSALA LÄN</t>
        </is>
      </c>
      <c r="E3383" t="inlineStr">
        <is>
          <t>UPPSALA</t>
        </is>
      </c>
      <c r="F3383" t="inlineStr">
        <is>
          <t>Kommuner</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2670-2023</t>
        </is>
      </c>
      <c r="B3384" s="1" t="n">
        <v>44944</v>
      </c>
      <c r="C3384" s="1" t="n">
        <v>45846</v>
      </c>
      <c r="D3384" t="inlineStr">
        <is>
          <t>UPPSALA LÄN</t>
        </is>
      </c>
      <c r="E3384" t="inlineStr">
        <is>
          <t>HÅBO</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2611-2023</t>
        </is>
      </c>
      <c r="B3385" s="1" t="n">
        <v>44944</v>
      </c>
      <c r="C3385" s="1" t="n">
        <v>45846</v>
      </c>
      <c r="D3385" t="inlineStr">
        <is>
          <t>UPPSALA LÄN</t>
        </is>
      </c>
      <c r="E3385" t="inlineStr">
        <is>
          <t>HEBY</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2624-2023</t>
        </is>
      </c>
      <c r="B3386" s="1" t="n">
        <v>44944</v>
      </c>
      <c r="C3386" s="1" t="n">
        <v>45846</v>
      </c>
      <c r="D3386" t="inlineStr">
        <is>
          <t>UPPSALA LÄN</t>
        </is>
      </c>
      <c r="E3386" t="inlineStr">
        <is>
          <t>UPPSALA</t>
        </is>
      </c>
      <c r="F3386" t="inlineStr">
        <is>
          <t>Kommuner</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2682-2023</t>
        </is>
      </c>
      <c r="B3387" s="1" t="n">
        <v>44944</v>
      </c>
      <c r="C3387" s="1" t="n">
        <v>45846</v>
      </c>
      <c r="D3387" t="inlineStr">
        <is>
          <t>UPPSALA LÄN</t>
        </is>
      </c>
      <c r="E3387" t="inlineStr">
        <is>
          <t>HÅBO</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2735-2023</t>
        </is>
      </c>
      <c r="B3388" s="1" t="n">
        <v>44944</v>
      </c>
      <c r="C3388" s="1" t="n">
        <v>45846</v>
      </c>
      <c r="D3388" t="inlineStr">
        <is>
          <t>UPPSALA LÄN</t>
        </is>
      </c>
      <c r="E3388" t="inlineStr">
        <is>
          <t>TIERP</t>
        </is>
      </c>
      <c r="G3388" t="n">
        <v>8.300000000000001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5362-2023</t>
        </is>
      </c>
      <c r="B3389" s="1" t="n">
        <v>44944</v>
      </c>
      <c r="C3389" s="1" t="n">
        <v>45846</v>
      </c>
      <c r="D3389" t="inlineStr">
        <is>
          <t>UPPSALA LÄN</t>
        </is>
      </c>
      <c r="E3389" t="inlineStr">
        <is>
          <t>UPPSALA</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2983-2023</t>
        </is>
      </c>
      <c r="B3390" s="1" t="n">
        <v>44944</v>
      </c>
      <c r="C3390" s="1" t="n">
        <v>45846</v>
      </c>
      <c r="D3390" t="inlineStr">
        <is>
          <t>UPPSALA LÄN</t>
        </is>
      </c>
      <c r="E3390" t="inlineStr">
        <is>
          <t>HEBY</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3214-2023</t>
        </is>
      </c>
      <c r="B3391" s="1" t="n">
        <v>44944</v>
      </c>
      <c r="C3391" s="1" t="n">
        <v>45846</v>
      </c>
      <c r="D3391" t="inlineStr">
        <is>
          <t>UPPSALA LÄN</t>
        </is>
      </c>
      <c r="E3391" t="inlineStr">
        <is>
          <t>UPPSALA</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5374-2023</t>
        </is>
      </c>
      <c r="B3392" s="1" t="n">
        <v>44944</v>
      </c>
      <c r="C3392" s="1" t="n">
        <v>45846</v>
      </c>
      <c r="D3392" t="inlineStr">
        <is>
          <t>UPPSALA LÄN</t>
        </is>
      </c>
      <c r="E3392" t="inlineStr">
        <is>
          <t>UPPSALA</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2860-2023</t>
        </is>
      </c>
      <c r="B3393" s="1" t="n">
        <v>44945</v>
      </c>
      <c r="C3393" s="1" t="n">
        <v>45846</v>
      </c>
      <c r="D3393" t="inlineStr">
        <is>
          <t>UPPSALA LÄN</t>
        </is>
      </c>
      <c r="E3393" t="inlineStr">
        <is>
          <t>HEBY</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2899-2023</t>
        </is>
      </c>
      <c r="B3394" s="1" t="n">
        <v>44945</v>
      </c>
      <c r="C3394" s="1" t="n">
        <v>45846</v>
      </c>
      <c r="D3394" t="inlineStr">
        <is>
          <t>UPPSALA LÄN</t>
        </is>
      </c>
      <c r="E3394" t="inlineStr">
        <is>
          <t>TIERP</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2942-2023</t>
        </is>
      </c>
      <c r="B3395" s="1" t="n">
        <v>44945</v>
      </c>
      <c r="C3395" s="1" t="n">
        <v>45846</v>
      </c>
      <c r="D3395" t="inlineStr">
        <is>
          <t>UPPSALA LÄN</t>
        </is>
      </c>
      <c r="E3395" t="inlineStr">
        <is>
          <t>UPPSALA</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2874-2023</t>
        </is>
      </c>
      <c r="B3396" s="1" t="n">
        <v>44945</v>
      </c>
      <c r="C3396" s="1" t="n">
        <v>45846</v>
      </c>
      <c r="D3396" t="inlineStr">
        <is>
          <t>UPPSALA LÄN</t>
        </is>
      </c>
      <c r="E3396" t="inlineStr">
        <is>
          <t>HEBY</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2902-2023</t>
        </is>
      </c>
      <c r="B3397" s="1" t="n">
        <v>44945</v>
      </c>
      <c r="C3397" s="1" t="n">
        <v>45846</v>
      </c>
      <c r="D3397" t="inlineStr">
        <is>
          <t>UPPSALA LÄN</t>
        </is>
      </c>
      <c r="E3397" t="inlineStr">
        <is>
          <t>TIERP</t>
        </is>
      </c>
      <c r="G3397" t="n">
        <v>6</v>
      </c>
      <c r="H3397" t="n">
        <v>0</v>
      </c>
      <c r="I3397" t="n">
        <v>0</v>
      </c>
      <c r="J3397" t="n">
        <v>0</v>
      </c>
      <c r="K3397" t="n">
        <v>0</v>
      </c>
      <c r="L3397" t="n">
        <v>0</v>
      </c>
      <c r="M3397" t="n">
        <v>0</v>
      </c>
      <c r="N3397" t="n">
        <v>0</v>
      </c>
      <c r="O3397" t="n">
        <v>0</v>
      </c>
      <c r="P3397" t="n">
        <v>0</v>
      </c>
      <c r="Q3397" t="n">
        <v>0</v>
      </c>
      <c r="R3397" s="2" t="inlineStr"/>
    </row>
    <row r="3398" ht="15" customHeight="1">
      <c r="A3398" t="inlineStr">
        <is>
          <t>A 2880-2023</t>
        </is>
      </c>
      <c r="B3398" s="1" t="n">
        <v>44945</v>
      </c>
      <c r="C3398" s="1" t="n">
        <v>45846</v>
      </c>
      <c r="D3398" t="inlineStr">
        <is>
          <t>UPPSALA LÄN</t>
        </is>
      </c>
      <c r="E3398" t="inlineStr">
        <is>
          <t>HEBY</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2901-2023</t>
        </is>
      </c>
      <c r="B3399" s="1" t="n">
        <v>44945</v>
      </c>
      <c r="C3399" s="1" t="n">
        <v>45846</v>
      </c>
      <c r="D3399" t="inlineStr">
        <is>
          <t>UPPSALA LÄN</t>
        </is>
      </c>
      <c r="E3399" t="inlineStr">
        <is>
          <t>TIERP</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2967-2023</t>
        </is>
      </c>
      <c r="B3400" s="1" t="n">
        <v>44945</v>
      </c>
      <c r="C3400" s="1" t="n">
        <v>45846</v>
      </c>
      <c r="D3400" t="inlineStr">
        <is>
          <t>UPPSALA LÄN</t>
        </is>
      </c>
      <c r="E3400" t="inlineStr">
        <is>
          <t>ÖSTHAMMAR</t>
        </is>
      </c>
      <c r="F3400" t="inlineStr">
        <is>
          <t>Övriga Aktiebolag</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3005-2023</t>
        </is>
      </c>
      <c r="B3401" s="1" t="n">
        <v>44945</v>
      </c>
      <c r="C3401" s="1" t="n">
        <v>45846</v>
      </c>
      <c r="D3401" t="inlineStr">
        <is>
          <t>UPPSALA LÄN</t>
        </is>
      </c>
      <c r="E3401" t="inlineStr">
        <is>
          <t>ÖSTHAMMAR</t>
        </is>
      </c>
      <c r="F3401" t="inlineStr">
        <is>
          <t>Bergvik skog öst AB</t>
        </is>
      </c>
      <c r="G3401" t="n">
        <v>6.5</v>
      </c>
      <c r="H3401" t="n">
        <v>0</v>
      </c>
      <c r="I3401" t="n">
        <v>0</v>
      </c>
      <c r="J3401" t="n">
        <v>0</v>
      </c>
      <c r="K3401" t="n">
        <v>0</v>
      </c>
      <c r="L3401" t="n">
        <v>0</v>
      </c>
      <c r="M3401" t="n">
        <v>0</v>
      </c>
      <c r="N3401" t="n">
        <v>0</v>
      </c>
      <c r="O3401" t="n">
        <v>0</v>
      </c>
      <c r="P3401" t="n">
        <v>0</v>
      </c>
      <c r="Q3401" t="n">
        <v>0</v>
      </c>
      <c r="R3401" s="2" t="inlineStr"/>
    </row>
    <row r="3402" ht="15" customHeight="1">
      <c r="A3402" t="inlineStr">
        <is>
          <t>A 3040-2023</t>
        </is>
      </c>
      <c r="B3402" s="1" t="n">
        <v>44946</v>
      </c>
      <c r="C3402" s="1" t="n">
        <v>45846</v>
      </c>
      <c r="D3402" t="inlineStr">
        <is>
          <t>UPPSALA LÄN</t>
        </is>
      </c>
      <c r="E3402" t="inlineStr">
        <is>
          <t>UPPSALA</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3089-2023</t>
        </is>
      </c>
      <c r="B3403" s="1" t="n">
        <v>44946</v>
      </c>
      <c r="C3403" s="1" t="n">
        <v>45846</v>
      </c>
      <c r="D3403" t="inlineStr">
        <is>
          <t>UPPSALA LÄN</t>
        </is>
      </c>
      <c r="E3403" t="inlineStr">
        <is>
          <t>UPPSALA</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3086-2023</t>
        </is>
      </c>
      <c r="B3404" s="1" t="n">
        <v>44946</v>
      </c>
      <c r="C3404" s="1" t="n">
        <v>45846</v>
      </c>
      <c r="D3404" t="inlineStr">
        <is>
          <t>UPPSALA LÄN</t>
        </is>
      </c>
      <c r="E3404" t="inlineStr">
        <is>
          <t>UPPSALA</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3092-2023</t>
        </is>
      </c>
      <c r="B3405" s="1" t="n">
        <v>44946</v>
      </c>
      <c r="C3405" s="1" t="n">
        <v>45846</v>
      </c>
      <c r="D3405" t="inlineStr">
        <is>
          <t>UPPSALA LÄN</t>
        </is>
      </c>
      <c r="E3405" t="inlineStr">
        <is>
          <t>UPPSALA</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3234-2023</t>
        </is>
      </c>
      <c r="B3406" s="1" t="n">
        <v>44946</v>
      </c>
      <c r="C3406" s="1" t="n">
        <v>45846</v>
      </c>
      <c r="D3406" t="inlineStr">
        <is>
          <t>UPPSALA LÄN</t>
        </is>
      </c>
      <c r="E3406" t="inlineStr">
        <is>
          <t>HEBY</t>
        </is>
      </c>
      <c r="G3406" t="n">
        <v>7.4</v>
      </c>
      <c r="H3406" t="n">
        <v>0</v>
      </c>
      <c r="I3406" t="n">
        <v>0</v>
      </c>
      <c r="J3406" t="n">
        <v>0</v>
      </c>
      <c r="K3406" t="n">
        <v>0</v>
      </c>
      <c r="L3406" t="n">
        <v>0</v>
      </c>
      <c r="M3406" t="n">
        <v>0</v>
      </c>
      <c r="N3406" t="n">
        <v>0</v>
      </c>
      <c r="O3406" t="n">
        <v>0</v>
      </c>
      <c r="P3406" t="n">
        <v>0</v>
      </c>
      <c r="Q3406" t="n">
        <v>0</v>
      </c>
      <c r="R3406" s="2" t="inlineStr"/>
    </row>
    <row r="3407" ht="15" customHeight="1">
      <c r="A3407" t="inlineStr">
        <is>
          <t>A 3232-2023</t>
        </is>
      </c>
      <c r="B3407" s="1" t="n">
        <v>44946</v>
      </c>
      <c r="C3407" s="1" t="n">
        <v>45846</v>
      </c>
      <c r="D3407" t="inlineStr">
        <is>
          <t>UPPSALA LÄN</t>
        </is>
      </c>
      <c r="E3407" t="inlineStr">
        <is>
          <t>HEBY</t>
        </is>
      </c>
      <c r="G3407" t="n">
        <v>10.2</v>
      </c>
      <c r="H3407" t="n">
        <v>0</v>
      </c>
      <c r="I3407" t="n">
        <v>0</v>
      </c>
      <c r="J3407" t="n">
        <v>0</v>
      </c>
      <c r="K3407" t="n">
        <v>0</v>
      </c>
      <c r="L3407" t="n">
        <v>0</v>
      </c>
      <c r="M3407" t="n">
        <v>0</v>
      </c>
      <c r="N3407" t="n">
        <v>0</v>
      </c>
      <c r="O3407" t="n">
        <v>0</v>
      </c>
      <c r="P3407" t="n">
        <v>0</v>
      </c>
      <c r="Q3407" t="n">
        <v>0</v>
      </c>
      <c r="R3407" s="2" t="inlineStr"/>
    </row>
    <row r="3408" ht="15" customHeight="1">
      <c r="A3408" t="inlineStr">
        <is>
          <t>A 3743-2023</t>
        </is>
      </c>
      <c r="B3408" s="1" t="n">
        <v>44948</v>
      </c>
      <c r="C3408" s="1" t="n">
        <v>45846</v>
      </c>
      <c r="D3408" t="inlineStr">
        <is>
          <t>UPPSALA LÄN</t>
        </is>
      </c>
      <c r="E3408" t="inlineStr">
        <is>
          <t>ÖSTHAMMAR</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3327-2023</t>
        </is>
      </c>
      <c r="B3409" s="1" t="n">
        <v>44949</v>
      </c>
      <c r="C3409" s="1" t="n">
        <v>45846</v>
      </c>
      <c r="D3409" t="inlineStr">
        <is>
          <t>UPPSALA LÄN</t>
        </is>
      </c>
      <c r="E3409" t="inlineStr">
        <is>
          <t>ÖSTHAMMAR</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3343-2023</t>
        </is>
      </c>
      <c r="B3410" s="1" t="n">
        <v>44949</v>
      </c>
      <c r="C3410" s="1" t="n">
        <v>45846</v>
      </c>
      <c r="D3410" t="inlineStr">
        <is>
          <t>UPPSALA LÄN</t>
        </is>
      </c>
      <c r="E3410" t="inlineStr">
        <is>
          <t>UPPSALA</t>
        </is>
      </c>
      <c r="F3410" t="inlineStr">
        <is>
          <t>Allmännings- och besparingsskogar</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3353-2023</t>
        </is>
      </c>
      <c r="B3411" s="1" t="n">
        <v>44949</v>
      </c>
      <c r="C3411" s="1" t="n">
        <v>45846</v>
      </c>
      <c r="D3411" t="inlineStr">
        <is>
          <t>UPPSALA LÄN</t>
        </is>
      </c>
      <c r="E3411" t="inlineStr">
        <is>
          <t>UPPSALA</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3550-2023</t>
        </is>
      </c>
      <c r="B3412" s="1" t="n">
        <v>44950</v>
      </c>
      <c r="C3412" s="1" t="n">
        <v>45846</v>
      </c>
      <c r="D3412" t="inlineStr">
        <is>
          <t>UPPSALA LÄN</t>
        </is>
      </c>
      <c r="E3412" t="inlineStr">
        <is>
          <t>ENKÖPING</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3547-2023</t>
        </is>
      </c>
      <c r="B3413" s="1" t="n">
        <v>44950</v>
      </c>
      <c r="C3413" s="1" t="n">
        <v>45846</v>
      </c>
      <c r="D3413" t="inlineStr">
        <is>
          <t>UPPSALA LÄN</t>
        </is>
      </c>
      <c r="E3413" t="inlineStr">
        <is>
          <t>HEBY</t>
        </is>
      </c>
      <c r="G3413" t="n">
        <v>6.5</v>
      </c>
      <c r="H3413" t="n">
        <v>0</v>
      </c>
      <c r="I3413" t="n">
        <v>0</v>
      </c>
      <c r="J3413" t="n">
        <v>0</v>
      </c>
      <c r="K3413" t="n">
        <v>0</v>
      </c>
      <c r="L3413" t="n">
        <v>0</v>
      </c>
      <c r="M3413" t="n">
        <v>0</v>
      </c>
      <c r="N3413" t="n">
        <v>0</v>
      </c>
      <c r="O3413" t="n">
        <v>0</v>
      </c>
      <c r="P3413" t="n">
        <v>0</v>
      </c>
      <c r="Q3413" t="n">
        <v>0</v>
      </c>
      <c r="R3413" s="2" t="inlineStr"/>
    </row>
    <row r="3414" ht="15" customHeight="1">
      <c r="A3414" t="inlineStr">
        <is>
          <t>A 3514-2023</t>
        </is>
      </c>
      <c r="B3414" s="1" t="n">
        <v>44950</v>
      </c>
      <c r="C3414" s="1" t="n">
        <v>45846</v>
      </c>
      <c r="D3414" t="inlineStr">
        <is>
          <t>UPPSALA LÄN</t>
        </is>
      </c>
      <c r="E3414" t="inlineStr">
        <is>
          <t>ÖSTHAMMAR</t>
        </is>
      </c>
      <c r="F3414" t="inlineStr">
        <is>
          <t>Övriga Aktiebolag</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3545-2023</t>
        </is>
      </c>
      <c r="B3415" s="1" t="n">
        <v>44950</v>
      </c>
      <c r="C3415" s="1" t="n">
        <v>45846</v>
      </c>
      <c r="D3415" t="inlineStr">
        <is>
          <t>UPPSALA LÄN</t>
        </is>
      </c>
      <c r="E3415" t="inlineStr">
        <is>
          <t>TIERP</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3561-2023</t>
        </is>
      </c>
      <c r="B3416" s="1" t="n">
        <v>44950</v>
      </c>
      <c r="C3416" s="1" t="n">
        <v>45846</v>
      </c>
      <c r="D3416" t="inlineStr">
        <is>
          <t>UPPSALA LÄN</t>
        </is>
      </c>
      <c r="E3416" t="inlineStr">
        <is>
          <t>TIERP</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3661-2023</t>
        </is>
      </c>
      <c r="B3417" s="1" t="n">
        <v>44950</v>
      </c>
      <c r="C3417" s="1" t="n">
        <v>45846</v>
      </c>
      <c r="D3417" t="inlineStr">
        <is>
          <t>UPPSALA LÄN</t>
        </is>
      </c>
      <c r="E3417" t="inlineStr">
        <is>
          <t>UPPSALA</t>
        </is>
      </c>
      <c r="F3417" t="inlineStr">
        <is>
          <t>Allmännings- och besparingsskogar</t>
        </is>
      </c>
      <c r="G3417" t="n">
        <v>8.699999999999999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4213-2023</t>
        </is>
      </c>
      <c r="B3418" s="1" t="n">
        <v>44951</v>
      </c>
      <c r="C3418" s="1" t="n">
        <v>45846</v>
      </c>
      <c r="D3418" t="inlineStr">
        <is>
          <t>UPPSALA LÄN</t>
        </is>
      </c>
      <c r="E3418" t="inlineStr">
        <is>
          <t>HEBY</t>
        </is>
      </c>
      <c r="G3418" t="n">
        <v>11.2</v>
      </c>
      <c r="H3418" t="n">
        <v>0</v>
      </c>
      <c r="I3418" t="n">
        <v>0</v>
      </c>
      <c r="J3418" t="n">
        <v>0</v>
      </c>
      <c r="K3418" t="n">
        <v>0</v>
      </c>
      <c r="L3418" t="n">
        <v>0</v>
      </c>
      <c r="M3418" t="n">
        <v>0</v>
      </c>
      <c r="N3418" t="n">
        <v>0</v>
      </c>
      <c r="O3418" t="n">
        <v>0</v>
      </c>
      <c r="P3418" t="n">
        <v>0</v>
      </c>
      <c r="Q3418" t="n">
        <v>0</v>
      </c>
      <c r="R3418" s="2" t="inlineStr"/>
    </row>
    <row r="3419" ht="15" customHeight="1">
      <c r="A3419" t="inlineStr">
        <is>
          <t>A 3940-2023</t>
        </is>
      </c>
      <c r="B3419" s="1" t="n">
        <v>44952</v>
      </c>
      <c r="C3419" s="1" t="n">
        <v>45846</v>
      </c>
      <c r="D3419" t="inlineStr">
        <is>
          <t>UPPSALA LÄN</t>
        </is>
      </c>
      <c r="E3419" t="inlineStr">
        <is>
          <t>UPPSALA</t>
        </is>
      </c>
      <c r="F3419" t="inlineStr">
        <is>
          <t>Bergvik skog öst AB</t>
        </is>
      </c>
      <c r="G3419" t="n">
        <v>20.6</v>
      </c>
      <c r="H3419" t="n">
        <v>0</v>
      </c>
      <c r="I3419" t="n">
        <v>0</v>
      </c>
      <c r="J3419" t="n">
        <v>0</v>
      </c>
      <c r="K3419" t="n">
        <v>0</v>
      </c>
      <c r="L3419" t="n">
        <v>0</v>
      </c>
      <c r="M3419" t="n">
        <v>0</v>
      </c>
      <c r="N3419" t="n">
        <v>0</v>
      </c>
      <c r="O3419" t="n">
        <v>0</v>
      </c>
      <c r="P3419" t="n">
        <v>0</v>
      </c>
      <c r="Q3419" t="n">
        <v>0</v>
      </c>
      <c r="R3419" s="2" t="inlineStr"/>
    </row>
    <row r="3420" ht="15" customHeight="1">
      <c r="A3420" t="inlineStr">
        <is>
          <t>A 3939-2023</t>
        </is>
      </c>
      <c r="B3420" s="1" t="n">
        <v>44952</v>
      </c>
      <c r="C3420" s="1" t="n">
        <v>45846</v>
      </c>
      <c r="D3420" t="inlineStr">
        <is>
          <t>UPPSALA LÄN</t>
        </is>
      </c>
      <c r="E3420" t="inlineStr">
        <is>
          <t>UPPSALA</t>
        </is>
      </c>
      <c r="F3420" t="inlineStr">
        <is>
          <t>Bergvik skog öst AB</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4004-2023</t>
        </is>
      </c>
      <c r="B3421" s="1" t="n">
        <v>44952</v>
      </c>
      <c r="C3421" s="1" t="n">
        <v>45846</v>
      </c>
      <c r="D3421" t="inlineStr">
        <is>
          <t>UPPSALA LÄN</t>
        </is>
      </c>
      <c r="E3421" t="inlineStr">
        <is>
          <t>ÖSTHAMMAR</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4054-2023</t>
        </is>
      </c>
      <c r="B3422" s="1" t="n">
        <v>44952</v>
      </c>
      <c r="C3422" s="1" t="n">
        <v>45846</v>
      </c>
      <c r="D3422" t="inlineStr">
        <is>
          <t>UPPSALA LÄN</t>
        </is>
      </c>
      <c r="E3422" t="inlineStr">
        <is>
          <t>ÖSTHAMMAR</t>
        </is>
      </c>
      <c r="F3422" t="inlineStr">
        <is>
          <t>Övriga Aktiebolag</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4233-2023</t>
        </is>
      </c>
      <c r="B3423" s="1" t="n">
        <v>44953</v>
      </c>
      <c r="C3423" s="1" t="n">
        <v>45846</v>
      </c>
      <c r="D3423" t="inlineStr">
        <is>
          <t>UPPSALA LÄN</t>
        </is>
      </c>
      <c r="E3423" t="inlineStr">
        <is>
          <t>ÖSTHAMMAR</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4276-2023</t>
        </is>
      </c>
      <c r="B3424" s="1" t="n">
        <v>44953</v>
      </c>
      <c r="C3424" s="1" t="n">
        <v>45846</v>
      </c>
      <c r="D3424" t="inlineStr">
        <is>
          <t>UPPSALA LÄN</t>
        </is>
      </c>
      <c r="E3424" t="inlineStr">
        <is>
          <t>TIERP</t>
        </is>
      </c>
      <c r="G3424" t="n">
        <v>6</v>
      </c>
      <c r="H3424" t="n">
        <v>0</v>
      </c>
      <c r="I3424" t="n">
        <v>0</v>
      </c>
      <c r="J3424" t="n">
        <v>0</v>
      </c>
      <c r="K3424" t="n">
        <v>0</v>
      </c>
      <c r="L3424" t="n">
        <v>0</v>
      </c>
      <c r="M3424" t="n">
        <v>0</v>
      </c>
      <c r="N3424" t="n">
        <v>0</v>
      </c>
      <c r="O3424" t="n">
        <v>0</v>
      </c>
      <c r="P3424" t="n">
        <v>0</v>
      </c>
      <c r="Q3424" t="n">
        <v>0</v>
      </c>
      <c r="R3424" s="2" t="inlineStr"/>
    </row>
    <row r="3425" ht="15" customHeight="1">
      <c r="A3425" t="inlineStr">
        <is>
          <t>A 4228-2023</t>
        </is>
      </c>
      <c r="B3425" s="1" t="n">
        <v>44953</v>
      </c>
      <c r="C3425" s="1" t="n">
        <v>45846</v>
      </c>
      <c r="D3425" t="inlineStr">
        <is>
          <t>UPPSALA LÄN</t>
        </is>
      </c>
      <c r="E3425" t="inlineStr">
        <is>
          <t>ÖSTHAMMAR</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4329-2023</t>
        </is>
      </c>
      <c r="B3426" s="1" t="n">
        <v>44953</v>
      </c>
      <c r="C3426" s="1" t="n">
        <v>45846</v>
      </c>
      <c r="D3426" t="inlineStr">
        <is>
          <t>UPPSALA LÄN</t>
        </is>
      </c>
      <c r="E3426" t="inlineStr">
        <is>
          <t>TIERP</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4361-2023</t>
        </is>
      </c>
      <c r="B3427" s="1" t="n">
        <v>44954</v>
      </c>
      <c r="C3427" s="1" t="n">
        <v>45846</v>
      </c>
      <c r="D3427" t="inlineStr">
        <is>
          <t>UPPSALA LÄN</t>
        </is>
      </c>
      <c r="E3427" t="inlineStr">
        <is>
          <t>ÖSTHAMMAR</t>
        </is>
      </c>
      <c r="F3427" t="inlineStr">
        <is>
          <t>Bergvik skog öst AB</t>
        </is>
      </c>
      <c r="G3427" t="n">
        <v>18.3</v>
      </c>
      <c r="H3427" t="n">
        <v>0</v>
      </c>
      <c r="I3427" t="n">
        <v>0</v>
      </c>
      <c r="J3427" t="n">
        <v>0</v>
      </c>
      <c r="K3427" t="n">
        <v>0</v>
      </c>
      <c r="L3427" t="n">
        <v>0</v>
      </c>
      <c r="M3427" t="n">
        <v>0</v>
      </c>
      <c r="N3427" t="n">
        <v>0</v>
      </c>
      <c r="O3427" t="n">
        <v>0</v>
      </c>
      <c r="P3427" t="n">
        <v>0</v>
      </c>
      <c r="Q3427" t="n">
        <v>0</v>
      </c>
      <c r="R3427" s="2" t="inlineStr"/>
    </row>
    <row r="3428" ht="15" customHeight="1">
      <c r="A3428" t="inlineStr">
        <is>
          <t>A 4487-2023</t>
        </is>
      </c>
      <c r="B3428" s="1" t="n">
        <v>44956</v>
      </c>
      <c r="C3428" s="1" t="n">
        <v>45846</v>
      </c>
      <c r="D3428" t="inlineStr">
        <is>
          <t>UPPSALA LÄN</t>
        </is>
      </c>
      <c r="E3428" t="inlineStr">
        <is>
          <t>HEBY</t>
        </is>
      </c>
      <c r="F3428" t="inlineStr">
        <is>
          <t>Kyrkan</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4409-2023</t>
        </is>
      </c>
      <c r="B3429" s="1" t="n">
        <v>44956</v>
      </c>
      <c r="C3429" s="1" t="n">
        <v>45846</v>
      </c>
      <c r="D3429" t="inlineStr">
        <is>
          <t>UPPSALA LÄN</t>
        </is>
      </c>
      <c r="E3429" t="inlineStr">
        <is>
          <t>TIERP</t>
        </is>
      </c>
      <c r="F3429" t="inlineStr">
        <is>
          <t>Bergvik skog öst AB</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4531-2023</t>
        </is>
      </c>
      <c r="B3430" s="1" t="n">
        <v>44956</v>
      </c>
      <c r="C3430" s="1" t="n">
        <v>45846</v>
      </c>
      <c r="D3430" t="inlineStr">
        <is>
          <t>UPPSALA LÄN</t>
        </is>
      </c>
      <c r="E3430" t="inlineStr">
        <is>
          <t>TIERP</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4511-2023</t>
        </is>
      </c>
      <c r="B3431" s="1" t="n">
        <v>44956</v>
      </c>
      <c r="C3431" s="1" t="n">
        <v>45846</v>
      </c>
      <c r="D3431" t="inlineStr">
        <is>
          <t>UPPSALA LÄN</t>
        </is>
      </c>
      <c r="E3431" t="inlineStr">
        <is>
          <t>TIERP</t>
        </is>
      </c>
      <c r="G3431" t="n">
        <v>7.8</v>
      </c>
      <c r="H3431" t="n">
        <v>0</v>
      </c>
      <c r="I3431" t="n">
        <v>0</v>
      </c>
      <c r="J3431" t="n">
        <v>0</v>
      </c>
      <c r="K3431" t="n">
        <v>0</v>
      </c>
      <c r="L3431" t="n">
        <v>0</v>
      </c>
      <c r="M3431" t="n">
        <v>0</v>
      </c>
      <c r="N3431" t="n">
        <v>0</v>
      </c>
      <c r="O3431" t="n">
        <v>0</v>
      </c>
      <c r="P3431" t="n">
        <v>0</v>
      </c>
      <c r="Q3431" t="n">
        <v>0</v>
      </c>
      <c r="R3431" s="2" t="inlineStr"/>
    </row>
    <row r="3432" ht="15" customHeight="1">
      <c r="A3432" t="inlineStr">
        <is>
          <t>A 4530-2023</t>
        </is>
      </c>
      <c r="B3432" s="1" t="n">
        <v>44956</v>
      </c>
      <c r="C3432" s="1" t="n">
        <v>45846</v>
      </c>
      <c r="D3432" t="inlineStr">
        <is>
          <t>UPPSALA LÄN</t>
        </is>
      </c>
      <c r="E3432" t="inlineStr">
        <is>
          <t>TIERP</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4639-2023</t>
        </is>
      </c>
      <c r="B3433" s="1" t="n">
        <v>44957</v>
      </c>
      <c r="C3433" s="1" t="n">
        <v>45846</v>
      </c>
      <c r="D3433" t="inlineStr">
        <is>
          <t>UPPSALA LÄN</t>
        </is>
      </c>
      <c r="E3433" t="inlineStr">
        <is>
          <t>HEBY</t>
        </is>
      </c>
      <c r="F3433" t="inlineStr">
        <is>
          <t>Kyrkan</t>
        </is>
      </c>
      <c r="G3433" t="n">
        <v>9.5</v>
      </c>
      <c r="H3433" t="n">
        <v>0</v>
      </c>
      <c r="I3433" t="n">
        <v>0</v>
      </c>
      <c r="J3433" t="n">
        <v>0</v>
      </c>
      <c r="K3433" t="n">
        <v>0</v>
      </c>
      <c r="L3433" t="n">
        <v>0</v>
      </c>
      <c r="M3433" t="n">
        <v>0</v>
      </c>
      <c r="N3433" t="n">
        <v>0</v>
      </c>
      <c r="O3433" t="n">
        <v>0</v>
      </c>
      <c r="P3433" t="n">
        <v>0</v>
      </c>
      <c r="Q3433" t="n">
        <v>0</v>
      </c>
      <c r="R3433" s="2" t="inlineStr"/>
    </row>
    <row r="3434" ht="15" customHeight="1">
      <c r="A3434" t="inlineStr">
        <is>
          <t>A 5404-2023</t>
        </is>
      </c>
      <c r="B3434" s="1" t="n">
        <v>44957</v>
      </c>
      <c r="C3434" s="1" t="n">
        <v>45846</v>
      </c>
      <c r="D3434" t="inlineStr">
        <is>
          <t>UPPSALA LÄN</t>
        </is>
      </c>
      <c r="E3434" t="inlineStr">
        <is>
          <t>ÖSTHAMMAR</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4901-2023</t>
        </is>
      </c>
      <c r="B3435" s="1" t="n">
        <v>44958</v>
      </c>
      <c r="C3435" s="1" t="n">
        <v>45846</v>
      </c>
      <c r="D3435" t="inlineStr">
        <is>
          <t>UPPSALA LÄN</t>
        </is>
      </c>
      <c r="E3435" t="inlineStr">
        <is>
          <t>ENKÖPING</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5060-2023</t>
        </is>
      </c>
      <c r="B3436" s="1" t="n">
        <v>44958</v>
      </c>
      <c r="C3436" s="1" t="n">
        <v>45846</v>
      </c>
      <c r="D3436" t="inlineStr">
        <is>
          <t>UPPSALA LÄN</t>
        </is>
      </c>
      <c r="E3436" t="inlineStr">
        <is>
          <t>HEBY</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5254-2023</t>
        </is>
      </c>
      <c r="B3437" s="1" t="n">
        <v>44959</v>
      </c>
      <c r="C3437" s="1" t="n">
        <v>45846</v>
      </c>
      <c r="D3437" t="inlineStr">
        <is>
          <t>UPPSALA LÄN</t>
        </is>
      </c>
      <c r="E3437" t="inlineStr">
        <is>
          <t>UPPSALA</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5258-2023</t>
        </is>
      </c>
      <c r="B3438" s="1" t="n">
        <v>44959</v>
      </c>
      <c r="C3438" s="1" t="n">
        <v>45846</v>
      </c>
      <c r="D3438" t="inlineStr">
        <is>
          <t>UPPSALA LÄN</t>
        </is>
      </c>
      <c r="E3438" t="inlineStr">
        <is>
          <t>UPPSALA</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5289-2023</t>
        </is>
      </c>
      <c r="B3439" s="1" t="n">
        <v>44959</v>
      </c>
      <c r="C3439" s="1" t="n">
        <v>45846</v>
      </c>
      <c r="D3439" t="inlineStr">
        <is>
          <t>UPPSALA LÄN</t>
        </is>
      </c>
      <c r="E3439" t="inlineStr">
        <is>
          <t>TIERP</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5429-2023</t>
        </is>
      </c>
      <c r="B3440" s="1" t="n">
        <v>44959</v>
      </c>
      <c r="C3440" s="1" t="n">
        <v>45846</v>
      </c>
      <c r="D3440" t="inlineStr">
        <is>
          <t>UPPSALA LÄN</t>
        </is>
      </c>
      <c r="E3440" t="inlineStr">
        <is>
          <t>ÖSTHAMMAR</t>
        </is>
      </c>
      <c r="F3440" t="inlineStr">
        <is>
          <t>Bergvik skog öst AB</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5378-2023</t>
        </is>
      </c>
      <c r="B3441" s="1" t="n">
        <v>44959</v>
      </c>
      <c r="C3441" s="1" t="n">
        <v>45846</v>
      </c>
      <c r="D3441" t="inlineStr">
        <is>
          <t>UPPSALA LÄN</t>
        </is>
      </c>
      <c r="E3441" t="inlineStr">
        <is>
          <t>HEBY</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5430-2023</t>
        </is>
      </c>
      <c r="B3442" s="1" t="n">
        <v>44959</v>
      </c>
      <c r="C3442" s="1" t="n">
        <v>45846</v>
      </c>
      <c r="D3442" t="inlineStr">
        <is>
          <t>UPPSALA LÄN</t>
        </is>
      </c>
      <c r="E3442" t="inlineStr">
        <is>
          <t>ÖSTHAMMAR</t>
        </is>
      </c>
      <c r="F3442" t="inlineStr">
        <is>
          <t>Bergvik skog öst AB</t>
        </is>
      </c>
      <c r="G3442" t="n">
        <v>18.4</v>
      </c>
      <c r="H3442" t="n">
        <v>0</v>
      </c>
      <c r="I3442" t="n">
        <v>0</v>
      </c>
      <c r="J3442" t="n">
        <v>0</v>
      </c>
      <c r="K3442" t="n">
        <v>0</v>
      </c>
      <c r="L3442" t="n">
        <v>0</v>
      </c>
      <c r="M3442" t="n">
        <v>0</v>
      </c>
      <c r="N3442" t="n">
        <v>0</v>
      </c>
      <c r="O3442" t="n">
        <v>0</v>
      </c>
      <c r="P3442" t="n">
        <v>0</v>
      </c>
      <c r="Q3442" t="n">
        <v>0</v>
      </c>
      <c r="R3442" s="2" t="inlineStr"/>
    </row>
    <row r="3443" ht="15" customHeight="1">
      <c r="A3443" t="inlineStr">
        <is>
          <t>A 5247-2023</t>
        </is>
      </c>
      <c r="B3443" s="1" t="n">
        <v>44959</v>
      </c>
      <c r="C3443" s="1" t="n">
        <v>45846</v>
      </c>
      <c r="D3443" t="inlineStr">
        <is>
          <t>UPPSALA LÄN</t>
        </is>
      </c>
      <c r="E3443" t="inlineStr">
        <is>
          <t>UPPSALA</t>
        </is>
      </c>
      <c r="G3443" t="n">
        <v>11.1</v>
      </c>
      <c r="H3443" t="n">
        <v>0</v>
      </c>
      <c r="I3443" t="n">
        <v>0</v>
      </c>
      <c r="J3443" t="n">
        <v>0</v>
      </c>
      <c r="K3443" t="n">
        <v>0</v>
      </c>
      <c r="L3443" t="n">
        <v>0</v>
      </c>
      <c r="M3443" t="n">
        <v>0</v>
      </c>
      <c r="N3443" t="n">
        <v>0</v>
      </c>
      <c r="O3443" t="n">
        <v>0</v>
      </c>
      <c r="P3443" t="n">
        <v>0</v>
      </c>
      <c r="Q3443" t="n">
        <v>0</v>
      </c>
      <c r="R3443" s="2" t="inlineStr"/>
    </row>
    <row r="3444" ht="15" customHeight="1">
      <c r="A3444" t="inlineStr">
        <is>
          <t>A 5402-2023</t>
        </is>
      </c>
      <c r="B3444" s="1" t="n">
        <v>44959</v>
      </c>
      <c r="C3444" s="1" t="n">
        <v>45846</v>
      </c>
      <c r="D3444" t="inlineStr">
        <is>
          <t>UPPSALA LÄN</t>
        </is>
      </c>
      <c r="E3444" t="inlineStr">
        <is>
          <t>KNIVSTA</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5643-2023</t>
        </is>
      </c>
      <c r="B3445" s="1" t="n">
        <v>44960</v>
      </c>
      <c r="C3445" s="1" t="n">
        <v>45846</v>
      </c>
      <c r="D3445" t="inlineStr">
        <is>
          <t>UPPSALA LÄN</t>
        </is>
      </c>
      <c r="E3445" t="inlineStr">
        <is>
          <t>ÖSTHAMMAR</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5678-2023</t>
        </is>
      </c>
      <c r="B3446" s="1" t="n">
        <v>44960</v>
      </c>
      <c r="C3446" s="1" t="n">
        <v>45846</v>
      </c>
      <c r="D3446" t="inlineStr">
        <is>
          <t>UPPSALA LÄN</t>
        </is>
      </c>
      <c r="E3446" t="inlineStr">
        <is>
          <t>UPPSALA</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5682-2023</t>
        </is>
      </c>
      <c r="B3447" s="1" t="n">
        <v>44960</v>
      </c>
      <c r="C3447" s="1" t="n">
        <v>45846</v>
      </c>
      <c r="D3447" t="inlineStr">
        <is>
          <t>UPPSALA LÄN</t>
        </is>
      </c>
      <c r="E3447" t="inlineStr">
        <is>
          <t>UPPSALA</t>
        </is>
      </c>
      <c r="F3447" t="inlineStr">
        <is>
          <t>Allmännings- och besparingsskogar</t>
        </is>
      </c>
      <c r="G3447" t="n">
        <v>14.2</v>
      </c>
      <c r="H3447" t="n">
        <v>0</v>
      </c>
      <c r="I3447" t="n">
        <v>0</v>
      </c>
      <c r="J3447" t="n">
        <v>0</v>
      </c>
      <c r="K3447" t="n">
        <v>0</v>
      </c>
      <c r="L3447" t="n">
        <v>0</v>
      </c>
      <c r="M3447" t="n">
        <v>0</v>
      </c>
      <c r="N3447" t="n">
        <v>0</v>
      </c>
      <c r="O3447" t="n">
        <v>0</v>
      </c>
      <c r="P3447" t="n">
        <v>0</v>
      </c>
      <c r="Q3447" t="n">
        <v>0</v>
      </c>
      <c r="R3447" s="2" t="inlineStr"/>
    </row>
    <row r="3448" ht="15" customHeight="1">
      <c r="A3448" t="inlineStr">
        <is>
          <t>A 5663-2023</t>
        </is>
      </c>
      <c r="B3448" s="1" t="n">
        <v>44960</v>
      </c>
      <c r="C3448" s="1" t="n">
        <v>45846</v>
      </c>
      <c r="D3448" t="inlineStr">
        <is>
          <t>UPPSALA LÄN</t>
        </is>
      </c>
      <c r="E3448" t="inlineStr">
        <is>
          <t>UPPSALA</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5669-2023</t>
        </is>
      </c>
      <c r="B3449" s="1" t="n">
        <v>44960</v>
      </c>
      <c r="C3449" s="1" t="n">
        <v>45846</v>
      </c>
      <c r="D3449" t="inlineStr">
        <is>
          <t>UPPSALA LÄN</t>
        </is>
      </c>
      <c r="E3449" t="inlineStr">
        <is>
          <t>UPPSALA</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5675-2023</t>
        </is>
      </c>
      <c r="B3450" s="1" t="n">
        <v>44960</v>
      </c>
      <c r="C3450" s="1" t="n">
        <v>45846</v>
      </c>
      <c r="D3450" t="inlineStr">
        <is>
          <t>UPPSALA LÄN</t>
        </is>
      </c>
      <c r="E3450" t="inlineStr">
        <is>
          <t>UPPSALA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5565-2023</t>
        </is>
      </c>
      <c r="B3451" s="1" t="n">
        <v>44960</v>
      </c>
      <c r="C3451" s="1" t="n">
        <v>45846</v>
      </c>
      <c r="D3451" t="inlineStr">
        <is>
          <t>UPPSALA LÄN</t>
        </is>
      </c>
      <c r="E3451" t="inlineStr">
        <is>
          <t>HEBY</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5570-2023</t>
        </is>
      </c>
      <c r="B3452" s="1" t="n">
        <v>44960</v>
      </c>
      <c r="C3452" s="1" t="n">
        <v>45846</v>
      </c>
      <c r="D3452" t="inlineStr">
        <is>
          <t>UPPSALA LÄN</t>
        </is>
      </c>
      <c r="E3452" t="inlineStr">
        <is>
          <t>HEBY</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6629-2023</t>
        </is>
      </c>
      <c r="B3453" s="1" t="n">
        <v>44960</v>
      </c>
      <c r="C3453" s="1" t="n">
        <v>45846</v>
      </c>
      <c r="D3453" t="inlineStr">
        <is>
          <t>UPPSALA LÄN</t>
        </is>
      </c>
      <c r="E3453" t="inlineStr">
        <is>
          <t>ÖSTHAMMAR</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6635-2023</t>
        </is>
      </c>
      <c r="B3454" s="1" t="n">
        <v>44960</v>
      </c>
      <c r="C3454" s="1" t="n">
        <v>45846</v>
      </c>
      <c r="D3454" t="inlineStr">
        <is>
          <t>UPPSALA LÄN</t>
        </is>
      </c>
      <c r="E3454" t="inlineStr">
        <is>
          <t>ÖSTHAMMAR</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5832-2023</t>
        </is>
      </c>
      <c r="B3455" s="1" t="n">
        <v>44963</v>
      </c>
      <c r="C3455" s="1" t="n">
        <v>45846</v>
      </c>
      <c r="D3455" t="inlineStr">
        <is>
          <t>UPPSALA LÄN</t>
        </is>
      </c>
      <c r="E3455" t="inlineStr">
        <is>
          <t>ÖSTHAMMAR</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5836-2023</t>
        </is>
      </c>
      <c r="B3456" s="1" t="n">
        <v>44963</v>
      </c>
      <c r="C3456" s="1" t="n">
        <v>45846</v>
      </c>
      <c r="D3456" t="inlineStr">
        <is>
          <t>UPPSALA LÄN</t>
        </is>
      </c>
      <c r="E3456" t="inlineStr">
        <is>
          <t>ÖSTHAMMAR</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5831-2023</t>
        </is>
      </c>
      <c r="B3457" s="1" t="n">
        <v>44963</v>
      </c>
      <c r="C3457" s="1" t="n">
        <v>45846</v>
      </c>
      <c r="D3457" t="inlineStr">
        <is>
          <t>UPPSALA LÄN</t>
        </is>
      </c>
      <c r="E3457" t="inlineStr">
        <is>
          <t>ÖSTHAMMAR</t>
        </is>
      </c>
      <c r="G3457" t="n">
        <v>8.1</v>
      </c>
      <c r="H3457" t="n">
        <v>0</v>
      </c>
      <c r="I3457" t="n">
        <v>0</v>
      </c>
      <c r="J3457" t="n">
        <v>0</v>
      </c>
      <c r="K3457" t="n">
        <v>0</v>
      </c>
      <c r="L3457" t="n">
        <v>0</v>
      </c>
      <c r="M3457" t="n">
        <v>0</v>
      </c>
      <c r="N3457" t="n">
        <v>0</v>
      </c>
      <c r="O3457" t="n">
        <v>0</v>
      </c>
      <c r="P3457" t="n">
        <v>0</v>
      </c>
      <c r="Q3457" t="n">
        <v>0</v>
      </c>
      <c r="R3457" s="2" t="inlineStr"/>
    </row>
    <row r="3458" ht="15" customHeight="1">
      <c r="A3458" t="inlineStr">
        <is>
          <t>A 5857-2023</t>
        </is>
      </c>
      <c r="B3458" s="1" t="n">
        <v>44963</v>
      </c>
      <c r="C3458" s="1" t="n">
        <v>45846</v>
      </c>
      <c r="D3458" t="inlineStr">
        <is>
          <t>UPPSALA LÄN</t>
        </is>
      </c>
      <c r="E3458" t="inlineStr">
        <is>
          <t>ÖSTHAMMAR</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5892-2023</t>
        </is>
      </c>
      <c r="B3459" s="1" t="n">
        <v>44963</v>
      </c>
      <c r="C3459" s="1" t="n">
        <v>45846</v>
      </c>
      <c r="D3459" t="inlineStr">
        <is>
          <t>UPPSALA LÄN</t>
        </is>
      </c>
      <c r="E3459" t="inlineStr">
        <is>
          <t>ENKÖPING</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5884-2023</t>
        </is>
      </c>
      <c r="B3460" s="1" t="n">
        <v>44963</v>
      </c>
      <c r="C3460" s="1" t="n">
        <v>45846</v>
      </c>
      <c r="D3460" t="inlineStr">
        <is>
          <t>UPPSALA LÄN</t>
        </is>
      </c>
      <c r="E3460" t="inlineStr">
        <is>
          <t>ÖSTHAMMAR</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5877-2023</t>
        </is>
      </c>
      <c r="B3461" s="1" t="n">
        <v>44963</v>
      </c>
      <c r="C3461" s="1" t="n">
        <v>45846</v>
      </c>
      <c r="D3461" t="inlineStr">
        <is>
          <t>UPPSALA LÄN</t>
        </is>
      </c>
      <c r="E3461" t="inlineStr">
        <is>
          <t>ÖSTHAMMAR</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5967-2023</t>
        </is>
      </c>
      <c r="B3462" s="1" t="n">
        <v>44964</v>
      </c>
      <c r="C3462" s="1" t="n">
        <v>45846</v>
      </c>
      <c r="D3462" t="inlineStr">
        <is>
          <t>UPPSALA LÄN</t>
        </is>
      </c>
      <c r="E3462" t="inlineStr">
        <is>
          <t>TIERP</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5987-2023</t>
        </is>
      </c>
      <c r="B3463" s="1" t="n">
        <v>44964</v>
      </c>
      <c r="C3463" s="1" t="n">
        <v>45846</v>
      </c>
      <c r="D3463" t="inlineStr">
        <is>
          <t>UPPSALA LÄN</t>
        </is>
      </c>
      <c r="E3463" t="inlineStr">
        <is>
          <t>TIERP</t>
        </is>
      </c>
      <c r="F3463" t="inlineStr">
        <is>
          <t>Bergvik skog öst AB</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5994-2023</t>
        </is>
      </c>
      <c r="B3464" s="1" t="n">
        <v>44964</v>
      </c>
      <c r="C3464" s="1" t="n">
        <v>45846</v>
      </c>
      <c r="D3464" t="inlineStr">
        <is>
          <t>UPPSALA LÄN</t>
        </is>
      </c>
      <c r="E3464" t="inlineStr">
        <is>
          <t>TIERP</t>
        </is>
      </c>
      <c r="F3464" t="inlineStr">
        <is>
          <t>Bergvik skog öst AB</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6075-2023</t>
        </is>
      </c>
      <c r="B3465" s="1" t="n">
        <v>44964</v>
      </c>
      <c r="C3465" s="1" t="n">
        <v>45846</v>
      </c>
      <c r="D3465" t="inlineStr">
        <is>
          <t>UPPSALA LÄN</t>
        </is>
      </c>
      <c r="E3465" t="inlineStr">
        <is>
          <t>TIERP</t>
        </is>
      </c>
      <c r="F3465" t="inlineStr">
        <is>
          <t>Bergvik skog öst AB</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5963-2023</t>
        </is>
      </c>
      <c r="B3466" s="1" t="n">
        <v>44964</v>
      </c>
      <c r="C3466" s="1" t="n">
        <v>45846</v>
      </c>
      <c r="D3466" t="inlineStr">
        <is>
          <t>UPPSALA LÄN</t>
        </is>
      </c>
      <c r="E3466" t="inlineStr">
        <is>
          <t>TIERP</t>
        </is>
      </c>
      <c r="F3466" t="inlineStr">
        <is>
          <t>Bergvik skog öst AB</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5995-2023</t>
        </is>
      </c>
      <c r="B3467" s="1" t="n">
        <v>44964</v>
      </c>
      <c r="C3467" s="1" t="n">
        <v>45846</v>
      </c>
      <c r="D3467" t="inlineStr">
        <is>
          <t>UPPSALA LÄN</t>
        </is>
      </c>
      <c r="E3467" t="inlineStr">
        <is>
          <t>TIERP</t>
        </is>
      </c>
      <c r="F3467" t="inlineStr">
        <is>
          <t>Bergvik skog öst AB</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6048-2023</t>
        </is>
      </c>
      <c r="B3468" s="1" t="n">
        <v>44964</v>
      </c>
      <c r="C3468" s="1" t="n">
        <v>45846</v>
      </c>
      <c r="D3468" t="inlineStr">
        <is>
          <t>UPPSALA LÄN</t>
        </is>
      </c>
      <c r="E3468" t="inlineStr">
        <is>
          <t>TIERP</t>
        </is>
      </c>
      <c r="F3468" t="inlineStr">
        <is>
          <t>Bergvik skog öst AB</t>
        </is>
      </c>
      <c r="G3468" t="n">
        <v>4.4</v>
      </c>
      <c r="H3468" t="n">
        <v>0</v>
      </c>
      <c r="I3468" t="n">
        <v>0</v>
      </c>
      <c r="J3468" t="n">
        <v>0</v>
      </c>
      <c r="K3468" t="n">
        <v>0</v>
      </c>
      <c r="L3468" t="n">
        <v>0</v>
      </c>
      <c r="M3468" t="n">
        <v>0</v>
      </c>
      <c r="N3468" t="n">
        <v>0</v>
      </c>
      <c r="O3468" t="n">
        <v>0</v>
      </c>
      <c r="P3468" t="n">
        <v>0</v>
      </c>
      <c r="Q3468" t="n">
        <v>0</v>
      </c>
      <c r="R3468" s="2" t="inlineStr"/>
    </row>
    <row r="3469" ht="15" customHeight="1">
      <c r="A3469" t="inlineStr">
        <is>
          <t>A 6071-2023</t>
        </is>
      </c>
      <c r="B3469" s="1" t="n">
        <v>44964</v>
      </c>
      <c r="C3469" s="1" t="n">
        <v>45846</v>
      </c>
      <c r="D3469" t="inlineStr">
        <is>
          <t>UPPSALA LÄN</t>
        </is>
      </c>
      <c r="E3469" t="inlineStr">
        <is>
          <t>TIERP</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5993-2023</t>
        </is>
      </c>
      <c r="B3470" s="1" t="n">
        <v>44964</v>
      </c>
      <c r="C3470" s="1" t="n">
        <v>45846</v>
      </c>
      <c r="D3470" t="inlineStr">
        <is>
          <t>UPPSALA LÄN</t>
        </is>
      </c>
      <c r="E3470" t="inlineStr">
        <is>
          <t>TIERP</t>
        </is>
      </c>
      <c r="F3470" t="inlineStr">
        <is>
          <t>Bergvik skog öst AB</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6213-2023</t>
        </is>
      </c>
      <c r="B3471" s="1" t="n">
        <v>44964</v>
      </c>
      <c r="C3471" s="1" t="n">
        <v>45846</v>
      </c>
      <c r="D3471" t="inlineStr">
        <is>
          <t>UPPSALA LÄN</t>
        </is>
      </c>
      <c r="E3471" t="inlineStr">
        <is>
          <t>UPPSALA</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5997-2023</t>
        </is>
      </c>
      <c r="B3472" s="1" t="n">
        <v>44964</v>
      </c>
      <c r="C3472" s="1" t="n">
        <v>45846</v>
      </c>
      <c r="D3472" t="inlineStr">
        <is>
          <t>UPPSALA LÄN</t>
        </is>
      </c>
      <c r="E3472" t="inlineStr">
        <is>
          <t>TIERP</t>
        </is>
      </c>
      <c r="F3472" t="inlineStr">
        <is>
          <t>Bergvik skog öst AB</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6049-2023</t>
        </is>
      </c>
      <c r="B3473" s="1" t="n">
        <v>44964</v>
      </c>
      <c r="C3473" s="1" t="n">
        <v>45846</v>
      </c>
      <c r="D3473" t="inlineStr">
        <is>
          <t>UPPSALA LÄN</t>
        </is>
      </c>
      <c r="E3473" t="inlineStr">
        <is>
          <t>TIERP</t>
        </is>
      </c>
      <c r="F3473" t="inlineStr">
        <is>
          <t>Bergvik skog öst AB</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6155-2023</t>
        </is>
      </c>
      <c r="B3474" s="1" t="n">
        <v>44964</v>
      </c>
      <c r="C3474" s="1" t="n">
        <v>45846</v>
      </c>
      <c r="D3474" t="inlineStr">
        <is>
          <t>UPPSALA LÄN</t>
        </is>
      </c>
      <c r="E3474" t="inlineStr">
        <is>
          <t>UPPSALA</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6203-2023</t>
        </is>
      </c>
      <c r="B3475" s="1" t="n">
        <v>44964</v>
      </c>
      <c r="C3475" s="1" t="n">
        <v>45846</v>
      </c>
      <c r="D3475" t="inlineStr">
        <is>
          <t>UPPSALA LÄN</t>
        </is>
      </c>
      <c r="E3475" t="inlineStr">
        <is>
          <t>HEBY</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6215-2023</t>
        </is>
      </c>
      <c r="B3476" s="1" t="n">
        <v>44964</v>
      </c>
      <c r="C3476" s="1" t="n">
        <v>45846</v>
      </c>
      <c r="D3476" t="inlineStr">
        <is>
          <t>UPPSALA LÄN</t>
        </is>
      </c>
      <c r="E3476" t="inlineStr">
        <is>
          <t>UPPSALA</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6172-2023</t>
        </is>
      </c>
      <c r="B3477" s="1" t="n">
        <v>44964</v>
      </c>
      <c r="C3477" s="1" t="n">
        <v>45846</v>
      </c>
      <c r="D3477" t="inlineStr">
        <is>
          <t>UPPSALA LÄN</t>
        </is>
      </c>
      <c r="E3477" t="inlineStr">
        <is>
          <t>ENKÖPING</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6288-2023</t>
        </is>
      </c>
      <c r="B3478" s="1" t="n">
        <v>44965</v>
      </c>
      <c r="C3478" s="1" t="n">
        <v>45846</v>
      </c>
      <c r="D3478" t="inlineStr">
        <is>
          <t>UPPSALA LÄN</t>
        </is>
      </c>
      <c r="E3478" t="inlineStr">
        <is>
          <t>TIERP</t>
        </is>
      </c>
      <c r="F3478" t="inlineStr">
        <is>
          <t>Bergvik skog öst AB</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6364-2023</t>
        </is>
      </c>
      <c r="B3479" s="1" t="n">
        <v>44965</v>
      </c>
      <c r="C3479" s="1" t="n">
        <v>45846</v>
      </c>
      <c r="D3479" t="inlineStr">
        <is>
          <t>UPPSALA LÄN</t>
        </is>
      </c>
      <c r="E3479" t="inlineStr">
        <is>
          <t>TIERP</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6422-2023</t>
        </is>
      </c>
      <c r="B3480" s="1" t="n">
        <v>44965</v>
      </c>
      <c r="C3480" s="1" t="n">
        <v>45846</v>
      </c>
      <c r="D3480" t="inlineStr">
        <is>
          <t>UPPSALA LÄN</t>
        </is>
      </c>
      <c r="E3480" t="inlineStr">
        <is>
          <t>UPPSALA</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6423-2023</t>
        </is>
      </c>
      <c r="B3481" s="1" t="n">
        <v>44965</v>
      </c>
      <c r="C3481" s="1" t="n">
        <v>45846</v>
      </c>
      <c r="D3481" t="inlineStr">
        <is>
          <t>UPPSALA LÄN</t>
        </is>
      </c>
      <c r="E3481" t="inlineStr">
        <is>
          <t>UPPSALA</t>
        </is>
      </c>
      <c r="G3481" t="n">
        <v>8.800000000000001</v>
      </c>
      <c r="H3481" t="n">
        <v>0</v>
      </c>
      <c r="I3481" t="n">
        <v>0</v>
      </c>
      <c r="J3481" t="n">
        <v>0</v>
      </c>
      <c r="K3481" t="n">
        <v>0</v>
      </c>
      <c r="L3481" t="n">
        <v>0</v>
      </c>
      <c r="M3481" t="n">
        <v>0</v>
      </c>
      <c r="N3481" t="n">
        <v>0</v>
      </c>
      <c r="O3481" t="n">
        <v>0</v>
      </c>
      <c r="P3481" t="n">
        <v>0</v>
      </c>
      <c r="Q3481" t="n">
        <v>0</v>
      </c>
      <c r="R3481" s="2" t="inlineStr"/>
    </row>
    <row r="3482" ht="15" customHeight="1">
      <c r="A3482" t="inlineStr">
        <is>
          <t>A 6602-2023</t>
        </is>
      </c>
      <c r="B3482" s="1" t="n">
        <v>44966</v>
      </c>
      <c r="C3482" s="1" t="n">
        <v>45846</v>
      </c>
      <c r="D3482" t="inlineStr">
        <is>
          <t>UPPSALA LÄN</t>
        </is>
      </c>
      <c r="E3482" t="inlineStr">
        <is>
          <t>UPPSALA</t>
        </is>
      </c>
      <c r="F3482" t="inlineStr">
        <is>
          <t>Allmännings- och besparingsskogar</t>
        </is>
      </c>
      <c r="G3482" t="n">
        <v>20.2</v>
      </c>
      <c r="H3482" t="n">
        <v>0</v>
      </c>
      <c r="I3482" t="n">
        <v>0</v>
      </c>
      <c r="J3482" t="n">
        <v>0</v>
      </c>
      <c r="K3482" t="n">
        <v>0</v>
      </c>
      <c r="L3482" t="n">
        <v>0</v>
      </c>
      <c r="M3482" t="n">
        <v>0</v>
      </c>
      <c r="N3482" t="n">
        <v>0</v>
      </c>
      <c r="O3482" t="n">
        <v>0</v>
      </c>
      <c r="P3482" t="n">
        <v>0</v>
      </c>
      <c r="Q3482" t="n">
        <v>0</v>
      </c>
      <c r="R3482" s="2" t="inlineStr"/>
    </row>
    <row r="3483" ht="15" customHeight="1">
      <c r="A3483" t="inlineStr">
        <is>
          <t>A 6620-2023</t>
        </is>
      </c>
      <c r="B3483" s="1" t="n">
        <v>44966</v>
      </c>
      <c r="C3483" s="1" t="n">
        <v>45846</v>
      </c>
      <c r="D3483" t="inlineStr">
        <is>
          <t>UPPSALA LÄN</t>
        </is>
      </c>
      <c r="E3483" t="inlineStr">
        <is>
          <t>ENKÖPING</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6497-2023</t>
        </is>
      </c>
      <c r="B3484" s="1" t="n">
        <v>44966</v>
      </c>
      <c r="C3484" s="1" t="n">
        <v>45846</v>
      </c>
      <c r="D3484" t="inlineStr">
        <is>
          <t>UPPSALA LÄN</t>
        </is>
      </c>
      <c r="E3484" t="inlineStr">
        <is>
          <t>TIERP</t>
        </is>
      </c>
      <c r="F3484" t="inlineStr">
        <is>
          <t>Bergvik skog öst AB</t>
        </is>
      </c>
      <c r="G3484" t="n">
        <v>12.9</v>
      </c>
      <c r="H3484" t="n">
        <v>0</v>
      </c>
      <c r="I3484" t="n">
        <v>0</v>
      </c>
      <c r="J3484" t="n">
        <v>0</v>
      </c>
      <c r="K3484" t="n">
        <v>0</v>
      </c>
      <c r="L3484" t="n">
        <v>0</v>
      </c>
      <c r="M3484" t="n">
        <v>0</v>
      </c>
      <c r="N3484" t="n">
        <v>0</v>
      </c>
      <c r="O3484" t="n">
        <v>0</v>
      </c>
      <c r="P3484" t="n">
        <v>0</v>
      </c>
      <c r="Q3484" t="n">
        <v>0</v>
      </c>
      <c r="R3484" s="2" t="inlineStr"/>
    </row>
    <row r="3485" ht="15" customHeight="1">
      <c r="A3485" t="inlineStr">
        <is>
          <t>A 6623-2023</t>
        </is>
      </c>
      <c r="B3485" s="1" t="n">
        <v>44966</v>
      </c>
      <c r="C3485" s="1" t="n">
        <v>45846</v>
      </c>
      <c r="D3485" t="inlineStr">
        <is>
          <t>UPPSALA LÄN</t>
        </is>
      </c>
      <c r="E3485" t="inlineStr">
        <is>
          <t>ENKÖPING</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6624-2023</t>
        </is>
      </c>
      <c r="B3486" s="1" t="n">
        <v>44966</v>
      </c>
      <c r="C3486" s="1" t="n">
        <v>45846</v>
      </c>
      <c r="D3486" t="inlineStr">
        <is>
          <t>UPPSALA LÄN</t>
        </is>
      </c>
      <c r="E3486" t="inlineStr">
        <is>
          <t>ENKÖPING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6626-2023</t>
        </is>
      </c>
      <c r="B3487" s="1" t="n">
        <v>44966</v>
      </c>
      <c r="C3487" s="1" t="n">
        <v>45846</v>
      </c>
      <c r="D3487" t="inlineStr">
        <is>
          <t>UPPSALA LÄN</t>
        </is>
      </c>
      <c r="E3487" t="inlineStr">
        <is>
          <t>ENKÖPING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6692-2023</t>
        </is>
      </c>
      <c r="B3488" s="1" t="n">
        <v>44966</v>
      </c>
      <c r="C3488" s="1" t="n">
        <v>45846</v>
      </c>
      <c r="D3488" t="inlineStr">
        <is>
          <t>UPPSALA LÄN</t>
        </is>
      </c>
      <c r="E3488" t="inlineStr">
        <is>
          <t>HEBY</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6749-2023</t>
        </is>
      </c>
      <c r="B3489" s="1" t="n">
        <v>44966</v>
      </c>
      <c r="C3489" s="1" t="n">
        <v>45846</v>
      </c>
      <c r="D3489" t="inlineStr">
        <is>
          <t>UPPSALA LÄN</t>
        </is>
      </c>
      <c r="E3489" t="inlineStr">
        <is>
          <t>UPPSALA</t>
        </is>
      </c>
      <c r="F3489" t="inlineStr">
        <is>
          <t>Allmännings- och besparingsskogar</t>
        </is>
      </c>
      <c r="G3489" t="n">
        <v>13.5</v>
      </c>
      <c r="H3489" t="n">
        <v>0</v>
      </c>
      <c r="I3489" t="n">
        <v>0</v>
      </c>
      <c r="J3489" t="n">
        <v>0</v>
      </c>
      <c r="K3489" t="n">
        <v>0</v>
      </c>
      <c r="L3489" t="n">
        <v>0</v>
      </c>
      <c r="M3489" t="n">
        <v>0</v>
      </c>
      <c r="N3489" t="n">
        <v>0</v>
      </c>
      <c r="O3489" t="n">
        <v>0</v>
      </c>
      <c r="P3489" t="n">
        <v>0</v>
      </c>
      <c r="Q3489" t="n">
        <v>0</v>
      </c>
      <c r="R3489" s="2" t="inlineStr"/>
    </row>
    <row r="3490" ht="15" customHeight="1">
      <c r="A3490" t="inlineStr">
        <is>
          <t>A 7352-2023</t>
        </is>
      </c>
      <c r="B3490" s="1" t="n">
        <v>44966</v>
      </c>
      <c r="C3490" s="1" t="n">
        <v>45846</v>
      </c>
      <c r="D3490" t="inlineStr">
        <is>
          <t>UPPSALA LÄN</t>
        </is>
      </c>
      <c r="E3490" t="inlineStr">
        <is>
          <t>TIERP</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7359-2023</t>
        </is>
      </c>
      <c r="B3491" s="1" t="n">
        <v>44966</v>
      </c>
      <c r="C3491" s="1" t="n">
        <v>45846</v>
      </c>
      <c r="D3491" t="inlineStr">
        <is>
          <t>UPPSALA LÄN</t>
        </is>
      </c>
      <c r="E3491" t="inlineStr">
        <is>
          <t>TIERP</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6839-2023</t>
        </is>
      </c>
      <c r="B3492" s="1" t="n">
        <v>44967</v>
      </c>
      <c r="C3492" s="1" t="n">
        <v>45846</v>
      </c>
      <c r="D3492" t="inlineStr">
        <is>
          <t>UPPSALA LÄN</t>
        </is>
      </c>
      <c r="E3492" t="inlineStr">
        <is>
          <t>ÄLVKARLEBY</t>
        </is>
      </c>
      <c r="F3492" t="inlineStr">
        <is>
          <t>Bergvik skog väst AB</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6930-2023</t>
        </is>
      </c>
      <c r="B3493" s="1" t="n">
        <v>44967</v>
      </c>
      <c r="C3493" s="1" t="n">
        <v>45846</v>
      </c>
      <c r="D3493" t="inlineStr">
        <is>
          <t>UPPSALA LÄN</t>
        </is>
      </c>
      <c r="E3493" t="inlineStr">
        <is>
          <t>UPPSALA</t>
        </is>
      </c>
      <c r="G3493" t="n">
        <v>8.800000000000001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7000-2023</t>
        </is>
      </c>
      <c r="B3494" s="1" t="n">
        <v>44967</v>
      </c>
      <c r="C3494" s="1" t="n">
        <v>45846</v>
      </c>
      <c r="D3494" t="inlineStr">
        <is>
          <t>UPPSALA LÄN</t>
        </is>
      </c>
      <c r="E3494" t="inlineStr">
        <is>
          <t>UPPSALA</t>
        </is>
      </c>
      <c r="G3494" t="n">
        <v>7.1</v>
      </c>
      <c r="H3494" t="n">
        <v>0</v>
      </c>
      <c r="I3494" t="n">
        <v>0</v>
      </c>
      <c r="J3494" t="n">
        <v>0</v>
      </c>
      <c r="K3494" t="n">
        <v>0</v>
      </c>
      <c r="L3494" t="n">
        <v>0</v>
      </c>
      <c r="M3494" t="n">
        <v>0</v>
      </c>
      <c r="N3494" t="n">
        <v>0</v>
      </c>
      <c r="O3494" t="n">
        <v>0</v>
      </c>
      <c r="P3494" t="n">
        <v>0</v>
      </c>
      <c r="Q3494" t="n">
        <v>0</v>
      </c>
      <c r="R3494" s="2" t="inlineStr"/>
    </row>
    <row r="3495" ht="15" customHeight="1">
      <c r="A3495" t="inlineStr">
        <is>
          <t>A 6999-2023</t>
        </is>
      </c>
      <c r="B3495" s="1" t="n">
        <v>44967</v>
      </c>
      <c r="C3495" s="1" t="n">
        <v>45846</v>
      </c>
      <c r="D3495" t="inlineStr">
        <is>
          <t>UPPSALA LÄN</t>
        </is>
      </c>
      <c r="E3495" t="inlineStr">
        <is>
          <t>UPPSALA</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6997-2023</t>
        </is>
      </c>
      <c r="B3496" s="1" t="n">
        <v>44967</v>
      </c>
      <c r="C3496" s="1" t="n">
        <v>45846</v>
      </c>
      <c r="D3496" t="inlineStr">
        <is>
          <t>UPPSALA LÄN</t>
        </is>
      </c>
      <c r="E3496" t="inlineStr">
        <is>
          <t>UPPSALA</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7001-2023</t>
        </is>
      </c>
      <c r="B3497" s="1" t="n">
        <v>44967</v>
      </c>
      <c r="C3497" s="1" t="n">
        <v>45846</v>
      </c>
      <c r="D3497" t="inlineStr">
        <is>
          <t>UPPSALA LÄN</t>
        </is>
      </c>
      <c r="E3497" t="inlineStr">
        <is>
          <t>UPPSALA</t>
        </is>
      </c>
      <c r="G3497" t="n">
        <v>4.3</v>
      </c>
      <c r="H3497" t="n">
        <v>0</v>
      </c>
      <c r="I3497" t="n">
        <v>0</v>
      </c>
      <c r="J3497" t="n">
        <v>0</v>
      </c>
      <c r="K3497" t="n">
        <v>0</v>
      </c>
      <c r="L3497" t="n">
        <v>0</v>
      </c>
      <c r="M3497" t="n">
        <v>0</v>
      </c>
      <c r="N3497" t="n">
        <v>0</v>
      </c>
      <c r="O3497" t="n">
        <v>0</v>
      </c>
      <c r="P3497" t="n">
        <v>0</v>
      </c>
      <c r="Q3497" t="n">
        <v>0</v>
      </c>
      <c r="R3497" s="2" t="inlineStr"/>
    </row>
    <row r="3498" ht="15" customHeight="1">
      <c r="A3498" t="inlineStr">
        <is>
          <t>A 7002-2023</t>
        </is>
      </c>
      <c r="B3498" s="1" t="n">
        <v>44967</v>
      </c>
      <c r="C3498" s="1" t="n">
        <v>45846</v>
      </c>
      <c r="D3498" t="inlineStr">
        <is>
          <t>UPPSALA LÄN</t>
        </is>
      </c>
      <c r="E3498" t="inlineStr">
        <is>
          <t>UPPSALA</t>
        </is>
      </c>
      <c r="G3498" t="n">
        <v>5</v>
      </c>
      <c r="H3498" t="n">
        <v>0</v>
      </c>
      <c r="I3498" t="n">
        <v>0</v>
      </c>
      <c r="J3498" t="n">
        <v>0</v>
      </c>
      <c r="K3498" t="n">
        <v>0</v>
      </c>
      <c r="L3498" t="n">
        <v>0</v>
      </c>
      <c r="M3498" t="n">
        <v>0</v>
      </c>
      <c r="N3498" t="n">
        <v>0</v>
      </c>
      <c r="O3498" t="n">
        <v>0</v>
      </c>
      <c r="P3498" t="n">
        <v>0</v>
      </c>
      <c r="Q3498" t="n">
        <v>0</v>
      </c>
      <c r="R3498" s="2" t="inlineStr"/>
    </row>
    <row r="3499" ht="15" customHeight="1">
      <c r="A3499" t="inlineStr">
        <is>
          <t>A 7611-2023</t>
        </is>
      </c>
      <c r="B3499" s="1" t="n">
        <v>44967</v>
      </c>
      <c r="C3499" s="1" t="n">
        <v>45846</v>
      </c>
      <c r="D3499" t="inlineStr">
        <is>
          <t>UPPSALA LÄN</t>
        </is>
      </c>
      <c r="E3499" t="inlineStr">
        <is>
          <t>UPPSALA</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7607-2023</t>
        </is>
      </c>
      <c r="B3500" s="1" t="n">
        <v>44967</v>
      </c>
      <c r="C3500" s="1" t="n">
        <v>45846</v>
      </c>
      <c r="D3500" t="inlineStr">
        <is>
          <t>UPPSALA LÄN</t>
        </is>
      </c>
      <c r="E3500" t="inlineStr">
        <is>
          <t>UPPSALA</t>
        </is>
      </c>
      <c r="G3500" t="n">
        <v>11.1</v>
      </c>
      <c r="H3500" t="n">
        <v>0</v>
      </c>
      <c r="I3500" t="n">
        <v>0</v>
      </c>
      <c r="J3500" t="n">
        <v>0</v>
      </c>
      <c r="K3500" t="n">
        <v>0</v>
      </c>
      <c r="L3500" t="n">
        <v>0</v>
      </c>
      <c r="M3500" t="n">
        <v>0</v>
      </c>
      <c r="N3500" t="n">
        <v>0</v>
      </c>
      <c r="O3500" t="n">
        <v>0</v>
      </c>
      <c r="P3500" t="n">
        <v>0</v>
      </c>
      <c r="Q3500" t="n">
        <v>0</v>
      </c>
      <c r="R3500" s="2" t="inlineStr"/>
    </row>
    <row r="3501" ht="15" customHeight="1">
      <c r="A3501" t="inlineStr">
        <is>
          <t>A 7058-2023</t>
        </is>
      </c>
      <c r="B3501" s="1" t="n">
        <v>44969</v>
      </c>
      <c r="C3501" s="1" t="n">
        <v>45846</v>
      </c>
      <c r="D3501" t="inlineStr">
        <is>
          <t>UPPSALA LÄN</t>
        </is>
      </c>
      <c r="E3501" t="inlineStr">
        <is>
          <t>UPPSALA</t>
        </is>
      </c>
      <c r="G3501" t="n">
        <v>8.199999999999999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7074-2023</t>
        </is>
      </c>
      <c r="B3502" s="1" t="n">
        <v>44970</v>
      </c>
      <c r="C3502" s="1" t="n">
        <v>45846</v>
      </c>
      <c r="D3502" t="inlineStr">
        <is>
          <t>UPPSALA LÄN</t>
        </is>
      </c>
      <c r="E3502" t="inlineStr">
        <is>
          <t>HÅBO</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7084-2023</t>
        </is>
      </c>
      <c r="B3503" s="1" t="n">
        <v>44970</v>
      </c>
      <c r="C3503" s="1" t="n">
        <v>45846</v>
      </c>
      <c r="D3503" t="inlineStr">
        <is>
          <t>UPPSALA LÄN</t>
        </is>
      </c>
      <c r="E3503" t="inlineStr">
        <is>
          <t>UPPSALA</t>
        </is>
      </c>
      <c r="F3503" t="inlineStr">
        <is>
          <t>Sveaskog</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7195-2023</t>
        </is>
      </c>
      <c r="B3504" s="1" t="n">
        <v>44970</v>
      </c>
      <c r="C3504" s="1" t="n">
        <v>45846</v>
      </c>
      <c r="D3504" t="inlineStr">
        <is>
          <t>UPPSALA LÄN</t>
        </is>
      </c>
      <c r="E3504" t="inlineStr">
        <is>
          <t>ÖSTHAMMAR</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7206-2023</t>
        </is>
      </c>
      <c r="B3505" s="1" t="n">
        <v>44970</v>
      </c>
      <c r="C3505" s="1" t="n">
        <v>45846</v>
      </c>
      <c r="D3505" t="inlineStr">
        <is>
          <t>UPPSALA LÄN</t>
        </is>
      </c>
      <c r="E3505" t="inlineStr">
        <is>
          <t>ÖSTHAMMAR</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7286-2023</t>
        </is>
      </c>
      <c r="B3506" s="1" t="n">
        <v>44970</v>
      </c>
      <c r="C3506" s="1" t="n">
        <v>45846</v>
      </c>
      <c r="D3506" t="inlineStr">
        <is>
          <t>UPPSALA LÄN</t>
        </is>
      </c>
      <c r="E3506" t="inlineStr">
        <is>
          <t>ÄLVKARLEBY</t>
        </is>
      </c>
      <c r="F3506" t="inlineStr">
        <is>
          <t>Bergvik skog väst AB</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7118-2023</t>
        </is>
      </c>
      <c r="B3507" s="1" t="n">
        <v>44970</v>
      </c>
      <c r="C3507" s="1" t="n">
        <v>45846</v>
      </c>
      <c r="D3507" t="inlineStr">
        <is>
          <t>UPPSALA LÄN</t>
        </is>
      </c>
      <c r="E3507" t="inlineStr">
        <is>
          <t>ÖSTHAMMAR</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7392-2023</t>
        </is>
      </c>
      <c r="B3508" s="1" t="n">
        <v>44971</v>
      </c>
      <c r="C3508" s="1" t="n">
        <v>45846</v>
      </c>
      <c r="D3508" t="inlineStr">
        <is>
          <t>UPPSALA LÄN</t>
        </is>
      </c>
      <c r="E3508" t="inlineStr">
        <is>
          <t>TIERP</t>
        </is>
      </c>
      <c r="F3508" t="inlineStr">
        <is>
          <t>Bergvik skog öst AB</t>
        </is>
      </c>
      <c r="G3508" t="n">
        <v>7.9</v>
      </c>
      <c r="H3508" t="n">
        <v>0</v>
      </c>
      <c r="I3508" t="n">
        <v>0</v>
      </c>
      <c r="J3508" t="n">
        <v>0</v>
      </c>
      <c r="K3508" t="n">
        <v>0</v>
      </c>
      <c r="L3508" t="n">
        <v>0</v>
      </c>
      <c r="M3508" t="n">
        <v>0</v>
      </c>
      <c r="N3508" t="n">
        <v>0</v>
      </c>
      <c r="O3508" t="n">
        <v>0</v>
      </c>
      <c r="P3508" t="n">
        <v>0</v>
      </c>
      <c r="Q3508" t="n">
        <v>0</v>
      </c>
      <c r="R3508" s="2" t="inlineStr"/>
    </row>
    <row r="3509" ht="15" customHeight="1">
      <c r="A3509" t="inlineStr">
        <is>
          <t>A 7370-2023</t>
        </is>
      </c>
      <c r="B3509" s="1" t="n">
        <v>44971</v>
      </c>
      <c r="C3509" s="1" t="n">
        <v>45846</v>
      </c>
      <c r="D3509" t="inlineStr">
        <is>
          <t>UPPSALA LÄN</t>
        </is>
      </c>
      <c r="E3509" t="inlineStr">
        <is>
          <t>TIERP</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8384-2023</t>
        </is>
      </c>
      <c r="B3510" s="1" t="n">
        <v>44971</v>
      </c>
      <c r="C3510" s="1" t="n">
        <v>45846</v>
      </c>
      <c r="D3510" t="inlineStr">
        <is>
          <t>UPPSALA LÄN</t>
        </is>
      </c>
      <c r="E3510" t="inlineStr">
        <is>
          <t>UPPSALA</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8286-2023</t>
        </is>
      </c>
      <c r="B3511" s="1" t="n">
        <v>44971</v>
      </c>
      <c r="C3511" s="1" t="n">
        <v>45846</v>
      </c>
      <c r="D3511" t="inlineStr">
        <is>
          <t>UPPSALA LÄN</t>
        </is>
      </c>
      <c r="E3511" t="inlineStr">
        <is>
          <t>UPPSALA</t>
        </is>
      </c>
      <c r="G3511" t="n">
        <v>9</v>
      </c>
      <c r="H3511" t="n">
        <v>0</v>
      </c>
      <c r="I3511" t="n">
        <v>0</v>
      </c>
      <c r="J3511" t="n">
        <v>0</v>
      </c>
      <c r="K3511" t="n">
        <v>0</v>
      </c>
      <c r="L3511" t="n">
        <v>0</v>
      </c>
      <c r="M3511" t="n">
        <v>0</v>
      </c>
      <c r="N3511" t="n">
        <v>0</v>
      </c>
      <c r="O3511" t="n">
        <v>0</v>
      </c>
      <c r="P3511" t="n">
        <v>0</v>
      </c>
      <c r="Q3511" t="n">
        <v>0</v>
      </c>
      <c r="R3511" s="2" t="inlineStr"/>
    </row>
    <row r="3512" ht="15" customHeight="1">
      <c r="A3512" t="inlineStr">
        <is>
          <t>A 7546-2023</t>
        </is>
      </c>
      <c r="B3512" s="1" t="n">
        <v>44972</v>
      </c>
      <c r="C3512" s="1" t="n">
        <v>45846</v>
      </c>
      <c r="D3512" t="inlineStr">
        <is>
          <t>UPPSALA LÄN</t>
        </is>
      </c>
      <c r="E3512" t="inlineStr">
        <is>
          <t>ÖSTHAMMAR</t>
        </is>
      </c>
      <c r="F3512" t="inlineStr">
        <is>
          <t>Bergvik skog öst AB</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7543-2023</t>
        </is>
      </c>
      <c r="B3513" s="1" t="n">
        <v>44972</v>
      </c>
      <c r="C3513" s="1" t="n">
        <v>45846</v>
      </c>
      <c r="D3513" t="inlineStr">
        <is>
          <t>UPPSALA LÄN</t>
        </is>
      </c>
      <c r="E3513" t="inlineStr">
        <is>
          <t>ÖSTHAMMAR</t>
        </is>
      </c>
      <c r="F3513" t="inlineStr">
        <is>
          <t>Bergvik skog öst AB</t>
        </is>
      </c>
      <c r="G3513" t="n">
        <v>13.3</v>
      </c>
      <c r="H3513" t="n">
        <v>0</v>
      </c>
      <c r="I3513" t="n">
        <v>0</v>
      </c>
      <c r="J3513" t="n">
        <v>0</v>
      </c>
      <c r="K3513" t="n">
        <v>0</v>
      </c>
      <c r="L3513" t="n">
        <v>0</v>
      </c>
      <c r="M3513" t="n">
        <v>0</v>
      </c>
      <c r="N3513" t="n">
        <v>0</v>
      </c>
      <c r="O3513" t="n">
        <v>0</v>
      </c>
      <c r="P3513" t="n">
        <v>0</v>
      </c>
      <c r="Q3513" t="n">
        <v>0</v>
      </c>
      <c r="R3513" s="2" t="inlineStr"/>
    </row>
    <row r="3514" ht="15" customHeight="1">
      <c r="A3514" t="inlineStr">
        <is>
          <t>A 7560-2023</t>
        </is>
      </c>
      <c r="B3514" s="1" t="n">
        <v>44972</v>
      </c>
      <c r="C3514" s="1" t="n">
        <v>45846</v>
      </c>
      <c r="D3514" t="inlineStr">
        <is>
          <t>UPPSALA LÄN</t>
        </is>
      </c>
      <c r="E3514" t="inlineStr">
        <is>
          <t>ÖSTHAMMAR</t>
        </is>
      </c>
      <c r="F3514" t="inlineStr">
        <is>
          <t>Bergvik skog öst AB</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7577-2023</t>
        </is>
      </c>
      <c r="B3515" s="1" t="n">
        <v>44972</v>
      </c>
      <c r="C3515" s="1" t="n">
        <v>45846</v>
      </c>
      <c r="D3515" t="inlineStr">
        <is>
          <t>UPPSALA LÄN</t>
        </is>
      </c>
      <c r="E3515" t="inlineStr">
        <is>
          <t>UPPSALA</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7591-2023</t>
        </is>
      </c>
      <c r="B3516" s="1" t="n">
        <v>44972</v>
      </c>
      <c r="C3516" s="1" t="n">
        <v>45846</v>
      </c>
      <c r="D3516" t="inlineStr">
        <is>
          <t>UPPSALA LÄN</t>
        </is>
      </c>
      <c r="E3516" t="inlineStr">
        <is>
          <t>TIERP</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7663-2023</t>
        </is>
      </c>
      <c r="B3517" s="1" t="n">
        <v>44972</v>
      </c>
      <c r="C3517" s="1" t="n">
        <v>45846</v>
      </c>
      <c r="D3517" t="inlineStr">
        <is>
          <t>UPPSALA LÄN</t>
        </is>
      </c>
      <c r="E3517" t="inlineStr">
        <is>
          <t>UPPSALA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7876-2023</t>
        </is>
      </c>
      <c r="B3518" s="1" t="n">
        <v>44973</v>
      </c>
      <c r="C3518" s="1" t="n">
        <v>45846</v>
      </c>
      <c r="D3518" t="inlineStr">
        <is>
          <t>UPPSALA LÄN</t>
        </is>
      </c>
      <c r="E3518" t="inlineStr">
        <is>
          <t>ÖSTHAMMAR</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7944-2023</t>
        </is>
      </c>
      <c r="B3519" s="1" t="n">
        <v>44973</v>
      </c>
      <c r="C3519" s="1" t="n">
        <v>45846</v>
      </c>
      <c r="D3519" t="inlineStr">
        <is>
          <t>UPPSALA LÄN</t>
        </is>
      </c>
      <c r="E3519" t="inlineStr">
        <is>
          <t>ÖSTHAMMAR</t>
        </is>
      </c>
      <c r="G3519" t="n">
        <v>4.6</v>
      </c>
      <c r="H3519" t="n">
        <v>0</v>
      </c>
      <c r="I3519" t="n">
        <v>0</v>
      </c>
      <c r="J3519" t="n">
        <v>0</v>
      </c>
      <c r="K3519" t="n">
        <v>0</v>
      </c>
      <c r="L3519" t="n">
        <v>0</v>
      </c>
      <c r="M3519" t="n">
        <v>0</v>
      </c>
      <c r="N3519" t="n">
        <v>0</v>
      </c>
      <c r="O3519" t="n">
        <v>0</v>
      </c>
      <c r="P3519" t="n">
        <v>0</v>
      </c>
      <c r="Q3519" t="n">
        <v>0</v>
      </c>
      <c r="R3519" s="2" t="inlineStr"/>
    </row>
    <row r="3520" ht="15" customHeight="1">
      <c r="A3520" t="inlineStr">
        <is>
          <t>A 7975-2023</t>
        </is>
      </c>
      <c r="B3520" s="1" t="n">
        <v>44973</v>
      </c>
      <c r="C3520" s="1" t="n">
        <v>45846</v>
      </c>
      <c r="D3520" t="inlineStr">
        <is>
          <t>UPPSALA LÄN</t>
        </is>
      </c>
      <c r="E3520" t="inlineStr">
        <is>
          <t>ÖSTHAMMAR</t>
        </is>
      </c>
      <c r="F3520" t="inlineStr">
        <is>
          <t>Bergvik skog öst AB</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7894-2023</t>
        </is>
      </c>
      <c r="B3521" s="1" t="n">
        <v>44973</v>
      </c>
      <c r="C3521" s="1" t="n">
        <v>45846</v>
      </c>
      <c r="D3521" t="inlineStr">
        <is>
          <t>UPPSALA LÄN</t>
        </is>
      </c>
      <c r="E3521" t="inlineStr">
        <is>
          <t>UPPSALA</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8006-2023</t>
        </is>
      </c>
      <c r="B3522" s="1" t="n">
        <v>44973</v>
      </c>
      <c r="C3522" s="1" t="n">
        <v>45846</v>
      </c>
      <c r="D3522" t="inlineStr">
        <is>
          <t>UPPSALA LÄN</t>
        </is>
      </c>
      <c r="E3522" t="inlineStr">
        <is>
          <t>ÖSTHAMMAR</t>
        </is>
      </c>
      <c r="F3522" t="inlineStr">
        <is>
          <t>Bergvik skog öst AB</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8914-2023</t>
        </is>
      </c>
      <c r="B3523" s="1" t="n">
        <v>44973</v>
      </c>
      <c r="C3523" s="1" t="n">
        <v>45846</v>
      </c>
      <c r="D3523" t="inlineStr">
        <is>
          <t>UPPSALA LÄN</t>
        </is>
      </c>
      <c r="E3523" t="inlineStr">
        <is>
          <t>TIERP</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8051-2023</t>
        </is>
      </c>
      <c r="B3524" s="1" t="n">
        <v>44974</v>
      </c>
      <c r="C3524" s="1" t="n">
        <v>45846</v>
      </c>
      <c r="D3524" t="inlineStr">
        <is>
          <t>UPPSALA LÄN</t>
        </is>
      </c>
      <c r="E3524" t="inlineStr">
        <is>
          <t>HEBY</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8046-2023</t>
        </is>
      </c>
      <c r="B3525" s="1" t="n">
        <v>44974</v>
      </c>
      <c r="C3525" s="1" t="n">
        <v>45846</v>
      </c>
      <c r="D3525" t="inlineStr">
        <is>
          <t>UPPSALA LÄN</t>
        </is>
      </c>
      <c r="E3525" t="inlineStr">
        <is>
          <t>HEBY</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8162-2023</t>
        </is>
      </c>
      <c r="B3526" s="1" t="n">
        <v>44974</v>
      </c>
      <c r="C3526" s="1" t="n">
        <v>45846</v>
      </c>
      <c r="D3526" t="inlineStr">
        <is>
          <t>UPPSALA LÄN</t>
        </is>
      </c>
      <c r="E3526" t="inlineStr">
        <is>
          <t>UPPSALA</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8232-2023</t>
        </is>
      </c>
      <c r="B3527" s="1" t="n">
        <v>44974</v>
      </c>
      <c r="C3527" s="1" t="n">
        <v>45846</v>
      </c>
      <c r="D3527" t="inlineStr">
        <is>
          <t>UPPSALA LÄN</t>
        </is>
      </c>
      <c r="E3527" t="inlineStr">
        <is>
          <t>HEBY</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8314-2023</t>
        </is>
      </c>
      <c r="B3528" s="1" t="n">
        <v>44974</v>
      </c>
      <c r="C3528" s="1" t="n">
        <v>45846</v>
      </c>
      <c r="D3528" t="inlineStr">
        <is>
          <t>UPPSALA LÄN</t>
        </is>
      </c>
      <c r="E3528" t="inlineStr">
        <is>
          <t>HEBY</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8473-2023</t>
        </is>
      </c>
      <c r="B3529" s="1" t="n">
        <v>44977</v>
      </c>
      <c r="C3529" s="1" t="n">
        <v>45846</v>
      </c>
      <c r="D3529" t="inlineStr">
        <is>
          <t>UPPSALA LÄN</t>
        </is>
      </c>
      <c r="E3529" t="inlineStr">
        <is>
          <t>UPPSALA</t>
        </is>
      </c>
      <c r="F3529" t="inlineStr">
        <is>
          <t>Holmen skog AB</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8616-2023</t>
        </is>
      </c>
      <c r="B3530" s="1" t="n">
        <v>44977</v>
      </c>
      <c r="C3530" s="1" t="n">
        <v>45846</v>
      </c>
      <c r="D3530" t="inlineStr">
        <is>
          <t>UPPSALA LÄN</t>
        </is>
      </c>
      <c r="E3530" t="inlineStr">
        <is>
          <t>ÖSTHAMMAR</t>
        </is>
      </c>
      <c r="F3530" t="inlineStr">
        <is>
          <t>Bergvik skog öst AB</t>
        </is>
      </c>
      <c r="G3530" t="n">
        <v>0.2</v>
      </c>
      <c r="H3530" t="n">
        <v>0</v>
      </c>
      <c r="I3530" t="n">
        <v>0</v>
      </c>
      <c r="J3530" t="n">
        <v>0</v>
      </c>
      <c r="K3530" t="n">
        <v>0</v>
      </c>
      <c r="L3530" t="n">
        <v>0</v>
      </c>
      <c r="M3530" t="n">
        <v>0</v>
      </c>
      <c r="N3530" t="n">
        <v>0</v>
      </c>
      <c r="O3530" t="n">
        <v>0</v>
      </c>
      <c r="P3530" t="n">
        <v>0</v>
      </c>
      <c r="Q3530" t="n">
        <v>0</v>
      </c>
      <c r="R3530" s="2" t="inlineStr"/>
    </row>
    <row r="3531" ht="15" customHeight="1">
      <c r="A3531" t="inlineStr">
        <is>
          <t>A 9426-2023</t>
        </is>
      </c>
      <c r="B3531" s="1" t="n">
        <v>44977</v>
      </c>
      <c r="C3531" s="1" t="n">
        <v>45846</v>
      </c>
      <c r="D3531" t="inlineStr">
        <is>
          <t>UPPSALA LÄN</t>
        </is>
      </c>
      <c r="E3531" t="inlineStr">
        <is>
          <t>UPPSALA</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9398-2023</t>
        </is>
      </c>
      <c r="B3532" s="1" t="n">
        <v>44977</v>
      </c>
      <c r="C3532" s="1" t="n">
        <v>45846</v>
      </c>
      <c r="D3532" t="inlineStr">
        <is>
          <t>UPPSALA LÄN</t>
        </is>
      </c>
      <c r="E3532" t="inlineStr">
        <is>
          <t>UPPSALA</t>
        </is>
      </c>
      <c r="G3532" t="n">
        <v>5.1</v>
      </c>
      <c r="H3532" t="n">
        <v>0</v>
      </c>
      <c r="I3532" t="n">
        <v>0</v>
      </c>
      <c r="J3532" t="n">
        <v>0</v>
      </c>
      <c r="K3532" t="n">
        <v>0</v>
      </c>
      <c r="L3532" t="n">
        <v>0</v>
      </c>
      <c r="M3532" t="n">
        <v>0</v>
      </c>
      <c r="N3532" t="n">
        <v>0</v>
      </c>
      <c r="O3532" t="n">
        <v>0</v>
      </c>
      <c r="P3532" t="n">
        <v>0</v>
      </c>
      <c r="Q3532" t="n">
        <v>0</v>
      </c>
      <c r="R3532" s="2" t="inlineStr"/>
    </row>
    <row r="3533" ht="15" customHeight="1">
      <c r="A3533" t="inlineStr">
        <is>
          <t>A 8767-2023</t>
        </is>
      </c>
      <c r="B3533" s="1" t="n">
        <v>44978</v>
      </c>
      <c r="C3533" s="1" t="n">
        <v>45846</v>
      </c>
      <c r="D3533" t="inlineStr">
        <is>
          <t>UPPSALA LÄN</t>
        </is>
      </c>
      <c r="E3533" t="inlineStr">
        <is>
          <t>TIERP</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8777-2023</t>
        </is>
      </c>
      <c r="B3534" s="1" t="n">
        <v>44978</v>
      </c>
      <c r="C3534" s="1" t="n">
        <v>45846</v>
      </c>
      <c r="D3534" t="inlineStr">
        <is>
          <t>UPPSALA LÄN</t>
        </is>
      </c>
      <c r="E3534" t="inlineStr">
        <is>
          <t>HEBY</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8775-2023</t>
        </is>
      </c>
      <c r="B3535" s="1" t="n">
        <v>44978</v>
      </c>
      <c r="C3535" s="1" t="n">
        <v>45846</v>
      </c>
      <c r="D3535" t="inlineStr">
        <is>
          <t>UPPSALA LÄN</t>
        </is>
      </c>
      <c r="E3535" t="inlineStr">
        <is>
          <t>HEBY</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8768-2023</t>
        </is>
      </c>
      <c r="B3536" s="1" t="n">
        <v>44978</v>
      </c>
      <c r="C3536" s="1" t="n">
        <v>45846</v>
      </c>
      <c r="D3536" t="inlineStr">
        <is>
          <t>UPPSALA LÄN</t>
        </is>
      </c>
      <c r="E3536" t="inlineStr">
        <is>
          <t>TIERP</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8774-2023</t>
        </is>
      </c>
      <c r="B3537" s="1" t="n">
        <v>44978</v>
      </c>
      <c r="C3537" s="1" t="n">
        <v>45846</v>
      </c>
      <c r="D3537" t="inlineStr">
        <is>
          <t>UPPSALA LÄN</t>
        </is>
      </c>
      <c r="E3537" t="inlineStr">
        <is>
          <t>TIERP</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8783-2023</t>
        </is>
      </c>
      <c r="B3538" s="1" t="n">
        <v>44978</v>
      </c>
      <c r="C3538" s="1" t="n">
        <v>45846</v>
      </c>
      <c r="D3538" t="inlineStr">
        <is>
          <t>UPPSALA LÄN</t>
        </is>
      </c>
      <c r="E3538" t="inlineStr">
        <is>
          <t>HEBY</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8826-2023</t>
        </is>
      </c>
      <c r="B3539" s="1" t="n">
        <v>44978</v>
      </c>
      <c r="C3539" s="1" t="n">
        <v>45846</v>
      </c>
      <c r="D3539" t="inlineStr">
        <is>
          <t>UPPSALA LÄN</t>
        </is>
      </c>
      <c r="E3539" t="inlineStr">
        <is>
          <t>ÖSTHAMMAR</t>
        </is>
      </c>
      <c r="F3539" t="inlineStr">
        <is>
          <t>Bergvik skog öst AB</t>
        </is>
      </c>
      <c r="G3539" t="n">
        <v>4.3</v>
      </c>
      <c r="H3539" t="n">
        <v>0</v>
      </c>
      <c r="I3539" t="n">
        <v>0</v>
      </c>
      <c r="J3539" t="n">
        <v>0</v>
      </c>
      <c r="K3539" t="n">
        <v>0</v>
      </c>
      <c r="L3539" t="n">
        <v>0</v>
      </c>
      <c r="M3539" t="n">
        <v>0</v>
      </c>
      <c r="N3539" t="n">
        <v>0</v>
      </c>
      <c r="O3539" t="n">
        <v>0</v>
      </c>
      <c r="P3539" t="n">
        <v>0</v>
      </c>
      <c r="Q3539" t="n">
        <v>0</v>
      </c>
      <c r="R3539" s="2" t="inlineStr"/>
    </row>
    <row r="3540" ht="15" customHeight="1">
      <c r="A3540" t="inlineStr">
        <is>
          <t>A 8772-2023</t>
        </is>
      </c>
      <c r="B3540" s="1" t="n">
        <v>44978</v>
      </c>
      <c r="C3540" s="1" t="n">
        <v>45846</v>
      </c>
      <c r="D3540" t="inlineStr">
        <is>
          <t>UPPSALA LÄN</t>
        </is>
      </c>
      <c r="E3540" t="inlineStr">
        <is>
          <t>TIERP</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8790-2023</t>
        </is>
      </c>
      <c r="B3541" s="1" t="n">
        <v>44978</v>
      </c>
      <c r="C3541" s="1" t="n">
        <v>45846</v>
      </c>
      <c r="D3541" t="inlineStr">
        <is>
          <t>UPPSALA LÄN</t>
        </is>
      </c>
      <c r="E3541" t="inlineStr">
        <is>
          <t>HEBY</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8830-2023</t>
        </is>
      </c>
      <c r="B3542" s="1" t="n">
        <v>44978</v>
      </c>
      <c r="C3542" s="1" t="n">
        <v>45846</v>
      </c>
      <c r="D3542" t="inlineStr">
        <is>
          <t>UPPSALA LÄN</t>
        </is>
      </c>
      <c r="E3542" t="inlineStr">
        <is>
          <t>ÖSTHAMMAR</t>
        </is>
      </c>
      <c r="F3542" t="inlineStr">
        <is>
          <t>Bergvik skog öst AB</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8805-2023</t>
        </is>
      </c>
      <c r="B3543" s="1" t="n">
        <v>44978</v>
      </c>
      <c r="C3543" s="1" t="n">
        <v>45846</v>
      </c>
      <c r="D3543" t="inlineStr">
        <is>
          <t>UPPSALA LÄN</t>
        </is>
      </c>
      <c r="E3543" t="inlineStr">
        <is>
          <t>HEBY</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9957-2023</t>
        </is>
      </c>
      <c r="B3544" s="1" t="n">
        <v>44978</v>
      </c>
      <c r="C3544" s="1" t="n">
        <v>45846</v>
      </c>
      <c r="D3544" t="inlineStr">
        <is>
          <t>UPPSALA LÄN</t>
        </is>
      </c>
      <c r="E3544" t="inlineStr">
        <is>
          <t>ENKÖPING</t>
        </is>
      </c>
      <c r="G3544" t="n">
        <v>5.9</v>
      </c>
      <c r="H3544" t="n">
        <v>0</v>
      </c>
      <c r="I3544" t="n">
        <v>0</v>
      </c>
      <c r="J3544" t="n">
        <v>0</v>
      </c>
      <c r="K3544" t="n">
        <v>0</v>
      </c>
      <c r="L3544" t="n">
        <v>0</v>
      </c>
      <c r="M3544" t="n">
        <v>0</v>
      </c>
      <c r="N3544" t="n">
        <v>0</v>
      </c>
      <c r="O3544" t="n">
        <v>0</v>
      </c>
      <c r="P3544" t="n">
        <v>0</v>
      </c>
      <c r="Q3544" t="n">
        <v>0</v>
      </c>
      <c r="R3544" s="2" t="inlineStr"/>
    </row>
    <row r="3545" ht="15" customHeight="1">
      <c r="A3545" t="inlineStr">
        <is>
          <t>A 9958-2023</t>
        </is>
      </c>
      <c r="B3545" s="1" t="n">
        <v>44978</v>
      </c>
      <c r="C3545" s="1" t="n">
        <v>45846</v>
      </c>
      <c r="D3545" t="inlineStr">
        <is>
          <t>UPPSALA LÄN</t>
        </is>
      </c>
      <c r="E3545" t="inlineStr">
        <is>
          <t>ENKÖPING</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9041-2023</t>
        </is>
      </c>
      <c r="B3546" s="1" t="n">
        <v>44979</v>
      </c>
      <c r="C3546" s="1" t="n">
        <v>45846</v>
      </c>
      <c r="D3546" t="inlineStr">
        <is>
          <t>UPPSALA LÄN</t>
        </is>
      </c>
      <c r="E3546" t="inlineStr">
        <is>
          <t>ENKÖPING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9030-2023</t>
        </is>
      </c>
      <c r="B3547" s="1" t="n">
        <v>44979</v>
      </c>
      <c r="C3547" s="1" t="n">
        <v>45846</v>
      </c>
      <c r="D3547" t="inlineStr">
        <is>
          <t>UPPSALA LÄN</t>
        </is>
      </c>
      <c r="E3547" t="inlineStr">
        <is>
          <t>TIERP</t>
        </is>
      </c>
      <c r="G3547" t="n">
        <v>5</v>
      </c>
      <c r="H3547" t="n">
        <v>0</v>
      </c>
      <c r="I3547" t="n">
        <v>0</v>
      </c>
      <c r="J3547" t="n">
        <v>0</v>
      </c>
      <c r="K3547" t="n">
        <v>0</v>
      </c>
      <c r="L3547" t="n">
        <v>0</v>
      </c>
      <c r="M3547" t="n">
        <v>0</v>
      </c>
      <c r="N3547" t="n">
        <v>0</v>
      </c>
      <c r="O3547" t="n">
        <v>0</v>
      </c>
      <c r="P3547" t="n">
        <v>0</v>
      </c>
      <c r="Q3547" t="n">
        <v>0</v>
      </c>
      <c r="R3547" s="2" t="inlineStr"/>
    </row>
    <row r="3548" ht="15" customHeight="1">
      <c r="A3548" t="inlineStr">
        <is>
          <t>A 9043-2023</t>
        </is>
      </c>
      <c r="B3548" s="1" t="n">
        <v>44979</v>
      </c>
      <c r="C3548" s="1" t="n">
        <v>45846</v>
      </c>
      <c r="D3548" t="inlineStr">
        <is>
          <t>UPPSALA LÄN</t>
        </is>
      </c>
      <c r="E3548" t="inlineStr">
        <is>
          <t>HEBY</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9052-2023</t>
        </is>
      </c>
      <c r="B3549" s="1" t="n">
        <v>44979</v>
      </c>
      <c r="C3549" s="1" t="n">
        <v>45846</v>
      </c>
      <c r="D3549" t="inlineStr">
        <is>
          <t>UPPSALA LÄN</t>
        </is>
      </c>
      <c r="E3549" t="inlineStr">
        <is>
          <t>ÖSTHAMMAR</t>
        </is>
      </c>
      <c r="F3549" t="inlineStr">
        <is>
          <t>Kyrkan</t>
        </is>
      </c>
      <c r="G3549" t="n">
        <v>0.2</v>
      </c>
      <c r="H3549" t="n">
        <v>0</v>
      </c>
      <c r="I3549" t="n">
        <v>0</v>
      </c>
      <c r="J3549" t="n">
        <v>0</v>
      </c>
      <c r="K3549" t="n">
        <v>0</v>
      </c>
      <c r="L3549" t="n">
        <v>0</v>
      </c>
      <c r="M3549" t="n">
        <v>0</v>
      </c>
      <c r="N3549" t="n">
        <v>0</v>
      </c>
      <c r="O3549" t="n">
        <v>0</v>
      </c>
      <c r="P3549" t="n">
        <v>0</v>
      </c>
      <c r="Q3549" t="n">
        <v>0</v>
      </c>
      <c r="R3549" s="2" t="inlineStr"/>
    </row>
    <row r="3550" ht="15" customHeight="1">
      <c r="A3550" t="inlineStr">
        <is>
          <t>A 9243-2023</t>
        </is>
      </c>
      <c r="B3550" s="1" t="n">
        <v>44980</v>
      </c>
      <c r="C3550" s="1" t="n">
        <v>45846</v>
      </c>
      <c r="D3550" t="inlineStr">
        <is>
          <t>UPPSALA LÄN</t>
        </is>
      </c>
      <c r="E3550" t="inlineStr">
        <is>
          <t>HEBY</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9295-2023</t>
        </is>
      </c>
      <c r="B3551" s="1" t="n">
        <v>44980</v>
      </c>
      <c r="C3551" s="1" t="n">
        <v>45846</v>
      </c>
      <c r="D3551" t="inlineStr">
        <is>
          <t>UPPSALA LÄN</t>
        </is>
      </c>
      <c r="E3551" t="inlineStr">
        <is>
          <t>UPPSALA</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9231-2023</t>
        </is>
      </c>
      <c r="B3552" s="1" t="n">
        <v>44980</v>
      </c>
      <c r="C3552" s="1" t="n">
        <v>45846</v>
      </c>
      <c r="D3552" t="inlineStr">
        <is>
          <t>UPPSALA LÄN</t>
        </is>
      </c>
      <c r="E3552" t="inlineStr">
        <is>
          <t>ENKÖPING</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9261-2023</t>
        </is>
      </c>
      <c r="B3553" s="1" t="n">
        <v>44980</v>
      </c>
      <c r="C3553" s="1" t="n">
        <v>45846</v>
      </c>
      <c r="D3553" t="inlineStr">
        <is>
          <t>UPPSALA LÄN</t>
        </is>
      </c>
      <c r="E3553" t="inlineStr">
        <is>
          <t>UPPSALA</t>
        </is>
      </c>
      <c r="G3553" t="n">
        <v>5.3</v>
      </c>
      <c r="H3553" t="n">
        <v>0</v>
      </c>
      <c r="I3553" t="n">
        <v>0</v>
      </c>
      <c r="J3553" t="n">
        <v>0</v>
      </c>
      <c r="K3553" t="n">
        <v>0</v>
      </c>
      <c r="L3553" t="n">
        <v>0</v>
      </c>
      <c r="M3553" t="n">
        <v>0</v>
      </c>
      <c r="N3553" t="n">
        <v>0</v>
      </c>
      <c r="O3553" t="n">
        <v>0</v>
      </c>
      <c r="P3553" t="n">
        <v>0</v>
      </c>
      <c r="Q3553" t="n">
        <v>0</v>
      </c>
      <c r="R3553" s="2" t="inlineStr"/>
    </row>
    <row r="3554" ht="15" customHeight="1">
      <c r="A3554" t="inlineStr">
        <is>
          <t>A 9291-2023</t>
        </is>
      </c>
      <c r="B3554" s="1" t="n">
        <v>44980</v>
      </c>
      <c r="C3554" s="1" t="n">
        <v>45846</v>
      </c>
      <c r="D3554" t="inlineStr">
        <is>
          <t>UPPSALA LÄN</t>
        </is>
      </c>
      <c r="E3554" t="inlineStr">
        <is>
          <t>UPPSALA</t>
        </is>
      </c>
      <c r="G3554" t="n">
        <v>12.9</v>
      </c>
      <c r="H3554" t="n">
        <v>0</v>
      </c>
      <c r="I3554" t="n">
        <v>0</v>
      </c>
      <c r="J3554" t="n">
        <v>0</v>
      </c>
      <c r="K3554" t="n">
        <v>0</v>
      </c>
      <c r="L3554" t="n">
        <v>0</v>
      </c>
      <c r="M3554" t="n">
        <v>0</v>
      </c>
      <c r="N3554" t="n">
        <v>0</v>
      </c>
      <c r="O3554" t="n">
        <v>0</v>
      </c>
      <c r="P3554" t="n">
        <v>0</v>
      </c>
      <c r="Q3554" t="n">
        <v>0</v>
      </c>
      <c r="R3554" s="2" t="inlineStr"/>
    </row>
    <row r="3555" ht="15" customHeight="1">
      <c r="A3555" t="inlineStr">
        <is>
          <t>A 9313-2023</t>
        </is>
      </c>
      <c r="B3555" s="1" t="n">
        <v>44980</v>
      </c>
      <c r="C3555" s="1" t="n">
        <v>45846</v>
      </c>
      <c r="D3555" t="inlineStr">
        <is>
          <t>UPPSALA LÄN</t>
        </is>
      </c>
      <c r="E3555" t="inlineStr">
        <is>
          <t>UPPSALA</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9230-2023</t>
        </is>
      </c>
      <c r="B3556" s="1" t="n">
        <v>44980</v>
      </c>
      <c r="C3556" s="1" t="n">
        <v>45846</v>
      </c>
      <c r="D3556" t="inlineStr">
        <is>
          <t>UPPSALA LÄN</t>
        </is>
      </c>
      <c r="E3556" t="inlineStr">
        <is>
          <t>TIERP</t>
        </is>
      </c>
      <c r="G3556" t="n">
        <v>5.4</v>
      </c>
      <c r="H3556" t="n">
        <v>0</v>
      </c>
      <c r="I3556" t="n">
        <v>0</v>
      </c>
      <c r="J3556" t="n">
        <v>0</v>
      </c>
      <c r="K3556" t="n">
        <v>0</v>
      </c>
      <c r="L3556" t="n">
        <v>0</v>
      </c>
      <c r="M3556" t="n">
        <v>0</v>
      </c>
      <c r="N3556" t="n">
        <v>0</v>
      </c>
      <c r="O3556" t="n">
        <v>0</v>
      </c>
      <c r="P3556" t="n">
        <v>0</v>
      </c>
      <c r="Q3556" t="n">
        <v>0</v>
      </c>
      <c r="R3556" s="2" t="inlineStr"/>
    </row>
    <row r="3557" ht="15" customHeight="1">
      <c r="A3557" t="inlineStr">
        <is>
          <t>A 9238-2023</t>
        </is>
      </c>
      <c r="B3557" s="1" t="n">
        <v>44980</v>
      </c>
      <c r="C3557" s="1" t="n">
        <v>45846</v>
      </c>
      <c r="D3557" t="inlineStr">
        <is>
          <t>UPPSALA LÄN</t>
        </is>
      </c>
      <c r="E3557" t="inlineStr">
        <is>
          <t>TIERP</t>
        </is>
      </c>
      <c r="G3557" t="n">
        <v>4.8</v>
      </c>
      <c r="H3557" t="n">
        <v>0</v>
      </c>
      <c r="I3557" t="n">
        <v>0</v>
      </c>
      <c r="J3557" t="n">
        <v>0</v>
      </c>
      <c r="K3557" t="n">
        <v>0</v>
      </c>
      <c r="L3557" t="n">
        <v>0</v>
      </c>
      <c r="M3557" t="n">
        <v>0</v>
      </c>
      <c r="N3557" t="n">
        <v>0</v>
      </c>
      <c r="O3557" t="n">
        <v>0</v>
      </c>
      <c r="P3557" t="n">
        <v>0</v>
      </c>
      <c r="Q3557" t="n">
        <v>0</v>
      </c>
      <c r="R3557" s="2" t="inlineStr"/>
    </row>
    <row r="3558" ht="15" customHeight="1">
      <c r="A3558" t="inlineStr">
        <is>
          <t>A 9290-2023</t>
        </is>
      </c>
      <c r="B3558" s="1" t="n">
        <v>44980</v>
      </c>
      <c r="C3558" s="1" t="n">
        <v>45846</v>
      </c>
      <c r="D3558" t="inlineStr">
        <is>
          <t>UPPSALA LÄN</t>
        </is>
      </c>
      <c r="E3558" t="inlineStr">
        <is>
          <t>TIERP</t>
        </is>
      </c>
      <c r="G3558" t="n">
        <v>6.9</v>
      </c>
      <c r="H3558" t="n">
        <v>0</v>
      </c>
      <c r="I3558" t="n">
        <v>0</v>
      </c>
      <c r="J3558" t="n">
        <v>0</v>
      </c>
      <c r="K3558" t="n">
        <v>0</v>
      </c>
      <c r="L3558" t="n">
        <v>0</v>
      </c>
      <c r="M3558" t="n">
        <v>0</v>
      </c>
      <c r="N3558" t="n">
        <v>0</v>
      </c>
      <c r="O3558" t="n">
        <v>0</v>
      </c>
      <c r="P3558" t="n">
        <v>0</v>
      </c>
      <c r="Q3558" t="n">
        <v>0</v>
      </c>
      <c r="R3558" s="2" t="inlineStr"/>
    </row>
    <row r="3559" ht="15" customHeight="1">
      <c r="A3559" t="inlineStr">
        <is>
          <t>A 9432-2023</t>
        </is>
      </c>
      <c r="B3559" s="1" t="n">
        <v>44981</v>
      </c>
      <c r="C3559" s="1" t="n">
        <v>45846</v>
      </c>
      <c r="D3559" t="inlineStr">
        <is>
          <t>UPPSALA LÄN</t>
        </is>
      </c>
      <c r="E3559" t="inlineStr">
        <is>
          <t>TIERP</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9443-2023</t>
        </is>
      </c>
      <c r="B3560" s="1" t="n">
        <v>44981</v>
      </c>
      <c r="C3560" s="1" t="n">
        <v>45846</v>
      </c>
      <c r="D3560" t="inlineStr">
        <is>
          <t>UPPSALA LÄN</t>
        </is>
      </c>
      <c r="E3560" t="inlineStr">
        <is>
          <t>HEBY</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9446-2023</t>
        </is>
      </c>
      <c r="B3561" s="1" t="n">
        <v>44981</v>
      </c>
      <c r="C3561" s="1" t="n">
        <v>45846</v>
      </c>
      <c r="D3561" t="inlineStr">
        <is>
          <t>UPPSALA LÄN</t>
        </is>
      </c>
      <c r="E3561" t="inlineStr">
        <is>
          <t>HEBY</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9461-2023</t>
        </is>
      </c>
      <c r="B3562" s="1" t="n">
        <v>44981</v>
      </c>
      <c r="C3562" s="1" t="n">
        <v>45846</v>
      </c>
      <c r="D3562" t="inlineStr">
        <is>
          <t>UPPSALA LÄN</t>
        </is>
      </c>
      <c r="E3562" t="inlineStr">
        <is>
          <t>HEBY</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9543-2023</t>
        </is>
      </c>
      <c r="B3563" s="1" t="n">
        <v>44981</v>
      </c>
      <c r="C3563" s="1" t="n">
        <v>45846</v>
      </c>
      <c r="D3563" t="inlineStr">
        <is>
          <t>UPPSALA LÄN</t>
        </is>
      </c>
      <c r="E3563" t="inlineStr">
        <is>
          <t>ÖSTHAMMAR</t>
        </is>
      </c>
      <c r="F3563" t="inlineStr">
        <is>
          <t>Bergvik skog öst AB</t>
        </is>
      </c>
      <c r="G3563" t="n">
        <v>5.9</v>
      </c>
      <c r="H3563" t="n">
        <v>0</v>
      </c>
      <c r="I3563" t="n">
        <v>0</v>
      </c>
      <c r="J3563" t="n">
        <v>0</v>
      </c>
      <c r="K3563" t="n">
        <v>0</v>
      </c>
      <c r="L3563" t="n">
        <v>0</v>
      </c>
      <c r="M3563" t="n">
        <v>0</v>
      </c>
      <c r="N3563" t="n">
        <v>0</v>
      </c>
      <c r="O3563" t="n">
        <v>0</v>
      </c>
      <c r="P3563" t="n">
        <v>0</v>
      </c>
      <c r="Q3563" t="n">
        <v>0</v>
      </c>
      <c r="R3563" s="2" t="inlineStr"/>
    </row>
    <row r="3564" ht="15" customHeight="1">
      <c r="A3564" t="inlineStr">
        <is>
          <t>A 9494-2023</t>
        </is>
      </c>
      <c r="B3564" s="1" t="n">
        <v>44981</v>
      </c>
      <c r="C3564" s="1" t="n">
        <v>45846</v>
      </c>
      <c r="D3564" t="inlineStr">
        <is>
          <t>UPPSALA LÄN</t>
        </is>
      </c>
      <c r="E3564" t="inlineStr">
        <is>
          <t>HEBY</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9497-2023</t>
        </is>
      </c>
      <c r="B3565" s="1" t="n">
        <v>44981</v>
      </c>
      <c r="C3565" s="1" t="n">
        <v>45846</v>
      </c>
      <c r="D3565" t="inlineStr">
        <is>
          <t>UPPSALA LÄN</t>
        </is>
      </c>
      <c r="E3565" t="inlineStr">
        <is>
          <t>HEBY</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9542-2023</t>
        </is>
      </c>
      <c r="B3566" s="1" t="n">
        <v>44981</v>
      </c>
      <c r="C3566" s="1" t="n">
        <v>45846</v>
      </c>
      <c r="D3566" t="inlineStr">
        <is>
          <t>UPPSALA LÄN</t>
        </is>
      </c>
      <c r="E3566" t="inlineStr">
        <is>
          <t>ÖSTHAMMAR</t>
        </is>
      </c>
      <c r="F3566" t="inlineStr">
        <is>
          <t>Bergvik skog öst AB</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9664-2023</t>
        </is>
      </c>
      <c r="B3567" s="1" t="n">
        <v>44984</v>
      </c>
      <c r="C3567" s="1" t="n">
        <v>45846</v>
      </c>
      <c r="D3567" t="inlineStr">
        <is>
          <t>UPPSALA LÄN</t>
        </is>
      </c>
      <c r="E3567" t="inlineStr">
        <is>
          <t>TIERP</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9687-2023</t>
        </is>
      </c>
      <c r="B3568" s="1" t="n">
        <v>44984</v>
      </c>
      <c r="C3568" s="1" t="n">
        <v>45846</v>
      </c>
      <c r="D3568" t="inlineStr">
        <is>
          <t>UPPSALA LÄN</t>
        </is>
      </c>
      <c r="E3568" t="inlineStr">
        <is>
          <t>HEBY</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9675-2023</t>
        </is>
      </c>
      <c r="B3569" s="1" t="n">
        <v>44984</v>
      </c>
      <c r="C3569" s="1" t="n">
        <v>45846</v>
      </c>
      <c r="D3569" t="inlineStr">
        <is>
          <t>UPPSALA LÄN</t>
        </is>
      </c>
      <c r="E3569" t="inlineStr">
        <is>
          <t>HEBY</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9761-2023</t>
        </is>
      </c>
      <c r="B3570" s="1" t="n">
        <v>44984</v>
      </c>
      <c r="C3570" s="1" t="n">
        <v>45846</v>
      </c>
      <c r="D3570" t="inlineStr">
        <is>
          <t>UPPSALA LÄN</t>
        </is>
      </c>
      <c r="E3570" t="inlineStr">
        <is>
          <t>HEBY</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9769-2023</t>
        </is>
      </c>
      <c r="B3571" s="1" t="n">
        <v>44984</v>
      </c>
      <c r="C3571" s="1" t="n">
        <v>45846</v>
      </c>
      <c r="D3571" t="inlineStr">
        <is>
          <t>UPPSALA LÄN</t>
        </is>
      </c>
      <c r="E3571" t="inlineStr">
        <is>
          <t>HEBY</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9817-2023</t>
        </is>
      </c>
      <c r="B3572" s="1" t="n">
        <v>44984</v>
      </c>
      <c r="C3572" s="1" t="n">
        <v>45846</v>
      </c>
      <c r="D3572" t="inlineStr">
        <is>
          <t>UPPSALA LÄN</t>
        </is>
      </c>
      <c r="E3572" t="inlineStr">
        <is>
          <t>UPPSALA</t>
        </is>
      </c>
      <c r="F3572" t="inlineStr">
        <is>
          <t>Kyrkan</t>
        </is>
      </c>
      <c r="G3572" t="n">
        <v>5.3</v>
      </c>
      <c r="H3572" t="n">
        <v>0</v>
      </c>
      <c r="I3572" t="n">
        <v>0</v>
      </c>
      <c r="J3572" t="n">
        <v>0</v>
      </c>
      <c r="K3572" t="n">
        <v>0</v>
      </c>
      <c r="L3572" t="n">
        <v>0</v>
      </c>
      <c r="M3572" t="n">
        <v>0</v>
      </c>
      <c r="N3572" t="n">
        <v>0</v>
      </c>
      <c r="O3572" t="n">
        <v>0</v>
      </c>
      <c r="P3572" t="n">
        <v>0</v>
      </c>
      <c r="Q3572" t="n">
        <v>0</v>
      </c>
      <c r="R3572" s="2" t="inlineStr"/>
    </row>
    <row r="3573" ht="15" customHeight="1">
      <c r="A3573" t="inlineStr">
        <is>
          <t>A 9767-2023</t>
        </is>
      </c>
      <c r="B3573" s="1" t="n">
        <v>44984</v>
      </c>
      <c r="C3573" s="1" t="n">
        <v>45846</v>
      </c>
      <c r="D3573" t="inlineStr">
        <is>
          <t>UPPSALA LÄN</t>
        </is>
      </c>
      <c r="E3573" t="inlineStr">
        <is>
          <t>HEBY</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9814-2023</t>
        </is>
      </c>
      <c r="B3574" s="1" t="n">
        <v>44984</v>
      </c>
      <c r="C3574" s="1" t="n">
        <v>45846</v>
      </c>
      <c r="D3574" t="inlineStr">
        <is>
          <t>UPPSALA LÄN</t>
        </is>
      </c>
      <c r="E3574" t="inlineStr">
        <is>
          <t>UPPSALA</t>
        </is>
      </c>
      <c r="F3574" t="inlineStr">
        <is>
          <t>Kyrkan</t>
        </is>
      </c>
      <c r="G3574" t="n">
        <v>5</v>
      </c>
      <c r="H3574" t="n">
        <v>0</v>
      </c>
      <c r="I3574" t="n">
        <v>0</v>
      </c>
      <c r="J3574" t="n">
        <v>0</v>
      </c>
      <c r="K3574" t="n">
        <v>0</v>
      </c>
      <c r="L3574" t="n">
        <v>0</v>
      </c>
      <c r="M3574" t="n">
        <v>0</v>
      </c>
      <c r="N3574" t="n">
        <v>0</v>
      </c>
      <c r="O3574" t="n">
        <v>0</v>
      </c>
      <c r="P3574" t="n">
        <v>0</v>
      </c>
      <c r="Q3574" t="n">
        <v>0</v>
      </c>
      <c r="R3574" s="2" t="inlineStr"/>
    </row>
    <row r="3575" ht="15" customHeight="1">
      <c r="A3575" t="inlineStr">
        <is>
          <t>A 9758-2023</t>
        </is>
      </c>
      <c r="B3575" s="1" t="n">
        <v>44984</v>
      </c>
      <c r="C3575" s="1" t="n">
        <v>45846</v>
      </c>
      <c r="D3575" t="inlineStr">
        <is>
          <t>UPPSALA LÄN</t>
        </is>
      </c>
      <c r="E3575" t="inlineStr">
        <is>
          <t>HEBY</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9766-2023</t>
        </is>
      </c>
      <c r="B3576" s="1" t="n">
        <v>44984</v>
      </c>
      <c r="C3576" s="1" t="n">
        <v>45846</v>
      </c>
      <c r="D3576" t="inlineStr">
        <is>
          <t>UPPSALA LÄN</t>
        </is>
      </c>
      <c r="E3576" t="inlineStr">
        <is>
          <t>HEBY</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9773-2023</t>
        </is>
      </c>
      <c r="B3577" s="1" t="n">
        <v>44984</v>
      </c>
      <c r="C3577" s="1" t="n">
        <v>45846</v>
      </c>
      <c r="D3577" t="inlineStr">
        <is>
          <t>UPPSALA LÄN</t>
        </is>
      </c>
      <c r="E3577" t="inlineStr">
        <is>
          <t>HEBY</t>
        </is>
      </c>
      <c r="F3577" t="inlineStr">
        <is>
          <t>Allmännings- och besparingsskogar</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9811-2023</t>
        </is>
      </c>
      <c r="B3578" s="1" t="n">
        <v>44984</v>
      </c>
      <c r="C3578" s="1" t="n">
        <v>45846</v>
      </c>
      <c r="D3578" t="inlineStr">
        <is>
          <t>UPPSALA LÄN</t>
        </is>
      </c>
      <c r="E3578" t="inlineStr">
        <is>
          <t>UPPSALA</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9820-2023</t>
        </is>
      </c>
      <c r="B3579" s="1" t="n">
        <v>44984</v>
      </c>
      <c r="C3579" s="1" t="n">
        <v>45846</v>
      </c>
      <c r="D3579" t="inlineStr">
        <is>
          <t>UPPSALA LÄN</t>
        </is>
      </c>
      <c r="E3579" t="inlineStr">
        <is>
          <t>UPPSALA</t>
        </is>
      </c>
      <c r="F3579" t="inlineStr">
        <is>
          <t>Kyrkan</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10005-2023</t>
        </is>
      </c>
      <c r="B3580" s="1" t="n">
        <v>44985</v>
      </c>
      <c r="C3580" s="1" t="n">
        <v>45846</v>
      </c>
      <c r="D3580" t="inlineStr">
        <is>
          <t>UPPSALA LÄN</t>
        </is>
      </c>
      <c r="E3580" t="inlineStr">
        <is>
          <t>UPPSALA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10204-2023</t>
        </is>
      </c>
      <c r="B3581" s="1" t="n">
        <v>44986</v>
      </c>
      <c r="C3581" s="1" t="n">
        <v>45846</v>
      </c>
      <c r="D3581" t="inlineStr">
        <is>
          <t>UPPSALA LÄN</t>
        </is>
      </c>
      <c r="E3581" t="inlineStr">
        <is>
          <t>TIERP</t>
        </is>
      </c>
      <c r="F3581" t="inlineStr">
        <is>
          <t>Bergvik skog väst AB</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10216-2023</t>
        </is>
      </c>
      <c r="B3582" s="1" t="n">
        <v>44986</v>
      </c>
      <c r="C3582" s="1" t="n">
        <v>45846</v>
      </c>
      <c r="D3582" t="inlineStr">
        <is>
          <t>UPPSALA LÄN</t>
        </is>
      </c>
      <c r="E3582" t="inlineStr">
        <is>
          <t>TIERP</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10199-2023</t>
        </is>
      </c>
      <c r="B3583" s="1" t="n">
        <v>44986</v>
      </c>
      <c r="C3583" s="1" t="n">
        <v>45846</v>
      </c>
      <c r="D3583" t="inlineStr">
        <is>
          <t>UPPSALA LÄN</t>
        </is>
      </c>
      <c r="E3583" t="inlineStr">
        <is>
          <t>TIERP</t>
        </is>
      </c>
      <c r="G3583" t="n">
        <v>4.4</v>
      </c>
      <c r="H3583" t="n">
        <v>0</v>
      </c>
      <c r="I3583" t="n">
        <v>0</v>
      </c>
      <c r="J3583" t="n">
        <v>0</v>
      </c>
      <c r="K3583" t="n">
        <v>0</v>
      </c>
      <c r="L3583" t="n">
        <v>0</v>
      </c>
      <c r="M3583" t="n">
        <v>0</v>
      </c>
      <c r="N3583" t="n">
        <v>0</v>
      </c>
      <c r="O3583" t="n">
        <v>0</v>
      </c>
      <c r="P3583" t="n">
        <v>0</v>
      </c>
      <c r="Q3583" t="n">
        <v>0</v>
      </c>
      <c r="R3583" s="2" t="inlineStr"/>
    </row>
    <row r="3584" ht="15" customHeight="1">
      <c r="A3584" t="inlineStr">
        <is>
          <t>A 10449-2023</t>
        </is>
      </c>
      <c r="B3584" s="1" t="n">
        <v>44987</v>
      </c>
      <c r="C3584" s="1" t="n">
        <v>45846</v>
      </c>
      <c r="D3584" t="inlineStr">
        <is>
          <t>UPPSALA LÄN</t>
        </is>
      </c>
      <c r="E3584" t="inlineStr">
        <is>
          <t>ÖSTHAMMAR</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10451-2023</t>
        </is>
      </c>
      <c r="B3585" s="1" t="n">
        <v>44987</v>
      </c>
      <c r="C3585" s="1" t="n">
        <v>45846</v>
      </c>
      <c r="D3585" t="inlineStr">
        <is>
          <t>UPPSALA LÄN</t>
        </is>
      </c>
      <c r="E3585" t="inlineStr">
        <is>
          <t>HEBY</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10448-2023</t>
        </is>
      </c>
      <c r="B3586" s="1" t="n">
        <v>44987</v>
      </c>
      <c r="C3586" s="1" t="n">
        <v>45846</v>
      </c>
      <c r="D3586" t="inlineStr">
        <is>
          <t>UPPSALA LÄN</t>
        </is>
      </c>
      <c r="E3586" t="inlineStr">
        <is>
          <t>HEBY</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11191-2023</t>
        </is>
      </c>
      <c r="B3587" s="1" t="n">
        <v>44987</v>
      </c>
      <c r="C3587" s="1" t="n">
        <v>45846</v>
      </c>
      <c r="D3587" t="inlineStr">
        <is>
          <t>UPPSALA LÄN</t>
        </is>
      </c>
      <c r="E3587" t="inlineStr">
        <is>
          <t>KNIVSTA</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10669-2023</t>
        </is>
      </c>
      <c r="B3588" s="1" t="n">
        <v>44988</v>
      </c>
      <c r="C3588" s="1" t="n">
        <v>45846</v>
      </c>
      <c r="D3588" t="inlineStr">
        <is>
          <t>UPPSALA LÄN</t>
        </is>
      </c>
      <c r="E3588" t="inlineStr">
        <is>
          <t>UPPSALA</t>
        </is>
      </c>
      <c r="G3588" t="n">
        <v>4.9</v>
      </c>
      <c r="H3588" t="n">
        <v>0</v>
      </c>
      <c r="I3588" t="n">
        <v>0</v>
      </c>
      <c r="J3588" t="n">
        <v>0</v>
      </c>
      <c r="K3588" t="n">
        <v>0</v>
      </c>
      <c r="L3588" t="n">
        <v>0</v>
      </c>
      <c r="M3588" t="n">
        <v>0</v>
      </c>
      <c r="N3588" t="n">
        <v>0</v>
      </c>
      <c r="O3588" t="n">
        <v>0</v>
      </c>
      <c r="P3588" t="n">
        <v>0</v>
      </c>
      <c r="Q3588" t="n">
        <v>0</v>
      </c>
      <c r="R3588" s="2" t="inlineStr"/>
    </row>
    <row r="3589" ht="15" customHeight="1">
      <c r="A3589" t="inlineStr">
        <is>
          <t>A 10594-2023</t>
        </is>
      </c>
      <c r="B3589" s="1" t="n">
        <v>44988</v>
      </c>
      <c r="C3589" s="1" t="n">
        <v>45846</v>
      </c>
      <c r="D3589" t="inlineStr">
        <is>
          <t>UPPSALA LÄN</t>
        </is>
      </c>
      <c r="E3589" t="inlineStr">
        <is>
          <t>TIERP</t>
        </is>
      </c>
      <c r="F3589" t="inlineStr">
        <is>
          <t>Bergvik skog öst AB</t>
        </is>
      </c>
      <c r="G3589" t="n">
        <v>4.4</v>
      </c>
      <c r="H3589" t="n">
        <v>0</v>
      </c>
      <c r="I3589" t="n">
        <v>0</v>
      </c>
      <c r="J3589" t="n">
        <v>0</v>
      </c>
      <c r="K3589" t="n">
        <v>0</v>
      </c>
      <c r="L3589" t="n">
        <v>0</v>
      </c>
      <c r="M3589" t="n">
        <v>0</v>
      </c>
      <c r="N3589" t="n">
        <v>0</v>
      </c>
      <c r="O3589" t="n">
        <v>0</v>
      </c>
      <c r="P3589" t="n">
        <v>0</v>
      </c>
      <c r="Q3589" t="n">
        <v>0</v>
      </c>
      <c r="R3589" s="2" t="inlineStr"/>
    </row>
    <row r="3590" ht="15" customHeight="1">
      <c r="A3590" t="inlineStr">
        <is>
          <t>A 10898-2023</t>
        </is>
      </c>
      <c r="B3590" s="1" t="n">
        <v>44991</v>
      </c>
      <c r="C3590" s="1" t="n">
        <v>45846</v>
      </c>
      <c r="D3590" t="inlineStr">
        <is>
          <t>UPPSALA LÄN</t>
        </is>
      </c>
      <c r="E3590" t="inlineStr">
        <is>
          <t>KNIVSTA</t>
        </is>
      </c>
      <c r="F3590" t="inlineStr">
        <is>
          <t>Holmen skog AB</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10914-2023</t>
        </is>
      </c>
      <c r="B3591" s="1" t="n">
        <v>44991</v>
      </c>
      <c r="C3591" s="1" t="n">
        <v>45846</v>
      </c>
      <c r="D3591" t="inlineStr">
        <is>
          <t>UPPSALA LÄN</t>
        </is>
      </c>
      <c r="E3591" t="inlineStr">
        <is>
          <t>KNIVSTA</t>
        </is>
      </c>
      <c r="F3591" t="inlineStr">
        <is>
          <t>Holmen skog AB</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10943-2023</t>
        </is>
      </c>
      <c r="B3592" s="1" t="n">
        <v>44991</v>
      </c>
      <c r="C3592" s="1" t="n">
        <v>45846</v>
      </c>
      <c r="D3592" t="inlineStr">
        <is>
          <t>UPPSALA LÄN</t>
        </is>
      </c>
      <c r="E3592" t="inlineStr">
        <is>
          <t>TIERP</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10982-2023</t>
        </is>
      </c>
      <c r="B3593" s="1" t="n">
        <v>44991</v>
      </c>
      <c r="C3593" s="1" t="n">
        <v>45846</v>
      </c>
      <c r="D3593" t="inlineStr">
        <is>
          <t>UPPSALA LÄN</t>
        </is>
      </c>
      <c r="E3593" t="inlineStr">
        <is>
          <t>ÖSTHAMMAR</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11008-2023</t>
        </is>
      </c>
      <c r="B3594" s="1" t="n">
        <v>44991</v>
      </c>
      <c r="C3594" s="1" t="n">
        <v>45846</v>
      </c>
      <c r="D3594" t="inlineStr">
        <is>
          <t>UPPSALA LÄN</t>
        </is>
      </c>
      <c r="E3594" t="inlineStr">
        <is>
          <t>ÖSTHAMMAR</t>
        </is>
      </c>
      <c r="F3594" t="inlineStr">
        <is>
          <t>Bergvik skog öst AB</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11015-2023</t>
        </is>
      </c>
      <c r="B3595" s="1" t="n">
        <v>44991</v>
      </c>
      <c r="C3595" s="1" t="n">
        <v>45846</v>
      </c>
      <c r="D3595" t="inlineStr">
        <is>
          <t>UPPSALA LÄN</t>
        </is>
      </c>
      <c r="E3595" t="inlineStr">
        <is>
          <t>ÖSTHAMMAR</t>
        </is>
      </c>
      <c r="F3595" t="inlineStr">
        <is>
          <t>Bergvik skog öst AB</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11005-2023</t>
        </is>
      </c>
      <c r="B3596" s="1" t="n">
        <v>44991</v>
      </c>
      <c r="C3596" s="1" t="n">
        <v>45846</v>
      </c>
      <c r="D3596" t="inlineStr">
        <is>
          <t>UPPSALA LÄN</t>
        </is>
      </c>
      <c r="E3596" t="inlineStr">
        <is>
          <t>ENKÖPING</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11036-2023</t>
        </is>
      </c>
      <c r="B3597" s="1" t="n">
        <v>44991</v>
      </c>
      <c r="C3597" s="1" t="n">
        <v>45846</v>
      </c>
      <c r="D3597" t="inlineStr">
        <is>
          <t>UPPSALA LÄN</t>
        </is>
      </c>
      <c r="E3597" t="inlineStr">
        <is>
          <t>ÖSTHAMMAR</t>
        </is>
      </c>
      <c r="F3597" t="inlineStr">
        <is>
          <t>Bergvik skog öst AB</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11484-2023</t>
        </is>
      </c>
      <c r="B3598" s="1" t="n">
        <v>44991</v>
      </c>
      <c r="C3598" s="1" t="n">
        <v>45846</v>
      </c>
      <c r="D3598" t="inlineStr">
        <is>
          <t>UPPSALA LÄN</t>
        </is>
      </c>
      <c r="E3598" t="inlineStr">
        <is>
          <t>UPPSALA</t>
        </is>
      </c>
      <c r="G3598" t="n">
        <v>10.3</v>
      </c>
      <c r="H3598" t="n">
        <v>0</v>
      </c>
      <c r="I3598" t="n">
        <v>0</v>
      </c>
      <c r="J3598" t="n">
        <v>0</v>
      </c>
      <c r="K3598" t="n">
        <v>0</v>
      </c>
      <c r="L3598" t="n">
        <v>0</v>
      </c>
      <c r="M3598" t="n">
        <v>0</v>
      </c>
      <c r="N3598" t="n">
        <v>0</v>
      </c>
      <c r="O3598" t="n">
        <v>0</v>
      </c>
      <c r="P3598" t="n">
        <v>0</v>
      </c>
      <c r="Q3598" t="n">
        <v>0</v>
      </c>
      <c r="R3598" s="2" t="inlineStr"/>
    </row>
    <row r="3599" ht="15" customHeight="1">
      <c r="A3599" t="inlineStr">
        <is>
          <t>A 10940-2023</t>
        </is>
      </c>
      <c r="B3599" s="1" t="n">
        <v>44991</v>
      </c>
      <c r="C3599" s="1" t="n">
        <v>45846</v>
      </c>
      <c r="D3599" t="inlineStr">
        <is>
          <t>UPPSALA LÄN</t>
        </is>
      </c>
      <c r="E3599" t="inlineStr">
        <is>
          <t>TIERP</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11009-2023</t>
        </is>
      </c>
      <c r="B3600" s="1" t="n">
        <v>44991</v>
      </c>
      <c r="C3600" s="1" t="n">
        <v>45846</v>
      </c>
      <c r="D3600" t="inlineStr">
        <is>
          <t>UPPSALA LÄN</t>
        </is>
      </c>
      <c r="E3600" t="inlineStr">
        <is>
          <t>ÖSTHAMMAR</t>
        </is>
      </c>
      <c r="F3600" t="inlineStr">
        <is>
          <t>Bergvik skog öst AB</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11033-2023</t>
        </is>
      </c>
      <c r="B3601" s="1" t="n">
        <v>44991</v>
      </c>
      <c r="C3601" s="1" t="n">
        <v>45846</v>
      </c>
      <c r="D3601" t="inlineStr">
        <is>
          <t>UPPSALA LÄN</t>
        </is>
      </c>
      <c r="E3601" t="inlineStr">
        <is>
          <t>ÖSTHAMMAR</t>
        </is>
      </c>
      <c r="F3601" t="inlineStr">
        <is>
          <t>Bergvik skog öst AB</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11282-2023</t>
        </is>
      </c>
      <c r="B3602" s="1" t="n">
        <v>44992</v>
      </c>
      <c r="C3602" s="1" t="n">
        <v>45846</v>
      </c>
      <c r="D3602" t="inlineStr">
        <is>
          <t>UPPSALA LÄN</t>
        </is>
      </c>
      <c r="E3602" t="inlineStr">
        <is>
          <t>ÖSTHAMMAR</t>
        </is>
      </c>
      <c r="F3602" t="inlineStr">
        <is>
          <t>Bergvik skog öst AB</t>
        </is>
      </c>
      <c r="G3602" t="n">
        <v>12.3</v>
      </c>
      <c r="H3602" t="n">
        <v>0</v>
      </c>
      <c r="I3602" t="n">
        <v>0</v>
      </c>
      <c r="J3602" t="n">
        <v>0</v>
      </c>
      <c r="K3602" t="n">
        <v>0</v>
      </c>
      <c r="L3602" t="n">
        <v>0</v>
      </c>
      <c r="M3602" t="n">
        <v>0</v>
      </c>
      <c r="N3602" t="n">
        <v>0</v>
      </c>
      <c r="O3602" t="n">
        <v>0</v>
      </c>
      <c r="P3602" t="n">
        <v>0</v>
      </c>
      <c r="Q3602" t="n">
        <v>0</v>
      </c>
      <c r="R3602" s="2" t="inlineStr"/>
    </row>
    <row r="3603" ht="15" customHeight="1">
      <c r="A3603" t="inlineStr">
        <is>
          <t>A 11281-2023</t>
        </is>
      </c>
      <c r="B3603" s="1" t="n">
        <v>44992</v>
      </c>
      <c r="C3603" s="1" t="n">
        <v>45846</v>
      </c>
      <c r="D3603" t="inlineStr">
        <is>
          <t>UPPSALA LÄN</t>
        </is>
      </c>
      <c r="E3603" t="inlineStr">
        <is>
          <t>ÖSTHAMMAR</t>
        </is>
      </c>
      <c r="F3603" t="inlineStr">
        <is>
          <t>Bergvik skog öst AB</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11452-2023</t>
        </is>
      </c>
      <c r="B3604" s="1" t="n">
        <v>44993</v>
      </c>
      <c r="C3604" s="1" t="n">
        <v>45846</v>
      </c>
      <c r="D3604" t="inlineStr">
        <is>
          <t>UPPSALA LÄN</t>
        </is>
      </c>
      <c r="E3604" t="inlineStr">
        <is>
          <t>KNIVSTA</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11503-2023</t>
        </is>
      </c>
      <c r="B3605" s="1" t="n">
        <v>44993</v>
      </c>
      <c r="C3605" s="1" t="n">
        <v>45846</v>
      </c>
      <c r="D3605" t="inlineStr">
        <is>
          <t>UPPSALA LÄN</t>
        </is>
      </c>
      <c r="E3605" t="inlineStr">
        <is>
          <t>HEBY</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11450-2023</t>
        </is>
      </c>
      <c r="B3606" s="1" t="n">
        <v>44993</v>
      </c>
      <c r="C3606" s="1" t="n">
        <v>45846</v>
      </c>
      <c r="D3606" t="inlineStr">
        <is>
          <t>UPPSALA LÄN</t>
        </is>
      </c>
      <c r="E3606" t="inlineStr">
        <is>
          <t>KNIVSTA</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11469-2023</t>
        </is>
      </c>
      <c r="B3607" s="1" t="n">
        <v>44993</v>
      </c>
      <c r="C3607" s="1" t="n">
        <v>45846</v>
      </c>
      <c r="D3607" t="inlineStr">
        <is>
          <t>UPPSALA LÄN</t>
        </is>
      </c>
      <c r="E3607" t="inlineStr">
        <is>
          <t>ÖSTHAMMAR</t>
        </is>
      </c>
      <c r="F3607" t="inlineStr">
        <is>
          <t>Bergvik skog öst AB</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11739-2023</t>
        </is>
      </c>
      <c r="B3608" s="1" t="n">
        <v>44993</v>
      </c>
      <c r="C3608" s="1" t="n">
        <v>45846</v>
      </c>
      <c r="D3608" t="inlineStr">
        <is>
          <t>UPPSALA LÄN</t>
        </is>
      </c>
      <c r="E3608" t="inlineStr">
        <is>
          <t>UPPSALA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11744-2023</t>
        </is>
      </c>
      <c r="B3609" s="1" t="n">
        <v>44993</v>
      </c>
      <c r="C3609" s="1" t="n">
        <v>45846</v>
      </c>
      <c r="D3609" t="inlineStr">
        <is>
          <t>UPPSALA LÄN</t>
        </is>
      </c>
      <c r="E3609" t="inlineStr">
        <is>
          <t>UPPSALA</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11568-2023</t>
        </is>
      </c>
      <c r="B3610" s="1" t="n">
        <v>44994</v>
      </c>
      <c r="C3610" s="1" t="n">
        <v>45846</v>
      </c>
      <c r="D3610" t="inlineStr">
        <is>
          <t>UPPSALA LÄN</t>
        </is>
      </c>
      <c r="E3610" t="inlineStr">
        <is>
          <t>UPPSALA</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11574-2023</t>
        </is>
      </c>
      <c r="B3611" s="1" t="n">
        <v>44994</v>
      </c>
      <c r="C3611" s="1" t="n">
        <v>45846</v>
      </c>
      <c r="D3611" t="inlineStr">
        <is>
          <t>UPPSALA LÄN</t>
        </is>
      </c>
      <c r="E3611" t="inlineStr">
        <is>
          <t>TIERP</t>
        </is>
      </c>
      <c r="F3611" t="inlineStr">
        <is>
          <t>Bergvik skog öst AB</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11845-2023</t>
        </is>
      </c>
      <c r="B3612" s="1" t="n">
        <v>44995</v>
      </c>
      <c r="C3612" s="1" t="n">
        <v>45846</v>
      </c>
      <c r="D3612" t="inlineStr">
        <is>
          <t>UPPSALA LÄN</t>
        </is>
      </c>
      <c r="E3612" t="inlineStr">
        <is>
          <t>KNIVSTA</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11847-2023</t>
        </is>
      </c>
      <c r="B3613" s="1" t="n">
        <v>44995</v>
      </c>
      <c r="C3613" s="1" t="n">
        <v>45846</v>
      </c>
      <c r="D3613" t="inlineStr">
        <is>
          <t>UPPSALA LÄN</t>
        </is>
      </c>
      <c r="E3613" t="inlineStr">
        <is>
          <t>KNIVSTA</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11841-2023</t>
        </is>
      </c>
      <c r="B3614" s="1" t="n">
        <v>44995</v>
      </c>
      <c r="C3614" s="1" t="n">
        <v>45846</v>
      </c>
      <c r="D3614" t="inlineStr">
        <is>
          <t>UPPSALA LÄN</t>
        </is>
      </c>
      <c r="E3614" t="inlineStr">
        <is>
          <t>KNIVSTA</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12190-2023</t>
        </is>
      </c>
      <c r="B3615" s="1" t="n">
        <v>44995</v>
      </c>
      <c r="C3615" s="1" t="n">
        <v>45846</v>
      </c>
      <c r="D3615" t="inlineStr">
        <is>
          <t>UPPSALA LÄN</t>
        </is>
      </c>
      <c r="E3615" t="inlineStr">
        <is>
          <t>ÖSTHAMMAR</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12186-2023</t>
        </is>
      </c>
      <c r="B3616" s="1" t="n">
        <v>44995</v>
      </c>
      <c r="C3616" s="1" t="n">
        <v>45846</v>
      </c>
      <c r="D3616" t="inlineStr">
        <is>
          <t>UPPSALA LÄN</t>
        </is>
      </c>
      <c r="E3616" t="inlineStr">
        <is>
          <t>ÖSTHAMMAR</t>
        </is>
      </c>
      <c r="G3616" t="n">
        <v>5.7</v>
      </c>
      <c r="H3616" t="n">
        <v>0</v>
      </c>
      <c r="I3616" t="n">
        <v>0</v>
      </c>
      <c r="J3616" t="n">
        <v>0</v>
      </c>
      <c r="K3616" t="n">
        <v>0</v>
      </c>
      <c r="L3616" t="n">
        <v>0</v>
      </c>
      <c r="M3616" t="n">
        <v>0</v>
      </c>
      <c r="N3616" t="n">
        <v>0</v>
      </c>
      <c r="O3616" t="n">
        <v>0</v>
      </c>
      <c r="P3616" t="n">
        <v>0</v>
      </c>
      <c r="Q3616" t="n">
        <v>0</v>
      </c>
      <c r="R3616" s="2" t="inlineStr"/>
    </row>
    <row r="3617" ht="15" customHeight="1">
      <c r="A3617" t="inlineStr">
        <is>
          <t>A 12262-2023</t>
        </is>
      </c>
      <c r="B3617" s="1" t="n">
        <v>44998</v>
      </c>
      <c r="C3617" s="1" t="n">
        <v>45846</v>
      </c>
      <c r="D3617" t="inlineStr">
        <is>
          <t>UPPSALA LÄN</t>
        </is>
      </c>
      <c r="E3617" t="inlineStr">
        <is>
          <t>ÖSTHAMMAR</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12154-2023</t>
        </is>
      </c>
      <c r="B3618" s="1" t="n">
        <v>44998</v>
      </c>
      <c r="C3618" s="1" t="n">
        <v>45846</v>
      </c>
      <c r="D3618" t="inlineStr">
        <is>
          <t>UPPSALA LÄN</t>
        </is>
      </c>
      <c r="E3618" t="inlineStr">
        <is>
          <t>HÅBO</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12158-2023</t>
        </is>
      </c>
      <c r="B3619" s="1" t="n">
        <v>44998</v>
      </c>
      <c r="C3619" s="1" t="n">
        <v>45846</v>
      </c>
      <c r="D3619" t="inlineStr">
        <is>
          <t>UPPSALA LÄN</t>
        </is>
      </c>
      <c r="E3619" t="inlineStr">
        <is>
          <t>UPPSALA</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12215-2023</t>
        </is>
      </c>
      <c r="B3620" s="1" t="n">
        <v>44998</v>
      </c>
      <c r="C3620" s="1" t="n">
        <v>45846</v>
      </c>
      <c r="D3620" t="inlineStr">
        <is>
          <t>UPPSALA LÄN</t>
        </is>
      </c>
      <c r="E3620" t="inlineStr">
        <is>
          <t>ÖSTHAMMAR</t>
        </is>
      </c>
      <c r="G3620" t="n">
        <v>5.1</v>
      </c>
      <c r="H3620" t="n">
        <v>0</v>
      </c>
      <c r="I3620" t="n">
        <v>0</v>
      </c>
      <c r="J3620" t="n">
        <v>0</v>
      </c>
      <c r="K3620" t="n">
        <v>0</v>
      </c>
      <c r="L3620" t="n">
        <v>0</v>
      </c>
      <c r="M3620" t="n">
        <v>0</v>
      </c>
      <c r="N3620" t="n">
        <v>0</v>
      </c>
      <c r="O3620" t="n">
        <v>0</v>
      </c>
      <c r="P3620" t="n">
        <v>0</v>
      </c>
      <c r="Q3620" t="n">
        <v>0</v>
      </c>
      <c r="R3620" s="2" t="inlineStr"/>
    </row>
    <row r="3621" ht="15" customHeight="1">
      <c r="A3621" t="inlineStr">
        <is>
          <t>A 12146-2023</t>
        </is>
      </c>
      <c r="B3621" s="1" t="n">
        <v>44998</v>
      </c>
      <c r="C3621" s="1" t="n">
        <v>45846</v>
      </c>
      <c r="D3621" t="inlineStr">
        <is>
          <t>UPPSALA LÄN</t>
        </is>
      </c>
      <c r="E3621" t="inlineStr">
        <is>
          <t>HÅBO</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12156-2023</t>
        </is>
      </c>
      <c r="B3622" s="1" t="n">
        <v>44998</v>
      </c>
      <c r="C3622" s="1" t="n">
        <v>45846</v>
      </c>
      <c r="D3622" t="inlineStr">
        <is>
          <t>UPPSALA LÄN</t>
        </is>
      </c>
      <c r="E3622" t="inlineStr">
        <is>
          <t>HÅBO</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12360-2023</t>
        </is>
      </c>
      <c r="B3623" s="1" t="n">
        <v>44999</v>
      </c>
      <c r="C3623" s="1" t="n">
        <v>45846</v>
      </c>
      <c r="D3623" t="inlineStr">
        <is>
          <t>UPPSALA LÄN</t>
        </is>
      </c>
      <c r="E3623" t="inlineStr">
        <is>
          <t>ENKÖPING</t>
        </is>
      </c>
      <c r="G3623" t="n">
        <v>6.3</v>
      </c>
      <c r="H3623" t="n">
        <v>0</v>
      </c>
      <c r="I3623" t="n">
        <v>0</v>
      </c>
      <c r="J3623" t="n">
        <v>0</v>
      </c>
      <c r="K3623" t="n">
        <v>0</v>
      </c>
      <c r="L3623" t="n">
        <v>0</v>
      </c>
      <c r="M3623" t="n">
        <v>0</v>
      </c>
      <c r="N3623" t="n">
        <v>0</v>
      </c>
      <c r="O3623" t="n">
        <v>0</v>
      </c>
      <c r="P3623" t="n">
        <v>0</v>
      </c>
      <c r="Q3623" t="n">
        <v>0</v>
      </c>
      <c r="R3623" s="2" t="inlineStr"/>
    </row>
    <row r="3624" ht="15" customHeight="1">
      <c r="A3624" t="inlineStr">
        <is>
          <t>A 12433-2023</t>
        </is>
      </c>
      <c r="B3624" s="1" t="n">
        <v>44999</v>
      </c>
      <c r="C3624" s="1" t="n">
        <v>45846</v>
      </c>
      <c r="D3624" t="inlineStr">
        <is>
          <t>UPPSALA LÄN</t>
        </is>
      </c>
      <c r="E3624" t="inlineStr">
        <is>
          <t>HEBY</t>
        </is>
      </c>
      <c r="F3624" t="inlineStr">
        <is>
          <t>Kyrkan</t>
        </is>
      </c>
      <c r="G3624" t="n">
        <v>15.9</v>
      </c>
      <c r="H3624" t="n">
        <v>0</v>
      </c>
      <c r="I3624" t="n">
        <v>0</v>
      </c>
      <c r="J3624" t="n">
        <v>0</v>
      </c>
      <c r="K3624" t="n">
        <v>0</v>
      </c>
      <c r="L3624" t="n">
        <v>0</v>
      </c>
      <c r="M3624" t="n">
        <v>0</v>
      </c>
      <c r="N3624" t="n">
        <v>0</v>
      </c>
      <c r="O3624" t="n">
        <v>0</v>
      </c>
      <c r="P3624" t="n">
        <v>0</v>
      </c>
      <c r="Q3624" t="n">
        <v>0</v>
      </c>
      <c r="R3624" s="2" t="inlineStr"/>
    </row>
    <row r="3625" ht="15" customHeight="1">
      <c r="A3625" t="inlineStr">
        <is>
          <t>A 12497-2023</t>
        </is>
      </c>
      <c r="B3625" s="1" t="n">
        <v>44999</v>
      </c>
      <c r="C3625" s="1" t="n">
        <v>45846</v>
      </c>
      <c r="D3625" t="inlineStr">
        <is>
          <t>UPPSALA LÄN</t>
        </is>
      </c>
      <c r="E3625" t="inlineStr">
        <is>
          <t>ÖSTHAMMAR</t>
        </is>
      </c>
      <c r="F3625" t="inlineStr">
        <is>
          <t>Bergvik skog öst AB</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12604-2023</t>
        </is>
      </c>
      <c r="B3626" s="1" t="n">
        <v>45000</v>
      </c>
      <c r="C3626" s="1" t="n">
        <v>45846</v>
      </c>
      <c r="D3626" t="inlineStr">
        <is>
          <t>UPPSALA LÄN</t>
        </is>
      </c>
      <c r="E3626" t="inlineStr">
        <is>
          <t>UPPSALA</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12603-2023</t>
        </is>
      </c>
      <c r="B3627" s="1" t="n">
        <v>45000</v>
      </c>
      <c r="C3627" s="1" t="n">
        <v>45846</v>
      </c>
      <c r="D3627" t="inlineStr">
        <is>
          <t>UPPSALA LÄN</t>
        </is>
      </c>
      <c r="E3627" t="inlineStr">
        <is>
          <t>UPPSALA</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12602-2023</t>
        </is>
      </c>
      <c r="B3628" s="1" t="n">
        <v>45000</v>
      </c>
      <c r="C3628" s="1" t="n">
        <v>45846</v>
      </c>
      <c r="D3628" t="inlineStr">
        <is>
          <t>UPPSALA LÄN</t>
        </is>
      </c>
      <c r="E3628" t="inlineStr">
        <is>
          <t>UPPSALA</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12703-2023</t>
        </is>
      </c>
      <c r="B3629" s="1" t="n">
        <v>45000</v>
      </c>
      <c r="C3629" s="1" t="n">
        <v>45846</v>
      </c>
      <c r="D3629" t="inlineStr">
        <is>
          <t>UPPSALA LÄN</t>
        </is>
      </c>
      <c r="E3629" t="inlineStr">
        <is>
          <t>UPPSALA</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12709-2023</t>
        </is>
      </c>
      <c r="B3630" s="1" t="n">
        <v>45000</v>
      </c>
      <c r="C3630" s="1" t="n">
        <v>45846</v>
      </c>
      <c r="D3630" t="inlineStr">
        <is>
          <t>UPPSALA LÄN</t>
        </is>
      </c>
      <c r="E3630" t="inlineStr">
        <is>
          <t>HEBY</t>
        </is>
      </c>
      <c r="G3630" t="n">
        <v>8</v>
      </c>
      <c r="H3630" t="n">
        <v>0</v>
      </c>
      <c r="I3630" t="n">
        <v>0</v>
      </c>
      <c r="J3630" t="n">
        <v>0</v>
      </c>
      <c r="K3630" t="n">
        <v>0</v>
      </c>
      <c r="L3630" t="n">
        <v>0</v>
      </c>
      <c r="M3630" t="n">
        <v>0</v>
      </c>
      <c r="N3630" t="n">
        <v>0</v>
      </c>
      <c r="O3630" t="n">
        <v>0</v>
      </c>
      <c r="P3630" t="n">
        <v>0</v>
      </c>
      <c r="Q3630" t="n">
        <v>0</v>
      </c>
      <c r="R3630" s="2" t="inlineStr"/>
    </row>
    <row r="3631" ht="15" customHeight="1">
      <c r="A3631" t="inlineStr">
        <is>
          <t>A 12606-2023</t>
        </is>
      </c>
      <c r="B3631" s="1" t="n">
        <v>45000</v>
      </c>
      <c r="C3631" s="1" t="n">
        <v>45846</v>
      </c>
      <c r="D3631" t="inlineStr">
        <is>
          <t>UPPSALA LÄN</t>
        </is>
      </c>
      <c r="E3631" t="inlineStr">
        <is>
          <t>UPPSALA</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13140-2023</t>
        </is>
      </c>
      <c r="B3632" s="1" t="n">
        <v>45001</v>
      </c>
      <c r="C3632" s="1" t="n">
        <v>45846</v>
      </c>
      <c r="D3632" t="inlineStr">
        <is>
          <t>UPPSALA LÄN</t>
        </is>
      </c>
      <c r="E3632" t="inlineStr">
        <is>
          <t>ENKÖPING</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13099-2023</t>
        </is>
      </c>
      <c r="B3633" s="1" t="n">
        <v>45001</v>
      </c>
      <c r="C3633" s="1" t="n">
        <v>45846</v>
      </c>
      <c r="D3633" t="inlineStr">
        <is>
          <t>UPPSALA LÄN</t>
        </is>
      </c>
      <c r="E3633" t="inlineStr">
        <is>
          <t>ENKÖPING</t>
        </is>
      </c>
      <c r="G3633" t="n">
        <v>10.5</v>
      </c>
      <c r="H3633" t="n">
        <v>0</v>
      </c>
      <c r="I3633" t="n">
        <v>0</v>
      </c>
      <c r="J3633" t="n">
        <v>0</v>
      </c>
      <c r="K3633" t="n">
        <v>0</v>
      </c>
      <c r="L3633" t="n">
        <v>0</v>
      </c>
      <c r="M3633" t="n">
        <v>0</v>
      </c>
      <c r="N3633" t="n">
        <v>0</v>
      </c>
      <c r="O3633" t="n">
        <v>0</v>
      </c>
      <c r="P3633" t="n">
        <v>0</v>
      </c>
      <c r="Q3633" t="n">
        <v>0</v>
      </c>
      <c r="R3633" s="2" t="inlineStr"/>
    </row>
    <row r="3634" ht="15" customHeight="1">
      <c r="A3634" t="inlineStr">
        <is>
          <t>A 13110-2023</t>
        </is>
      </c>
      <c r="B3634" s="1" t="n">
        <v>45001</v>
      </c>
      <c r="C3634" s="1" t="n">
        <v>45846</v>
      </c>
      <c r="D3634" t="inlineStr">
        <is>
          <t>UPPSALA LÄN</t>
        </is>
      </c>
      <c r="E3634" t="inlineStr">
        <is>
          <t>ENKÖPING</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13448-2023</t>
        </is>
      </c>
      <c r="B3635" s="1" t="n">
        <v>45005</v>
      </c>
      <c r="C3635" s="1" t="n">
        <v>45846</v>
      </c>
      <c r="D3635" t="inlineStr">
        <is>
          <t>UPPSALA LÄN</t>
        </is>
      </c>
      <c r="E3635" t="inlineStr">
        <is>
          <t>TIERP</t>
        </is>
      </c>
      <c r="F3635" t="inlineStr">
        <is>
          <t>Bergvik skog väst AB</t>
        </is>
      </c>
      <c r="G3635" t="n">
        <v>15.7</v>
      </c>
      <c r="H3635" t="n">
        <v>0</v>
      </c>
      <c r="I3635" t="n">
        <v>0</v>
      </c>
      <c r="J3635" t="n">
        <v>0</v>
      </c>
      <c r="K3635" t="n">
        <v>0</v>
      </c>
      <c r="L3635" t="n">
        <v>0</v>
      </c>
      <c r="M3635" t="n">
        <v>0</v>
      </c>
      <c r="N3635" t="n">
        <v>0</v>
      </c>
      <c r="O3635" t="n">
        <v>0</v>
      </c>
      <c r="P3635" t="n">
        <v>0</v>
      </c>
      <c r="Q3635" t="n">
        <v>0</v>
      </c>
      <c r="R3635" s="2" t="inlineStr"/>
    </row>
    <row r="3636" ht="15" customHeight="1">
      <c r="A3636" t="inlineStr">
        <is>
          <t>A 13336-2023</t>
        </is>
      </c>
      <c r="B3636" s="1" t="n">
        <v>45005</v>
      </c>
      <c r="C3636" s="1" t="n">
        <v>45846</v>
      </c>
      <c r="D3636" t="inlineStr">
        <is>
          <t>UPPSALA LÄN</t>
        </is>
      </c>
      <c r="E3636" t="inlineStr">
        <is>
          <t>ÖSTHAMMAR</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13407-2023</t>
        </is>
      </c>
      <c r="B3637" s="1" t="n">
        <v>45005</v>
      </c>
      <c r="C3637" s="1" t="n">
        <v>45846</v>
      </c>
      <c r="D3637" t="inlineStr">
        <is>
          <t>UPPSALA LÄN</t>
        </is>
      </c>
      <c r="E3637" t="inlineStr">
        <is>
          <t>TIERP</t>
        </is>
      </c>
      <c r="F3637" t="inlineStr">
        <is>
          <t>Bergvik skog väst AB</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13428-2023</t>
        </is>
      </c>
      <c r="B3638" s="1" t="n">
        <v>45005</v>
      </c>
      <c r="C3638" s="1" t="n">
        <v>45846</v>
      </c>
      <c r="D3638" t="inlineStr">
        <is>
          <t>UPPSALA LÄN</t>
        </is>
      </c>
      <c r="E3638" t="inlineStr">
        <is>
          <t>TIERP</t>
        </is>
      </c>
      <c r="F3638" t="inlineStr">
        <is>
          <t>Bergvik skog väst AB</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13447-2023</t>
        </is>
      </c>
      <c r="B3639" s="1" t="n">
        <v>45005</v>
      </c>
      <c r="C3639" s="1" t="n">
        <v>45846</v>
      </c>
      <c r="D3639" t="inlineStr">
        <is>
          <t>UPPSALA LÄN</t>
        </is>
      </c>
      <c r="E3639" t="inlineStr">
        <is>
          <t>TIERP</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13466-2023</t>
        </is>
      </c>
      <c r="B3640" s="1" t="n">
        <v>45005</v>
      </c>
      <c r="C3640" s="1" t="n">
        <v>45846</v>
      </c>
      <c r="D3640" t="inlineStr">
        <is>
          <t>UPPSALA LÄN</t>
        </is>
      </c>
      <c r="E3640" t="inlineStr">
        <is>
          <t>TIERP</t>
        </is>
      </c>
      <c r="F3640" t="inlineStr">
        <is>
          <t>Övriga Aktiebolag</t>
        </is>
      </c>
      <c r="G3640" t="n">
        <v>20.6</v>
      </c>
      <c r="H3640" t="n">
        <v>0</v>
      </c>
      <c r="I3640" t="n">
        <v>0</v>
      </c>
      <c r="J3640" t="n">
        <v>0</v>
      </c>
      <c r="K3640" t="n">
        <v>0</v>
      </c>
      <c r="L3640" t="n">
        <v>0</v>
      </c>
      <c r="M3640" t="n">
        <v>0</v>
      </c>
      <c r="N3640" t="n">
        <v>0</v>
      </c>
      <c r="O3640" t="n">
        <v>0</v>
      </c>
      <c r="P3640" t="n">
        <v>0</v>
      </c>
      <c r="Q3640" t="n">
        <v>0</v>
      </c>
      <c r="R3640" s="2" t="inlineStr"/>
    </row>
    <row r="3641" ht="15" customHeight="1">
      <c r="A3641" t="inlineStr">
        <is>
          <t>A 13304-2023</t>
        </is>
      </c>
      <c r="B3641" s="1" t="n">
        <v>45005</v>
      </c>
      <c r="C3641" s="1" t="n">
        <v>45846</v>
      </c>
      <c r="D3641" t="inlineStr">
        <is>
          <t>UPPSALA LÄN</t>
        </is>
      </c>
      <c r="E3641" t="inlineStr">
        <is>
          <t>TIERP</t>
        </is>
      </c>
      <c r="F3641" t="inlineStr">
        <is>
          <t>Kyrkan</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13394-2023</t>
        </is>
      </c>
      <c r="B3642" s="1" t="n">
        <v>45005</v>
      </c>
      <c r="C3642" s="1" t="n">
        <v>45846</v>
      </c>
      <c r="D3642" t="inlineStr">
        <is>
          <t>UPPSALA LÄN</t>
        </is>
      </c>
      <c r="E3642" t="inlineStr">
        <is>
          <t>HEBY</t>
        </is>
      </c>
      <c r="F3642" t="inlineStr">
        <is>
          <t>Kyrkan</t>
        </is>
      </c>
      <c r="G3642" t="n">
        <v>4.8</v>
      </c>
      <c r="H3642" t="n">
        <v>0</v>
      </c>
      <c r="I3642" t="n">
        <v>0</v>
      </c>
      <c r="J3642" t="n">
        <v>0</v>
      </c>
      <c r="K3642" t="n">
        <v>0</v>
      </c>
      <c r="L3642" t="n">
        <v>0</v>
      </c>
      <c r="M3642" t="n">
        <v>0</v>
      </c>
      <c r="N3642" t="n">
        <v>0</v>
      </c>
      <c r="O3642" t="n">
        <v>0</v>
      </c>
      <c r="P3642" t="n">
        <v>0</v>
      </c>
      <c r="Q3642" t="n">
        <v>0</v>
      </c>
      <c r="R3642" s="2" t="inlineStr"/>
    </row>
    <row r="3643" ht="15" customHeight="1">
      <c r="A3643" t="inlineStr">
        <is>
          <t>A 13412-2023</t>
        </is>
      </c>
      <c r="B3643" s="1" t="n">
        <v>45005</v>
      </c>
      <c r="C3643" s="1" t="n">
        <v>45846</v>
      </c>
      <c r="D3643" t="inlineStr">
        <is>
          <t>UPPSALA LÄN</t>
        </is>
      </c>
      <c r="E3643" t="inlineStr">
        <is>
          <t>TIERP</t>
        </is>
      </c>
      <c r="F3643" t="inlineStr">
        <is>
          <t>Bergvik skog väst AB</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13352-2023</t>
        </is>
      </c>
      <c r="B3644" s="1" t="n">
        <v>45005</v>
      </c>
      <c r="C3644" s="1" t="n">
        <v>45846</v>
      </c>
      <c r="D3644" t="inlineStr">
        <is>
          <t>UPPSALA LÄN</t>
        </is>
      </c>
      <c r="E3644" t="inlineStr">
        <is>
          <t>ÖSTHAMMAR</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13418-2023</t>
        </is>
      </c>
      <c r="B3645" s="1" t="n">
        <v>45005</v>
      </c>
      <c r="C3645" s="1" t="n">
        <v>45846</v>
      </c>
      <c r="D3645" t="inlineStr">
        <is>
          <t>UPPSALA LÄN</t>
        </is>
      </c>
      <c r="E3645" t="inlineStr">
        <is>
          <t>TIERP</t>
        </is>
      </c>
      <c r="F3645" t="inlineStr">
        <is>
          <t>Bergvik skog väst AB</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13593-2023</t>
        </is>
      </c>
      <c r="B3646" s="1" t="n">
        <v>45006</v>
      </c>
      <c r="C3646" s="1" t="n">
        <v>45846</v>
      </c>
      <c r="D3646" t="inlineStr">
        <is>
          <t>UPPSALA LÄN</t>
        </is>
      </c>
      <c r="E3646" t="inlineStr">
        <is>
          <t>HEBY</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13599-2023</t>
        </is>
      </c>
      <c r="B3647" s="1" t="n">
        <v>45006</v>
      </c>
      <c r="C3647" s="1" t="n">
        <v>45846</v>
      </c>
      <c r="D3647" t="inlineStr">
        <is>
          <t>UPPSALA LÄN</t>
        </is>
      </c>
      <c r="E3647" t="inlineStr">
        <is>
          <t>HEBY</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13572-2023</t>
        </is>
      </c>
      <c r="B3648" s="1" t="n">
        <v>45006</v>
      </c>
      <c r="C3648" s="1" t="n">
        <v>45846</v>
      </c>
      <c r="D3648" t="inlineStr">
        <is>
          <t>UPPSALA LÄN</t>
        </is>
      </c>
      <c r="E3648" t="inlineStr">
        <is>
          <t>TIERP</t>
        </is>
      </c>
      <c r="F3648" t="inlineStr">
        <is>
          <t>Bergvik skog väst AB</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13643-2023</t>
        </is>
      </c>
      <c r="B3649" s="1" t="n">
        <v>45006</v>
      </c>
      <c r="C3649" s="1" t="n">
        <v>45846</v>
      </c>
      <c r="D3649" t="inlineStr">
        <is>
          <t>UPPSALA LÄN</t>
        </is>
      </c>
      <c r="E3649" t="inlineStr">
        <is>
          <t>ÖSTHAMMAR</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13501-2023</t>
        </is>
      </c>
      <c r="B3650" s="1" t="n">
        <v>45006</v>
      </c>
      <c r="C3650" s="1" t="n">
        <v>45846</v>
      </c>
      <c r="D3650" t="inlineStr">
        <is>
          <t>UPPSALA LÄN</t>
        </is>
      </c>
      <c r="E3650" t="inlineStr">
        <is>
          <t>HEBY</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13634-2023</t>
        </is>
      </c>
      <c r="B3651" s="1" t="n">
        <v>45006</v>
      </c>
      <c r="C3651" s="1" t="n">
        <v>45846</v>
      </c>
      <c r="D3651" t="inlineStr">
        <is>
          <t>UPPSALA LÄN</t>
        </is>
      </c>
      <c r="E3651" t="inlineStr">
        <is>
          <t>HEBY</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13526-2023</t>
        </is>
      </c>
      <c r="B3652" s="1" t="n">
        <v>45006</v>
      </c>
      <c r="C3652" s="1" t="n">
        <v>45846</v>
      </c>
      <c r="D3652" t="inlineStr">
        <is>
          <t>UPPSALA LÄN</t>
        </is>
      </c>
      <c r="E3652" t="inlineStr">
        <is>
          <t>UPPSALA</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13580-2023</t>
        </is>
      </c>
      <c r="B3653" s="1" t="n">
        <v>45006</v>
      </c>
      <c r="C3653" s="1" t="n">
        <v>45846</v>
      </c>
      <c r="D3653" t="inlineStr">
        <is>
          <t>UPPSALA LÄN</t>
        </is>
      </c>
      <c r="E3653" t="inlineStr">
        <is>
          <t>ÖSTHAMMAR</t>
        </is>
      </c>
      <c r="F3653" t="inlineStr">
        <is>
          <t>Övriga Aktiebolag</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13584-2023</t>
        </is>
      </c>
      <c r="B3654" s="1" t="n">
        <v>45006</v>
      </c>
      <c r="C3654" s="1" t="n">
        <v>45846</v>
      </c>
      <c r="D3654" t="inlineStr">
        <is>
          <t>UPPSALA LÄN</t>
        </is>
      </c>
      <c r="E3654" t="inlineStr">
        <is>
          <t>ÖSTHAMMAR</t>
        </is>
      </c>
      <c r="F3654" t="inlineStr">
        <is>
          <t>Övriga Aktiebolag</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13603-2023</t>
        </is>
      </c>
      <c r="B3655" s="1" t="n">
        <v>45006</v>
      </c>
      <c r="C3655" s="1" t="n">
        <v>45846</v>
      </c>
      <c r="D3655" t="inlineStr">
        <is>
          <t>UPPSALA LÄN</t>
        </is>
      </c>
      <c r="E3655" t="inlineStr">
        <is>
          <t>HEBY</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13738-2023</t>
        </is>
      </c>
      <c r="B3656" s="1" t="n">
        <v>45007</v>
      </c>
      <c r="C3656" s="1" t="n">
        <v>45846</v>
      </c>
      <c r="D3656" t="inlineStr">
        <is>
          <t>UPPSALA LÄN</t>
        </is>
      </c>
      <c r="E3656" t="inlineStr">
        <is>
          <t>ÖSTHAMMAR</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13767-2023</t>
        </is>
      </c>
      <c r="B3657" s="1" t="n">
        <v>45007</v>
      </c>
      <c r="C3657" s="1" t="n">
        <v>45846</v>
      </c>
      <c r="D3657" t="inlineStr">
        <is>
          <t>UPPSALA LÄN</t>
        </is>
      </c>
      <c r="E3657" t="inlineStr">
        <is>
          <t>ÖSTHAMMAR</t>
        </is>
      </c>
      <c r="G3657" t="n">
        <v>5.5</v>
      </c>
      <c r="H3657" t="n">
        <v>0</v>
      </c>
      <c r="I3657" t="n">
        <v>0</v>
      </c>
      <c r="J3657" t="n">
        <v>0</v>
      </c>
      <c r="K3657" t="n">
        <v>0</v>
      </c>
      <c r="L3657" t="n">
        <v>0</v>
      </c>
      <c r="M3657" t="n">
        <v>0</v>
      </c>
      <c r="N3657" t="n">
        <v>0</v>
      </c>
      <c r="O3657" t="n">
        <v>0</v>
      </c>
      <c r="P3657" t="n">
        <v>0</v>
      </c>
      <c r="Q3657" t="n">
        <v>0</v>
      </c>
      <c r="R3657" s="2" t="inlineStr"/>
    </row>
    <row r="3658" ht="15" customHeight="1">
      <c r="A3658" t="inlineStr">
        <is>
          <t>A 13755-2023</t>
        </is>
      </c>
      <c r="B3658" s="1" t="n">
        <v>45007</v>
      </c>
      <c r="C3658" s="1" t="n">
        <v>45846</v>
      </c>
      <c r="D3658" t="inlineStr">
        <is>
          <t>UPPSALA LÄN</t>
        </is>
      </c>
      <c r="E3658" t="inlineStr">
        <is>
          <t>ÖSTHAMMAR</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13771-2023</t>
        </is>
      </c>
      <c r="B3659" s="1" t="n">
        <v>45007</v>
      </c>
      <c r="C3659" s="1" t="n">
        <v>45846</v>
      </c>
      <c r="D3659" t="inlineStr">
        <is>
          <t>UPPSALA LÄN</t>
        </is>
      </c>
      <c r="E3659" t="inlineStr">
        <is>
          <t>ÖSTHAMMAR</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13736-2023</t>
        </is>
      </c>
      <c r="B3660" s="1" t="n">
        <v>45007</v>
      </c>
      <c r="C3660" s="1" t="n">
        <v>45846</v>
      </c>
      <c r="D3660" t="inlineStr">
        <is>
          <t>UPPSALA LÄN</t>
        </is>
      </c>
      <c r="E3660" t="inlineStr">
        <is>
          <t>ÖSTHAMMAR</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13836-2023</t>
        </is>
      </c>
      <c r="B3661" s="1" t="n">
        <v>45007</v>
      </c>
      <c r="C3661" s="1" t="n">
        <v>45846</v>
      </c>
      <c r="D3661" t="inlineStr">
        <is>
          <t>UPPSALA LÄN</t>
        </is>
      </c>
      <c r="E3661" t="inlineStr">
        <is>
          <t>ENKÖPING</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13853-2023</t>
        </is>
      </c>
      <c r="B3662" s="1" t="n">
        <v>45007</v>
      </c>
      <c r="C3662" s="1" t="n">
        <v>45846</v>
      </c>
      <c r="D3662" t="inlineStr">
        <is>
          <t>UPPSALA LÄN</t>
        </is>
      </c>
      <c r="E3662" t="inlineStr">
        <is>
          <t>ENKÖPING</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13867-2023</t>
        </is>
      </c>
      <c r="B3663" s="1" t="n">
        <v>45007</v>
      </c>
      <c r="C3663" s="1" t="n">
        <v>45846</v>
      </c>
      <c r="D3663" t="inlineStr">
        <is>
          <t>UPPSALA LÄN</t>
        </is>
      </c>
      <c r="E3663" t="inlineStr">
        <is>
          <t>ENKÖPING</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13978-2023</t>
        </is>
      </c>
      <c r="B3664" s="1" t="n">
        <v>45008</v>
      </c>
      <c r="C3664" s="1" t="n">
        <v>45846</v>
      </c>
      <c r="D3664" t="inlineStr">
        <is>
          <t>UPPSALA LÄN</t>
        </is>
      </c>
      <c r="E3664" t="inlineStr">
        <is>
          <t>HEBY</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13976-2023</t>
        </is>
      </c>
      <c r="B3665" s="1" t="n">
        <v>45008</v>
      </c>
      <c r="C3665" s="1" t="n">
        <v>45846</v>
      </c>
      <c r="D3665" t="inlineStr">
        <is>
          <t>UPPSALA LÄN</t>
        </is>
      </c>
      <c r="E3665" t="inlineStr">
        <is>
          <t>HEBY</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14004-2023</t>
        </is>
      </c>
      <c r="B3666" s="1" t="n">
        <v>45008</v>
      </c>
      <c r="C3666" s="1" t="n">
        <v>45846</v>
      </c>
      <c r="D3666" t="inlineStr">
        <is>
          <t>UPPSALA LÄN</t>
        </is>
      </c>
      <c r="E3666" t="inlineStr">
        <is>
          <t>ENKÖPING</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14236-2023</t>
        </is>
      </c>
      <c r="B3667" s="1" t="n">
        <v>45009</v>
      </c>
      <c r="C3667" s="1" t="n">
        <v>45846</v>
      </c>
      <c r="D3667" t="inlineStr">
        <is>
          <t>UPPSALA LÄN</t>
        </is>
      </c>
      <c r="E3667" t="inlineStr">
        <is>
          <t>HEBY</t>
        </is>
      </c>
      <c r="G3667" t="n">
        <v>9.800000000000001</v>
      </c>
      <c r="H3667" t="n">
        <v>0</v>
      </c>
      <c r="I3667" t="n">
        <v>0</v>
      </c>
      <c r="J3667" t="n">
        <v>0</v>
      </c>
      <c r="K3667" t="n">
        <v>0</v>
      </c>
      <c r="L3667" t="n">
        <v>0</v>
      </c>
      <c r="M3667" t="n">
        <v>0</v>
      </c>
      <c r="N3667" t="n">
        <v>0</v>
      </c>
      <c r="O3667" t="n">
        <v>0</v>
      </c>
      <c r="P3667" t="n">
        <v>0</v>
      </c>
      <c r="Q3667" t="n">
        <v>0</v>
      </c>
      <c r="R3667" s="2" t="inlineStr"/>
    </row>
    <row r="3668" ht="15" customHeight="1">
      <c r="A3668" t="inlineStr">
        <is>
          <t>A 14181-2023</t>
        </is>
      </c>
      <c r="B3668" s="1" t="n">
        <v>45009</v>
      </c>
      <c r="C3668" s="1" t="n">
        <v>45846</v>
      </c>
      <c r="D3668" t="inlineStr">
        <is>
          <t>UPPSALA LÄN</t>
        </is>
      </c>
      <c r="E3668" t="inlineStr">
        <is>
          <t>TIERP</t>
        </is>
      </c>
      <c r="F3668" t="inlineStr">
        <is>
          <t>Bergvik skog väst AB</t>
        </is>
      </c>
      <c r="G3668" t="n">
        <v>9.699999999999999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14086-2023</t>
        </is>
      </c>
      <c r="B3669" s="1" t="n">
        <v>45009</v>
      </c>
      <c r="C3669" s="1" t="n">
        <v>45846</v>
      </c>
      <c r="D3669" t="inlineStr">
        <is>
          <t>UPPSALA LÄN</t>
        </is>
      </c>
      <c r="E3669" t="inlineStr">
        <is>
          <t>TIERP</t>
        </is>
      </c>
      <c r="F3669" t="inlineStr">
        <is>
          <t>Bergvik skog väst AB</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14249-2023</t>
        </is>
      </c>
      <c r="B3670" s="1" t="n">
        <v>45009</v>
      </c>
      <c r="C3670" s="1" t="n">
        <v>45846</v>
      </c>
      <c r="D3670" t="inlineStr">
        <is>
          <t>UPPSALA LÄN</t>
        </is>
      </c>
      <c r="E3670" t="inlineStr">
        <is>
          <t>HEBY</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14253-2023</t>
        </is>
      </c>
      <c r="B3671" s="1" t="n">
        <v>45009</v>
      </c>
      <c r="C3671" s="1" t="n">
        <v>45846</v>
      </c>
      <c r="D3671" t="inlineStr">
        <is>
          <t>UPPSALA LÄN</t>
        </is>
      </c>
      <c r="E3671" t="inlineStr">
        <is>
          <t>UPPSALA</t>
        </is>
      </c>
      <c r="F3671" t="inlineStr">
        <is>
          <t>Allmännings- och besparingsskogar</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14402-2023</t>
        </is>
      </c>
      <c r="B3672" s="1" t="n">
        <v>45012</v>
      </c>
      <c r="C3672" s="1" t="n">
        <v>45846</v>
      </c>
      <c r="D3672" t="inlineStr">
        <is>
          <t>UPPSALA LÄN</t>
        </is>
      </c>
      <c r="E3672" t="inlineStr">
        <is>
          <t>ENKÖPING</t>
        </is>
      </c>
      <c r="G3672" t="n">
        <v>9.5</v>
      </c>
      <c r="H3672" t="n">
        <v>0</v>
      </c>
      <c r="I3672" t="n">
        <v>0</v>
      </c>
      <c r="J3672" t="n">
        <v>0</v>
      </c>
      <c r="K3672" t="n">
        <v>0</v>
      </c>
      <c r="L3672" t="n">
        <v>0</v>
      </c>
      <c r="M3672" t="n">
        <v>0</v>
      </c>
      <c r="N3672" t="n">
        <v>0</v>
      </c>
      <c r="O3672" t="n">
        <v>0</v>
      </c>
      <c r="P3672" t="n">
        <v>0</v>
      </c>
      <c r="Q3672" t="n">
        <v>0</v>
      </c>
      <c r="R3672" s="2" t="inlineStr"/>
    </row>
    <row r="3673" ht="15" customHeight="1">
      <c r="A3673" t="inlineStr">
        <is>
          <t>A 14505-2023</t>
        </is>
      </c>
      <c r="B3673" s="1" t="n">
        <v>45012</v>
      </c>
      <c r="C3673" s="1" t="n">
        <v>45846</v>
      </c>
      <c r="D3673" t="inlineStr">
        <is>
          <t>UPPSALA LÄN</t>
        </is>
      </c>
      <c r="E3673" t="inlineStr">
        <is>
          <t>ÖSTHAMMAR</t>
        </is>
      </c>
      <c r="F3673" t="inlineStr">
        <is>
          <t>Bergvik skog öst AB</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14510-2023</t>
        </is>
      </c>
      <c r="B3674" s="1" t="n">
        <v>45012</v>
      </c>
      <c r="C3674" s="1" t="n">
        <v>45846</v>
      </c>
      <c r="D3674" t="inlineStr">
        <is>
          <t>UPPSALA LÄN</t>
        </is>
      </c>
      <c r="E3674" t="inlineStr">
        <is>
          <t>ÖSTHAMMAR</t>
        </is>
      </c>
      <c r="F3674" t="inlineStr">
        <is>
          <t>Bergvik skog öst AB</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14588-2023</t>
        </is>
      </c>
      <c r="B3675" s="1" t="n">
        <v>45013</v>
      </c>
      <c r="C3675" s="1" t="n">
        <v>45846</v>
      </c>
      <c r="D3675" t="inlineStr">
        <is>
          <t>UPPSALA LÄN</t>
        </is>
      </c>
      <c r="E3675" t="inlineStr">
        <is>
          <t>HEBY</t>
        </is>
      </c>
      <c r="G3675" t="n">
        <v>15.6</v>
      </c>
      <c r="H3675" t="n">
        <v>0</v>
      </c>
      <c r="I3675" t="n">
        <v>0</v>
      </c>
      <c r="J3675" t="n">
        <v>0</v>
      </c>
      <c r="K3675" t="n">
        <v>0</v>
      </c>
      <c r="L3675" t="n">
        <v>0</v>
      </c>
      <c r="M3675" t="n">
        <v>0</v>
      </c>
      <c r="N3675" t="n">
        <v>0</v>
      </c>
      <c r="O3675" t="n">
        <v>0</v>
      </c>
      <c r="P3675" t="n">
        <v>0</v>
      </c>
      <c r="Q3675" t="n">
        <v>0</v>
      </c>
      <c r="R3675" s="2" t="inlineStr"/>
    </row>
    <row r="3676" ht="15" customHeight="1">
      <c r="A3676" t="inlineStr">
        <is>
          <t>A 14585-2023</t>
        </is>
      </c>
      <c r="B3676" s="1" t="n">
        <v>45013</v>
      </c>
      <c r="C3676" s="1" t="n">
        <v>45846</v>
      </c>
      <c r="D3676" t="inlineStr">
        <is>
          <t>UPPSALA LÄN</t>
        </is>
      </c>
      <c r="E3676" t="inlineStr">
        <is>
          <t>HEBY</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14595-2023</t>
        </is>
      </c>
      <c r="B3677" s="1" t="n">
        <v>45013</v>
      </c>
      <c r="C3677" s="1" t="n">
        <v>45846</v>
      </c>
      <c r="D3677" t="inlineStr">
        <is>
          <t>UPPSALA LÄN</t>
        </is>
      </c>
      <c r="E3677" t="inlineStr">
        <is>
          <t>ÖSTHAMMAR</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14541-2023</t>
        </is>
      </c>
      <c r="B3678" s="1" t="n">
        <v>45013</v>
      </c>
      <c r="C3678" s="1" t="n">
        <v>45846</v>
      </c>
      <c r="D3678" t="inlineStr">
        <is>
          <t>UPPSALA LÄN</t>
        </is>
      </c>
      <c r="E3678" t="inlineStr">
        <is>
          <t>TIERP</t>
        </is>
      </c>
      <c r="F3678" t="inlineStr">
        <is>
          <t>Bergvik skog öst AB</t>
        </is>
      </c>
      <c r="G3678" t="n">
        <v>10.7</v>
      </c>
      <c r="H3678" t="n">
        <v>0</v>
      </c>
      <c r="I3678" t="n">
        <v>0</v>
      </c>
      <c r="J3678" t="n">
        <v>0</v>
      </c>
      <c r="K3678" t="n">
        <v>0</v>
      </c>
      <c r="L3678" t="n">
        <v>0</v>
      </c>
      <c r="M3678" t="n">
        <v>0</v>
      </c>
      <c r="N3678" t="n">
        <v>0</v>
      </c>
      <c r="O3678" t="n">
        <v>0</v>
      </c>
      <c r="P3678" t="n">
        <v>0</v>
      </c>
      <c r="Q3678" t="n">
        <v>0</v>
      </c>
      <c r="R3678" s="2" t="inlineStr"/>
    </row>
    <row r="3679" ht="15" customHeight="1">
      <c r="A3679" t="inlineStr">
        <is>
          <t>A 14553-2023</t>
        </is>
      </c>
      <c r="B3679" s="1" t="n">
        <v>45013</v>
      </c>
      <c r="C3679" s="1" t="n">
        <v>45846</v>
      </c>
      <c r="D3679" t="inlineStr">
        <is>
          <t>UPPSALA LÄN</t>
        </is>
      </c>
      <c r="E3679" t="inlineStr">
        <is>
          <t>TIERP</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14590-2023</t>
        </is>
      </c>
      <c r="B3680" s="1" t="n">
        <v>45013</v>
      </c>
      <c r="C3680" s="1" t="n">
        <v>45846</v>
      </c>
      <c r="D3680" t="inlineStr">
        <is>
          <t>UPPSALA LÄN</t>
        </is>
      </c>
      <c r="E3680" t="inlineStr">
        <is>
          <t>ÄLVKARLEBY</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14784-2023</t>
        </is>
      </c>
      <c r="B3681" s="1" t="n">
        <v>45014</v>
      </c>
      <c r="C3681" s="1" t="n">
        <v>45846</v>
      </c>
      <c r="D3681" t="inlineStr">
        <is>
          <t>UPPSALA LÄN</t>
        </is>
      </c>
      <c r="E3681" t="inlineStr">
        <is>
          <t>UPPSALA</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14822-2023</t>
        </is>
      </c>
      <c r="B3682" s="1" t="n">
        <v>45014</v>
      </c>
      <c r="C3682" s="1" t="n">
        <v>45846</v>
      </c>
      <c r="D3682" t="inlineStr">
        <is>
          <t>UPPSALA LÄN</t>
        </is>
      </c>
      <c r="E3682" t="inlineStr">
        <is>
          <t>ÖSTHAMMAR</t>
        </is>
      </c>
      <c r="G3682" t="n">
        <v>6.2</v>
      </c>
      <c r="H3682" t="n">
        <v>0</v>
      </c>
      <c r="I3682" t="n">
        <v>0</v>
      </c>
      <c r="J3682" t="n">
        <v>0</v>
      </c>
      <c r="K3682" t="n">
        <v>0</v>
      </c>
      <c r="L3682" t="n">
        <v>0</v>
      </c>
      <c r="M3682" t="n">
        <v>0</v>
      </c>
      <c r="N3682" t="n">
        <v>0</v>
      </c>
      <c r="O3682" t="n">
        <v>0</v>
      </c>
      <c r="P3682" t="n">
        <v>0</v>
      </c>
      <c r="Q3682" t="n">
        <v>0</v>
      </c>
      <c r="R3682" s="2" t="inlineStr"/>
    </row>
    <row r="3683" ht="15" customHeight="1">
      <c r="A3683" t="inlineStr">
        <is>
          <t>A 14835-2023</t>
        </is>
      </c>
      <c r="B3683" s="1" t="n">
        <v>45014</v>
      </c>
      <c r="C3683" s="1" t="n">
        <v>45846</v>
      </c>
      <c r="D3683" t="inlineStr">
        <is>
          <t>UPPSALA LÄN</t>
        </is>
      </c>
      <c r="E3683" t="inlineStr">
        <is>
          <t>ÖSTHAMMAR</t>
        </is>
      </c>
      <c r="G3683" t="n">
        <v>9.5</v>
      </c>
      <c r="H3683" t="n">
        <v>0</v>
      </c>
      <c r="I3683" t="n">
        <v>0</v>
      </c>
      <c r="J3683" t="n">
        <v>0</v>
      </c>
      <c r="K3683" t="n">
        <v>0</v>
      </c>
      <c r="L3683" t="n">
        <v>0</v>
      </c>
      <c r="M3683" t="n">
        <v>0</v>
      </c>
      <c r="N3683" t="n">
        <v>0</v>
      </c>
      <c r="O3683" t="n">
        <v>0</v>
      </c>
      <c r="P3683" t="n">
        <v>0</v>
      </c>
      <c r="Q3683" t="n">
        <v>0</v>
      </c>
      <c r="R3683" s="2" t="inlineStr"/>
    </row>
    <row r="3684" ht="15" customHeight="1">
      <c r="A3684" t="inlineStr">
        <is>
          <t>A 14889-2023</t>
        </is>
      </c>
      <c r="B3684" s="1" t="n">
        <v>45015</v>
      </c>
      <c r="C3684" s="1" t="n">
        <v>45846</v>
      </c>
      <c r="D3684" t="inlineStr">
        <is>
          <t>UPPSALA LÄN</t>
        </is>
      </c>
      <c r="E3684" t="inlineStr">
        <is>
          <t>ÖSTHAMMAR</t>
        </is>
      </c>
      <c r="F3684" t="inlineStr">
        <is>
          <t>Bergvik skog öst AB</t>
        </is>
      </c>
      <c r="G3684" t="n">
        <v>7.6</v>
      </c>
      <c r="H3684" t="n">
        <v>0</v>
      </c>
      <c r="I3684" t="n">
        <v>0</v>
      </c>
      <c r="J3684" t="n">
        <v>0</v>
      </c>
      <c r="K3684" t="n">
        <v>0</v>
      </c>
      <c r="L3684" t="n">
        <v>0</v>
      </c>
      <c r="M3684" t="n">
        <v>0</v>
      </c>
      <c r="N3684" t="n">
        <v>0</v>
      </c>
      <c r="O3684" t="n">
        <v>0</v>
      </c>
      <c r="P3684" t="n">
        <v>0</v>
      </c>
      <c r="Q3684" t="n">
        <v>0</v>
      </c>
      <c r="R3684" s="2" t="inlineStr"/>
    </row>
    <row r="3685" ht="15" customHeight="1">
      <c r="A3685" t="inlineStr">
        <is>
          <t>A 14888-2023</t>
        </is>
      </c>
      <c r="B3685" s="1" t="n">
        <v>45015</v>
      </c>
      <c r="C3685" s="1" t="n">
        <v>45846</v>
      </c>
      <c r="D3685" t="inlineStr">
        <is>
          <t>UPPSALA LÄN</t>
        </is>
      </c>
      <c r="E3685" t="inlineStr">
        <is>
          <t>ÖSTHAMMAR</t>
        </is>
      </c>
      <c r="F3685" t="inlineStr">
        <is>
          <t>Bergvik skog öst AB</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14988-2023</t>
        </is>
      </c>
      <c r="B3686" s="1" t="n">
        <v>45015</v>
      </c>
      <c r="C3686" s="1" t="n">
        <v>45846</v>
      </c>
      <c r="D3686" t="inlineStr">
        <is>
          <t>UPPSALA LÄN</t>
        </is>
      </c>
      <c r="E3686" t="inlineStr">
        <is>
          <t>UPPSALA</t>
        </is>
      </c>
      <c r="G3686" t="n">
        <v>4.2</v>
      </c>
      <c r="H3686" t="n">
        <v>0</v>
      </c>
      <c r="I3686" t="n">
        <v>0</v>
      </c>
      <c r="J3686" t="n">
        <v>0</v>
      </c>
      <c r="K3686" t="n">
        <v>0</v>
      </c>
      <c r="L3686" t="n">
        <v>0</v>
      </c>
      <c r="M3686" t="n">
        <v>0</v>
      </c>
      <c r="N3686" t="n">
        <v>0</v>
      </c>
      <c r="O3686" t="n">
        <v>0</v>
      </c>
      <c r="P3686" t="n">
        <v>0</v>
      </c>
      <c r="Q3686" t="n">
        <v>0</v>
      </c>
      <c r="R3686" s="2" t="inlineStr"/>
    </row>
    <row r="3687" ht="15" customHeight="1">
      <c r="A3687" t="inlineStr">
        <is>
          <t>A 14999-2023</t>
        </is>
      </c>
      <c r="B3687" s="1" t="n">
        <v>45015</v>
      </c>
      <c r="C3687" s="1" t="n">
        <v>45846</v>
      </c>
      <c r="D3687" t="inlineStr">
        <is>
          <t>UPPSALA LÄN</t>
        </is>
      </c>
      <c r="E3687" t="inlineStr">
        <is>
          <t>HEBY</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14976-2023</t>
        </is>
      </c>
      <c r="B3688" s="1" t="n">
        <v>45015</v>
      </c>
      <c r="C3688" s="1" t="n">
        <v>45846</v>
      </c>
      <c r="D3688" t="inlineStr">
        <is>
          <t>UPPSALA LÄN</t>
        </is>
      </c>
      <c r="E3688" t="inlineStr">
        <is>
          <t>ÖSTHAMMAR</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15441-2023</t>
        </is>
      </c>
      <c r="B3689" s="1" t="n">
        <v>45016</v>
      </c>
      <c r="C3689" s="1" t="n">
        <v>45846</v>
      </c>
      <c r="D3689" t="inlineStr">
        <is>
          <t>UPPSALA LÄN</t>
        </is>
      </c>
      <c r="E3689" t="inlineStr">
        <is>
          <t>KNIVSTA</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15299-2023</t>
        </is>
      </c>
      <c r="B3690" s="1" t="n">
        <v>45019</v>
      </c>
      <c r="C3690" s="1" t="n">
        <v>45846</v>
      </c>
      <c r="D3690" t="inlineStr">
        <is>
          <t>UPPSALA LÄN</t>
        </is>
      </c>
      <c r="E3690" t="inlineStr">
        <is>
          <t>HEBY</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15303-2023</t>
        </is>
      </c>
      <c r="B3691" s="1" t="n">
        <v>45019</v>
      </c>
      <c r="C3691" s="1" t="n">
        <v>45846</v>
      </c>
      <c r="D3691" t="inlineStr">
        <is>
          <t>UPPSALA LÄN</t>
        </is>
      </c>
      <c r="E3691" t="inlineStr">
        <is>
          <t>HEBY</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15263-2023</t>
        </is>
      </c>
      <c r="B3692" s="1" t="n">
        <v>45019</v>
      </c>
      <c r="C3692" s="1" t="n">
        <v>45846</v>
      </c>
      <c r="D3692" t="inlineStr">
        <is>
          <t>UPPSALA LÄN</t>
        </is>
      </c>
      <c r="E3692" t="inlineStr">
        <is>
          <t>HEBY</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15269-2023</t>
        </is>
      </c>
      <c r="B3693" s="1" t="n">
        <v>45019</v>
      </c>
      <c r="C3693" s="1" t="n">
        <v>45846</v>
      </c>
      <c r="D3693" t="inlineStr">
        <is>
          <t>UPPSALA LÄN</t>
        </is>
      </c>
      <c r="E3693" t="inlineStr">
        <is>
          <t>HEBY</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15554-2023</t>
        </is>
      </c>
      <c r="B3694" s="1" t="n">
        <v>45019</v>
      </c>
      <c r="C3694" s="1" t="n">
        <v>45846</v>
      </c>
      <c r="D3694" t="inlineStr">
        <is>
          <t>UPPSALA LÄN</t>
        </is>
      </c>
      <c r="E3694" t="inlineStr">
        <is>
          <t>ÖSTHAMMAR</t>
        </is>
      </c>
      <c r="G3694" t="n">
        <v>5.3</v>
      </c>
      <c r="H3694" t="n">
        <v>0</v>
      </c>
      <c r="I3694" t="n">
        <v>0</v>
      </c>
      <c r="J3694" t="n">
        <v>0</v>
      </c>
      <c r="K3694" t="n">
        <v>0</v>
      </c>
      <c r="L3694" t="n">
        <v>0</v>
      </c>
      <c r="M3694" t="n">
        <v>0</v>
      </c>
      <c r="N3694" t="n">
        <v>0</v>
      </c>
      <c r="O3694" t="n">
        <v>0</v>
      </c>
      <c r="P3694" t="n">
        <v>0</v>
      </c>
      <c r="Q3694" t="n">
        <v>0</v>
      </c>
      <c r="R3694" s="2" t="inlineStr"/>
    </row>
    <row r="3695" ht="15" customHeight="1">
      <c r="A3695" t="inlineStr">
        <is>
          <t>A 15320-2023</t>
        </is>
      </c>
      <c r="B3695" s="1" t="n">
        <v>45019</v>
      </c>
      <c r="C3695" s="1" t="n">
        <v>45846</v>
      </c>
      <c r="D3695" t="inlineStr">
        <is>
          <t>UPPSALA LÄN</t>
        </is>
      </c>
      <c r="E3695" t="inlineStr">
        <is>
          <t>ENKÖPING</t>
        </is>
      </c>
      <c r="G3695" t="n">
        <v>8</v>
      </c>
      <c r="H3695" t="n">
        <v>0</v>
      </c>
      <c r="I3695" t="n">
        <v>0</v>
      </c>
      <c r="J3695" t="n">
        <v>0</v>
      </c>
      <c r="K3695" t="n">
        <v>0</v>
      </c>
      <c r="L3695" t="n">
        <v>0</v>
      </c>
      <c r="M3695" t="n">
        <v>0</v>
      </c>
      <c r="N3695" t="n">
        <v>0</v>
      </c>
      <c r="O3695" t="n">
        <v>0</v>
      </c>
      <c r="P3695" t="n">
        <v>0</v>
      </c>
      <c r="Q3695" t="n">
        <v>0</v>
      </c>
      <c r="R3695" s="2" t="inlineStr"/>
    </row>
    <row r="3696" ht="15" customHeight="1">
      <c r="A3696" t="inlineStr">
        <is>
          <t>A 15578-2023</t>
        </is>
      </c>
      <c r="B3696" s="1" t="n">
        <v>45020</v>
      </c>
      <c r="C3696" s="1" t="n">
        <v>45846</v>
      </c>
      <c r="D3696" t="inlineStr">
        <is>
          <t>UPPSALA LÄN</t>
        </is>
      </c>
      <c r="E3696" t="inlineStr">
        <is>
          <t>TIERP</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15607-2023</t>
        </is>
      </c>
      <c r="B3697" s="1" t="n">
        <v>45020</v>
      </c>
      <c r="C3697" s="1" t="n">
        <v>45846</v>
      </c>
      <c r="D3697" t="inlineStr">
        <is>
          <t>UPPSALA LÄN</t>
        </is>
      </c>
      <c r="E3697" t="inlineStr">
        <is>
          <t>HEBY</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15609-2023</t>
        </is>
      </c>
      <c r="B3698" s="1" t="n">
        <v>45020</v>
      </c>
      <c r="C3698" s="1" t="n">
        <v>45846</v>
      </c>
      <c r="D3698" t="inlineStr">
        <is>
          <t>UPPSALA LÄN</t>
        </is>
      </c>
      <c r="E3698" t="inlineStr">
        <is>
          <t>HEBY</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15547-2023</t>
        </is>
      </c>
      <c r="B3699" s="1" t="n">
        <v>45020</v>
      </c>
      <c r="C3699" s="1" t="n">
        <v>45846</v>
      </c>
      <c r="D3699" t="inlineStr">
        <is>
          <t>UPPSALA LÄN</t>
        </is>
      </c>
      <c r="E3699" t="inlineStr">
        <is>
          <t>UPPSALA</t>
        </is>
      </c>
      <c r="G3699" t="n">
        <v>8.699999999999999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15551-2023</t>
        </is>
      </c>
      <c r="B3700" s="1" t="n">
        <v>45020</v>
      </c>
      <c r="C3700" s="1" t="n">
        <v>45846</v>
      </c>
      <c r="D3700" t="inlineStr">
        <is>
          <t>UPPSALA LÄN</t>
        </is>
      </c>
      <c r="E3700" t="inlineStr">
        <is>
          <t>UPPSALA</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15629-2023</t>
        </is>
      </c>
      <c r="B3701" s="1" t="n">
        <v>45021</v>
      </c>
      <c r="C3701" s="1" t="n">
        <v>45846</v>
      </c>
      <c r="D3701" t="inlineStr">
        <is>
          <t>UPPSALA LÄN</t>
        </is>
      </c>
      <c r="E3701" t="inlineStr">
        <is>
          <t>UPPSALA</t>
        </is>
      </c>
      <c r="F3701" t="inlineStr">
        <is>
          <t>Övriga Aktiebolag</t>
        </is>
      </c>
      <c r="G3701" t="n">
        <v>7</v>
      </c>
      <c r="H3701" t="n">
        <v>0</v>
      </c>
      <c r="I3701" t="n">
        <v>0</v>
      </c>
      <c r="J3701" t="n">
        <v>0</v>
      </c>
      <c r="K3701" t="n">
        <v>0</v>
      </c>
      <c r="L3701" t="n">
        <v>0</v>
      </c>
      <c r="M3701" t="n">
        <v>0</v>
      </c>
      <c r="N3701" t="n">
        <v>0</v>
      </c>
      <c r="O3701" t="n">
        <v>0</v>
      </c>
      <c r="P3701" t="n">
        <v>0</v>
      </c>
      <c r="Q3701" t="n">
        <v>0</v>
      </c>
      <c r="R3701" s="2" t="inlineStr"/>
    </row>
    <row r="3702" ht="15" customHeight="1">
      <c r="A3702" t="inlineStr">
        <is>
          <t>A 15757-2023</t>
        </is>
      </c>
      <c r="B3702" s="1" t="n">
        <v>45021</v>
      </c>
      <c r="C3702" s="1" t="n">
        <v>45846</v>
      </c>
      <c r="D3702" t="inlineStr">
        <is>
          <t>UPPSALA LÄN</t>
        </is>
      </c>
      <c r="E3702" t="inlineStr">
        <is>
          <t>ENKÖPING</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15763-2023</t>
        </is>
      </c>
      <c r="B3703" s="1" t="n">
        <v>45021</v>
      </c>
      <c r="C3703" s="1" t="n">
        <v>45846</v>
      </c>
      <c r="D3703" t="inlineStr">
        <is>
          <t>UPPSALA LÄN</t>
        </is>
      </c>
      <c r="E3703" t="inlineStr">
        <is>
          <t>TIERP</t>
        </is>
      </c>
      <c r="F3703" t="inlineStr">
        <is>
          <t>Bergvik skog väst AB</t>
        </is>
      </c>
      <c r="G3703" t="n">
        <v>7.6</v>
      </c>
      <c r="H3703" t="n">
        <v>0</v>
      </c>
      <c r="I3703" t="n">
        <v>0</v>
      </c>
      <c r="J3703" t="n">
        <v>0</v>
      </c>
      <c r="K3703" t="n">
        <v>0</v>
      </c>
      <c r="L3703" t="n">
        <v>0</v>
      </c>
      <c r="M3703" t="n">
        <v>0</v>
      </c>
      <c r="N3703" t="n">
        <v>0</v>
      </c>
      <c r="O3703" t="n">
        <v>0</v>
      </c>
      <c r="P3703" t="n">
        <v>0</v>
      </c>
      <c r="Q3703" t="n">
        <v>0</v>
      </c>
      <c r="R3703" s="2" t="inlineStr"/>
    </row>
    <row r="3704" ht="15" customHeight="1">
      <c r="A3704" t="inlineStr">
        <is>
          <t>A 15842-2023</t>
        </is>
      </c>
      <c r="B3704" s="1" t="n">
        <v>45022</v>
      </c>
      <c r="C3704" s="1" t="n">
        <v>45846</v>
      </c>
      <c r="D3704" t="inlineStr">
        <is>
          <t>UPPSALA LÄN</t>
        </is>
      </c>
      <c r="E3704" t="inlineStr">
        <is>
          <t>TIERP</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15832-2023</t>
        </is>
      </c>
      <c r="B3705" s="1" t="n">
        <v>45022</v>
      </c>
      <c r="C3705" s="1" t="n">
        <v>45846</v>
      </c>
      <c r="D3705" t="inlineStr">
        <is>
          <t>UPPSALA LÄN</t>
        </is>
      </c>
      <c r="E3705" t="inlineStr">
        <is>
          <t>TIERP</t>
        </is>
      </c>
      <c r="F3705" t="inlineStr">
        <is>
          <t>Bergvik skog väst AB</t>
        </is>
      </c>
      <c r="G3705" t="n">
        <v>8.5</v>
      </c>
      <c r="H3705" t="n">
        <v>0</v>
      </c>
      <c r="I3705" t="n">
        <v>0</v>
      </c>
      <c r="J3705" t="n">
        <v>0</v>
      </c>
      <c r="K3705" t="n">
        <v>0</v>
      </c>
      <c r="L3705" t="n">
        <v>0</v>
      </c>
      <c r="M3705" t="n">
        <v>0</v>
      </c>
      <c r="N3705" t="n">
        <v>0</v>
      </c>
      <c r="O3705" t="n">
        <v>0</v>
      </c>
      <c r="P3705" t="n">
        <v>0</v>
      </c>
      <c r="Q3705" t="n">
        <v>0</v>
      </c>
      <c r="R3705" s="2" t="inlineStr"/>
    </row>
    <row r="3706" ht="15" customHeight="1">
      <c r="A3706" t="inlineStr">
        <is>
          <t>A 15851-2023</t>
        </is>
      </c>
      <c r="B3706" s="1" t="n">
        <v>45022</v>
      </c>
      <c r="C3706" s="1" t="n">
        <v>45846</v>
      </c>
      <c r="D3706" t="inlineStr">
        <is>
          <t>UPPSALA LÄN</t>
        </is>
      </c>
      <c r="E3706" t="inlineStr">
        <is>
          <t>TIERP</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16256-2023</t>
        </is>
      </c>
      <c r="B3707" s="1" t="n">
        <v>45022</v>
      </c>
      <c r="C3707" s="1" t="n">
        <v>45846</v>
      </c>
      <c r="D3707" t="inlineStr">
        <is>
          <t>UPPSALA LÄN</t>
        </is>
      </c>
      <c r="E3707" t="inlineStr">
        <is>
          <t>HEBY</t>
        </is>
      </c>
      <c r="F3707" t="inlineStr">
        <is>
          <t>Bergvik skog väst AB</t>
        </is>
      </c>
      <c r="G3707" t="n">
        <v>24.1</v>
      </c>
      <c r="H3707" t="n">
        <v>0</v>
      </c>
      <c r="I3707" t="n">
        <v>0</v>
      </c>
      <c r="J3707" t="n">
        <v>0</v>
      </c>
      <c r="K3707" t="n">
        <v>0</v>
      </c>
      <c r="L3707" t="n">
        <v>0</v>
      </c>
      <c r="M3707" t="n">
        <v>0</v>
      </c>
      <c r="N3707" t="n">
        <v>0</v>
      </c>
      <c r="O3707" t="n">
        <v>0</v>
      </c>
      <c r="P3707" t="n">
        <v>0</v>
      </c>
      <c r="Q3707" t="n">
        <v>0</v>
      </c>
      <c r="R3707" s="2" t="inlineStr"/>
    </row>
    <row r="3708" ht="15" customHeight="1">
      <c r="A3708" t="inlineStr">
        <is>
          <t>A 16263-2023</t>
        </is>
      </c>
      <c r="B3708" s="1" t="n">
        <v>45022</v>
      </c>
      <c r="C3708" s="1" t="n">
        <v>45846</v>
      </c>
      <c r="D3708" t="inlineStr">
        <is>
          <t>UPPSALA LÄN</t>
        </is>
      </c>
      <c r="E3708" t="inlineStr">
        <is>
          <t>HEBY</t>
        </is>
      </c>
      <c r="F3708" t="inlineStr">
        <is>
          <t>Bergvik skog väst AB</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16110-2023</t>
        </is>
      </c>
      <c r="B3709" s="1" t="n">
        <v>45027</v>
      </c>
      <c r="C3709" s="1" t="n">
        <v>45846</v>
      </c>
      <c r="D3709" t="inlineStr">
        <is>
          <t>UPPSALA LÄN</t>
        </is>
      </c>
      <c r="E3709" t="inlineStr">
        <is>
          <t>HEBY</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16058-2023</t>
        </is>
      </c>
      <c r="B3710" s="1" t="n">
        <v>45027</v>
      </c>
      <c r="C3710" s="1" t="n">
        <v>45846</v>
      </c>
      <c r="D3710" t="inlineStr">
        <is>
          <t>UPPSALA LÄN</t>
        </is>
      </c>
      <c r="E3710" t="inlineStr">
        <is>
          <t>TIERP</t>
        </is>
      </c>
      <c r="F3710" t="inlineStr">
        <is>
          <t>Kyrkan</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16054-2023</t>
        </is>
      </c>
      <c r="B3711" s="1" t="n">
        <v>45027</v>
      </c>
      <c r="C3711" s="1" t="n">
        <v>45846</v>
      </c>
      <c r="D3711" t="inlineStr">
        <is>
          <t>UPPSALA LÄN</t>
        </is>
      </c>
      <c r="E3711" t="inlineStr">
        <is>
          <t>TIERP</t>
        </is>
      </c>
      <c r="F3711" t="inlineStr">
        <is>
          <t>Kyrkan</t>
        </is>
      </c>
      <c r="G3711" t="n">
        <v>5.2</v>
      </c>
      <c r="H3711" t="n">
        <v>0</v>
      </c>
      <c r="I3711" t="n">
        <v>0</v>
      </c>
      <c r="J3711" t="n">
        <v>0</v>
      </c>
      <c r="K3711" t="n">
        <v>0</v>
      </c>
      <c r="L3711" t="n">
        <v>0</v>
      </c>
      <c r="M3711" t="n">
        <v>0</v>
      </c>
      <c r="N3711" t="n">
        <v>0</v>
      </c>
      <c r="O3711" t="n">
        <v>0</v>
      </c>
      <c r="P3711" t="n">
        <v>0</v>
      </c>
      <c r="Q3711" t="n">
        <v>0</v>
      </c>
      <c r="R3711" s="2" t="inlineStr"/>
    </row>
    <row r="3712" ht="15" customHeight="1">
      <c r="A3712" t="inlineStr">
        <is>
          <t>A 16112-2023</t>
        </is>
      </c>
      <c r="B3712" s="1" t="n">
        <v>45027</v>
      </c>
      <c r="C3712" s="1" t="n">
        <v>45846</v>
      </c>
      <c r="D3712" t="inlineStr">
        <is>
          <t>UPPSALA LÄN</t>
        </is>
      </c>
      <c r="E3712" t="inlineStr">
        <is>
          <t>ÖSTHAMMAR</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16346-2023</t>
        </is>
      </c>
      <c r="B3713" s="1" t="n">
        <v>45028</v>
      </c>
      <c r="C3713" s="1" t="n">
        <v>45846</v>
      </c>
      <c r="D3713" t="inlineStr">
        <is>
          <t>UPPSALA LÄN</t>
        </is>
      </c>
      <c r="E3713" t="inlineStr">
        <is>
          <t>UPPSALA</t>
        </is>
      </c>
      <c r="F3713" t="inlineStr">
        <is>
          <t>Övriga Aktiebolag</t>
        </is>
      </c>
      <c r="G3713" t="n">
        <v>5.7</v>
      </c>
      <c r="H3713" t="n">
        <v>0</v>
      </c>
      <c r="I3713" t="n">
        <v>0</v>
      </c>
      <c r="J3713" t="n">
        <v>0</v>
      </c>
      <c r="K3713" t="n">
        <v>0</v>
      </c>
      <c r="L3713" t="n">
        <v>0</v>
      </c>
      <c r="M3713" t="n">
        <v>0</v>
      </c>
      <c r="N3713" t="n">
        <v>0</v>
      </c>
      <c r="O3713" t="n">
        <v>0</v>
      </c>
      <c r="P3713" t="n">
        <v>0</v>
      </c>
      <c r="Q3713" t="n">
        <v>0</v>
      </c>
      <c r="R3713" s="2" t="inlineStr"/>
    </row>
    <row r="3714" ht="15" customHeight="1">
      <c r="A3714" t="inlineStr">
        <is>
          <t>A 16295-2023</t>
        </is>
      </c>
      <c r="B3714" s="1" t="n">
        <v>45028</v>
      </c>
      <c r="C3714" s="1" t="n">
        <v>45846</v>
      </c>
      <c r="D3714" t="inlineStr">
        <is>
          <t>UPPSALA LÄN</t>
        </is>
      </c>
      <c r="E3714" t="inlineStr">
        <is>
          <t>TIERP</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16300-2023</t>
        </is>
      </c>
      <c r="B3715" s="1" t="n">
        <v>45028</v>
      </c>
      <c r="C3715" s="1" t="n">
        <v>45846</v>
      </c>
      <c r="D3715" t="inlineStr">
        <is>
          <t>UPPSALA LÄN</t>
        </is>
      </c>
      <c r="E3715" t="inlineStr">
        <is>
          <t>KNIVSTA</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16310-2023</t>
        </is>
      </c>
      <c r="B3716" s="1" t="n">
        <v>45028</v>
      </c>
      <c r="C3716" s="1" t="n">
        <v>45846</v>
      </c>
      <c r="D3716" t="inlineStr">
        <is>
          <t>UPPSALA LÄN</t>
        </is>
      </c>
      <c r="E3716" t="inlineStr">
        <is>
          <t>KNIVSTA</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16320-2023</t>
        </is>
      </c>
      <c r="B3717" s="1" t="n">
        <v>45028</v>
      </c>
      <c r="C3717" s="1" t="n">
        <v>45846</v>
      </c>
      <c r="D3717" t="inlineStr">
        <is>
          <t>UPPSALA LÄN</t>
        </is>
      </c>
      <c r="E3717" t="inlineStr">
        <is>
          <t>ENKÖPING</t>
        </is>
      </c>
      <c r="G3717" t="n">
        <v>5.2</v>
      </c>
      <c r="H3717" t="n">
        <v>0</v>
      </c>
      <c r="I3717" t="n">
        <v>0</v>
      </c>
      <c r="J3717" t="n">
        <v>0</v>
      </c>
      <c r="K3717" t="n">
        <v>0</v>
      </c>
      <c r="L3717" t="n">
        <v>0</v>
      </c>
      <c r="M3717" t="n">
        <v>0</v>
      </c>
      <c r="N3717" t="n">
        <v>0</v>
      </c>
      <c r="O3717" t="n">
        <v>0</v>
      </c>
      <c r="P3717" t="n">
        <v>0</v>
      </c>
      <c r="Q3717" t="n">
        <v>0</v>
      </c>
      <c r="R3717" s="2" t="inlineStr"/>
    </row>
    <row r="3718" ht="15" customHeight="1">
      <c r="A3718" t="inlineStr">
        <is>
          <t>A 16299-2023</t>
        </is>
      </c>
      <c r="B3718" s="1" t="n">
        <v>45028</v>
      </c>
      <c r="C3718" s="1" t="n">
        <v>45846</v>
      </c>
      <c r="D3718" t="inlineStr">
        <is>
          <t>UPPSALA LÄN</t>
        </is>
      </c>
      <c r="E3718" t="inlineStr">
        <is>
          <t>HÅBO</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16305-2023</t>
        </is>
      </c>
      <c r="B3719" s="1" t="n">
        <v>45028</v>
      </c>
      <c r="C3719" s="1" t="n">
        <v>45846</v>
      </c>
      <c r="D3719" t="inlineStr">
        <is>
          <t>UPPSALA LÄN</t>
        </is>
      </c>
      <c r="E3719" t="inlineStr">
        <is>
          <t>KNIVSTA</t>
        </is>
      </c>
      <c r="G3719" t="n">
        <v>7.2</v>
      </c>
      <c r="H3719" t="n">
        <v>0</v>
      </c>
      <c r="I3719" t="n">
        <v>0</v>
      </c>
      <c r="J3719" t="n">
        <v>0</v>
      </c>
      <c r="K3719" t="n">
        <v>0</v>
      </c>
      <c r="L3719" t="n">
        <v>0</v>
      </c>
      <c r="M3719" t="n">
        <v>0</v>
      </c>
      <c r="N3719" t="n">
        <v>0</v>
      </c>
      <c r="O3719" t="n">
        <v>0</v>
      </c>
      <c r="P3719" t="n">
        <v>0</v>
      </c>
      <c r="Q3719" t="n">
        <v>0</v>
      </c>
      <c r="R3719" s="2" t="inlineStr"/>
    </row>
    <row r="3720" ht="15" customHeight="1">
      <c r="A3720" t="inlineStr">
        <is>
          <t>A 16345-2023</t>
        </is>
      </c>
      <c r="B3720" s="1" t="n">
        <v>45028</v>
      </c>
      <c r="C3720" s="1" t="n">
        <v>45846</v>
      </c>
      <c r="D3720" t="inlineStr">
        <is>
          <t>UPPSALA LÄN</t>
        </is>
      </c>
      <c r="E3720" t="inlineStr">
        <is>
          <t>ÖSTHAMMAR</t>
        </is>
      </c>
      <c r="F3720" t="inlineStr">
        <is>
          <t>Övriga Aktiebolag</t>
        </is>
      </c>
      <c r="G3720" t="n">
        <v>10.1</v>
      </c>
      <c r="H3720" t="n">
        <v>0</v>
      </c>
      <c r="I3720" t="n">
        <v>0</v>
      </c>
      <c r="J3720" t="n">
        <v>0</v>
      </c>
      <c r="K3720" t="n">
        <v>0</v>
      </c>
      <c r="L3720" t="n">
        <v>0</v>
      </c>
      <c r="M3720" t="n">
        <v>0</v>
      </c>
      <c r="N3720" t="n">
        <v>0</v>
      </c>
      <c r="O3720" t="n">
        <v>0</v>
      </c>
      <c r="P3720" t="n">
        <v>0</v>
      </c>
      <c r="Q3720" t="n">
        <v>0</v>
      </c>
      <c r="R3720" s="2" t="inlineStr"/>
    </row>
    <row r="3721" ht="15" customHeight="1">
      <c r="A3721" t="inlineStr">
        <is>
          <t>A 16405-2023</t>
        </is>
      </c>
      <c r="B3721" s="1" t="n">
        <v>45029</v>
      </c>
      <c r="C3721" s="1" t="n">
        <v>45846</v>
      </c>
      <c r="D3721" t="inlineStr">
        <is>
          <t>UPPSALA LÄN</t>
        </is>
      </c>
      <c r="E3721" t="inlineStr">
        <is>
          <t>TIERP</t>
        </is>
      </c>
      <c r="F3721" t="inlineStr">
        <is>
          <t>Bergvik skog väst AB</t>
        </is>
      </c>
      <c r="G3721" t="n">
        <v>5.8</v>
      </c>
      <c r="H3721" t="n">
        <v>0</v>
      </c>
      <c r="I3721" t="n">
        <v>0</v>
      </c>
      <c r="J3721" t="n">
        <v>0</v>
      </c>
      <c r="K3721" t="n">
        <v>0</v>
      </c>
      <c r="L3721" t="n">
        <v>0</v>
      </c>
      <c r="M3721" t="n">
        <v>0</v>
      </c>
      <c r="N3721" t="n">
        <v>0</v>
      </c>
      <c r="O3721" t="n">
        <v>0</v>
      </c>
      <c r="P3721" t="n">
        <v>0</v>
      </c>
      <c r="Q3721" t="n">
        <v>0</v>
      </c>
      <c r="R3721" s="2" t="inlineStr"/>
    </row>
    <row r="3722" ht="15" customHeight="1">
      <c r="A3722" t="inlineStr">
        <is>
          <t>A 16404-2023</t>
        </is>
      </c>
      <c r="B3722" s="1" t="n">
        <v>45029</v>
      </c>
      <c r="C3722" s="1" t="n">
        <v>45846</v>
      </c>
      <c r="D3722" t="inlineStr">
        <is>
          <t>UPPSALA LÄN</t>
        </is>
      </c>
      <c r="E3722" t="inlineStr">
        <is>
          <t>HEBY</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16660-2023</t>
        </is>
      </c>
      <c r="B3723" s="1" t="n">
        <v>45030</v>
      </c>
      <c r="C3723" s="1" t="n">
        <v>45846</v>
      </c>
      <c r="D3723" t="inlineStr">
        <is>
          <t>UPPSALA LÄN</t>
        </is>
      </c>
      <c r="E3723" t="inlineStr">
        <is>
          <t>HEBY</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16587-2023</t>
        </is>
      </c>
      <c r="B3724" s="1" t="n">
        <v>45030</v>
      </c>
      <c r="C3724" s="1" t="n">
        <v>45846</v>
      </c>
      <c r="D3724" t="inlineStr">
        <is>
          <t>UPPSALA LÄN</t>
        </is>
      </c>
      <c r="E3724" t="inlineStr">
        <is>
          <t>TIERP</t>
        </is>
      </c>
      <c r="G3724" t="n">
        <v>5.2</v>
      </c>
      <c r="H3724" t="n">
        <v>0</v>
      </c>
      <c r="I3724" t="n">
        <v>0</v>
      </c>
      <c r="J3724" t="n">
        <v>0</v>
      </c>
      <c r="K3724" t="n">
        <v>0</v>
      </c>
      <c r="L3724" t="n">
        <v>0</v>
      </c>
      <c r="M3724" t="n">
        <v>0</v>
      </c>
      <c r="N3724" t="n">
        <v>0</v>
      </c>
      <c r="O3724" t="n">
        <v>0</v>
      </c>
      <c r="P3724" t="n">
        <v>0</v>
      </c>
      <c r="Q3724" t="n">
        <v>0</v>
      </c>
      <c r="R3724" s="2" t="inlineStr"/>
    </row>
    <row r="3725" ht="15" customHeight="1">
      <c r="A3725" t="inlineStr">
        <is>
          <t>A 16631-2023</t>
        </is>
      </c>
      <c r="B3725" s="1" t="n">
        <v>45030</v>
      </c>
      <c r="C3725" s="1" t="n">
        <v>45846</v>
      </c>
      <c r="D3725" t="inlineStr">
        <is>
          <t>UPPSALA LÄN</t>
        </is>
      </c>
      <c r="E3725" t="inlineStr">
        <is>
          <t>TIERP</t>
        </is>
      </c>
      <c r="F3725" t="inlineStr">
        <is>
          <t>Bergvik skog väst AB</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16639-2023</t>
        </is>
      </c>
      <c r="B3726" s="1" t="n">
        <v>45030</v>
      </c>
      <c r="C3726" s="1" t="n">
        <v>45846</v>
      </c>
      <c r="D3726" t="inlineStr">
        <is>
          <t>UPPSALA LÄN</t>
        </is>
      </c>
      <c r="E3726" t="inlineStr">
        <is>
          <t>KNIVSTA</t>
        </is>
      </c>
      <c r="G3726" t="n">
        <v>7</v>
      </c>
      <c r="H3726" t="n">
        <v>0</v>
      </c>
      <c r="I3726" t="n">
        <v>0</v>
      </c>
      <c r="J3726" t="n">
        <v>0</v>
      </c>
      <c r="K3726" t="n">
        <v>0</v>
      </c>
      <c r="L3726" t="n">
        <v>0</v>
      </c>
      <c r="M3726" t="n">
        <v>0</v>
      </c>
      <c r="N3726" t="n">
        <v>0</v>
      </c>
      <c r="O3726" t="n">
        <v>0</v>
      </c>
      <c r="P3726" t="n">
        <v>0</v>
      </c>
      <c r="Q3726" t="n">
        <v>0</v>
      </c>
      <c r="R3726" s="2" t="inlineStr"/>
    </row>
    <row r="3727" ht="15" customHeight="1">
      <c r="A3727" t="inlineStr">
        <is>
          <t>A 16701-2023</t>
        </is>
      </c>
      <c r="B3727" s="1" t="n">
        <v>45030</v>
      </c>
      <c r="C3727" s="1" t="n">
        <v>45846</v>
      </c>
      <c r="D3727" t="inlineStr">
        <is>
          <t>UPPSALA LÄN</t>
        </is>
      </c>
      <c r="E3727" t="inlineStr">
        <is>
          <t>ÖSTHAMMAR</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16699-2023</t>
        </is>
      </c>
      <c r="B3728" s="1" t="n">
        <v>45030</v>
      </c>
      <c r="C3728" s="1" t="n">
        <v>45846</v>
      </c>
      <c r="D3728" t="inlineStr">
        <is>
          <t>UPPSALA LÄN</t>
        </is>
      </c>
      <c r="E3728" t="inlineStr">
        <is>
          <t>HEBY</t>
        </is>
      </c>
      <c r="G3728" t="n">
        <v>5.6</v>
      </c>
      <c r="H3728" t="n">
        <v>0</v>
      </c>
      <c r="I3728" t="n">
        <v>0</v>
      </c>
      <c r="J3728" t="n">
        <v>0</v>
      </c>
      <c r="K3728" t="n">
        <v>0</v>
      </c>
      <c r="L3728" t="n">
        <v>0</v>
      </c>
      <c r="M3728" t="n">
        <v>0</v>
      </c>
      <c r="N3728" t="n">
        <v>0</v>
      </c>
      <c r="O3728" t="n">
        <v>0</v>
      </c>
      <c r="P3728" t="n">
        <v>0</v>
      </c>
      <c r="Q3728" t="n">
        <v>0</v>
      </c>
      <c r="R3728" s="2" t="inlineStr"/>
    </row>
    <row r="3729" ht="15" customHeight="1">
      <c r="A3729" t="inlineStr">
        <is>
          <t>A 16791-2023</t>
        </is>
      </c>
      <c r="B3729" s="1" t="n">
        <v>45033</v>
      </c>
      <c r="C3729" s="1" t="n">
        <v>45846</v>
      </c>
      <c r="D3729" t="inlineStr">
        <is>
          <t>UPPSALA LÄN</t>
        </is>
      </c>
      <c r="E3729" t="inlineStr">
        <is>
          <t>TIERP</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16905-2023</t>
        </is>
      </c>
      <c r="B3730" s="1" t="n">
        <v>45033</v>
      </c>
      <c r="C3730" s="1" t="n">
        <v>45846</v>
      </c>
      <c r="D3730" t="inlineStr">
        <is>
          <t>UPPSALA LÄN</t>
        </is>
      </c>
      <c r="E3730" t="inlineStr">
        <is>
          <t>ENKÖPING</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16811-2023</t>
        </is>
      </c>
      <c r="B3731" s="1" t="n">
        <v>45033</v>
      </c>
      <c r="C3731" s="1" t="n">
        <v>45846</v>
      </c>
      <c r="D3731" t="inlineStr">
        <is>
          <t>UPPSALA LÄN</t>
        </is>
      </c>
      <c r="E3731" t="inlineStr">
        <is>
          <t>UPPSALA</t>
        </is>
      </c>
      <c r="G3731" t="n">
        <v>10.1</v>
      </c>
      <c r="H3731" t="n">
        <v>0</v>
      </c>
      <c r="I3731" t="n">
        <v>0</v>
      </c>
      <c r="J3731" t="n">
        <v>0</v>
      </c>
      <c r="K3731" t="n">
        <v>0</v>
      </c>
      <c r="L3731" t="n">
        <v>0</v>
      </c>
      <c r="M3731" t="n">
        <v>0</v>
      </c>
      <c r="N3731" t="n">
        <v>0</v>
      </c>
      <c r="O3731" t="n">
        <v>0</v>
      </c>
      <c r="P3731" t="n">
        <v>0</v>
      </c>
      <c r="Q3731" t="n">
        <v>0</v>
      </c>
      <c r="R3731" s="2" t="inlineStr"/>
    </row>
    <row r="3732" ht="15" customHeight="1">
      <c r="A3732" t="inlineStr">
        <is>
          <t>A 16954-2023</t>
        </is>
      </c>
      <c r="B3732" s="1" t="n">
        <v>45033</v>
      </c>
      <c r="C3732" s="1" t="n">
        <v>45846</v>
      </c>
      <c r="D3732" t="inlineStr">
        <is>
          <t>UPPSALA LÄN</t>
        </is>
      </c>
      <c r="E3732" t="inlineStr">
        <is>
          <t>ÖSTHAMMAR</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16916-2023</t>
        </is>
      </c>
      <c r="B3733" s="1" t="n">
        <v>45033</v>
      </c>
      <c r="C3733" s="1" t="n">
        <v>45846</v>
      </c>
      <c r="D3733" t="inlineStr">
        <is>
          <t>UPPSALA LÄN</t>
        </is>
      </c>
      <c r="E3733" t="inlineStr">
        <is>
          <t>ENKÖPING</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16920-2023</t>
        </is>
      </c>
      <c r="B3734" s="1" t="n">
        <v>45033</v>
      </c>
      <c r="C3734" s="1" t="n">
        <v>45846</v>
      </c>
      <c r="D3734" t="inlineStr">
        <is>
          <t>UPPSALA LÄN</t>
        </is>
      </c>
      <c r="E3734" t="inlineStr">
        <is>
          <t>ENKÖPING</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16948-2023</t>
        </is>
      </c>
      <c r="B3735" s="1" t="n">
        <v>45033</v>
      </c>
      <c r="C3735" s="1" t="n">
        <v>45846</v>
      </c>
      <c r="D3735" t="inlineStr">
        <is>
          <t>UPPSALA LÄN</t>
        </is>
      </c>
      <c r="E3735" t="inlineStr">
        <is>
          <t>ÖSTHAMMAR</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16966-2023</t>
        </is>
      </c>
      <c r="B3736" s="1" t="n">
        <v>45033</v>
      </c>
      <c r="C3736" s="1" t="n">
        <v>45846</v>
      </c>
      <c r="D3736" t="inlineStr">
        <is>
          <t>UPPSALA LÄN</t>
        </is>
      </c>
      <c r="E3736" t="inlineStr">
        <is>
          <t>ÖSTHAMMAR</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17091-2023</t>
        </is>
      </c>
      <c r="B3737" s="1" t="n">
        <v>45034</v>
      </c>
      <c r="C3737" s="1" t="n">
        <v>45846</v>
      </c>
      <c r="D3737" t="inlineStr">
        <is>
          <t>UPPSALA LÄN</t>
        </is>
      </c>
      <c r="E3737" t="inlineStr">
        <is>
          <t>KNIVSTA</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17094-2023</t>
        </is>
      </c>
      <c r="B3738" s="1" t="n">
        <v>45034</v>
      </c>
      <c r="C3738" s="1" t="n">
        <v>45846</v>
      </c>
      <c r="D3738" t="inlineStr">
        <is>
          <t>UPPSALA LÄN</t>
        </is>
      </c>
      <c r="E3738" t="inlineStr">
        <is>
          <t>KNIVSTA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17028-2023</t>
        </is>
      </c>
      <c r="B3739" s="1" t="n">
        <v>45034</v>
      </c>
      <c r="C3739" s="1" t="n">
        <v>45846</v>
      </c>
      <c r="D3739" t="inlineStr">
        <is>
          <t>UPPSALA LÄN</t>
        </is>
      </c>
      <c r="E3739" t="inlineStr">
        <is>
          <t>ÖSTHAMMAR</t>
        </is>
      </c>
      <c r="F3739" t="inlineStr">
        <is>
          <t>Bergvik skog öst AB</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17254-2023</t>
        </is>
      </c>
      <c r="B3740" s="1" t="n">
        <v>45034</v>
      </c>
      <c r="C3740" s="1" t="n">
        <v>45846</v>
      </c>
      <c r="D3740" t="inlineStr">
        <is>
          <t>UPPSALA LÄN</t>
        </is>
      </c>
      <c r="E3740" t="inlineStr">
        <is>
          <t>ENKÖPING</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17511-2023</t>
        </is>
      </c>
      <c r="B3741" s="1" t="n">
        <v>45034</v>
      </c>
      <c r="C3741" s="1" t="n">
        <v>45846</v>
      </c>
      <c r="D3741" t="inlineStr">
        <is>
          <t>UPPSALA LÄN</t>
        </is>
      </c>
      <c r="E3741" t="inlineStr">
        <is>
          <t>ENKÖPING</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17229-2023</t>
        </is>
      </c>
      <c r="B3742" s="1" t="n">
        <v>45035</v>
      </c>
      <c r="C3742" s="1" t="n">
        <v>45846</v>
      </c>
      <c r="D3742" t="inlineStr">
        <is>
          <t>UPPSALA LÄN</t>
        </is>
      </c>
      <c r="E3742" t="inlineStr">
        <is>
          <t>UPPSALA</t>
        </is>
      </c>
      <c r="F3742" t="inlineStr">
        <is>
          <t>Övriga Aktiebolag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17288-2023</t>
        </is>
      </c>
      <c r="B3743" s="1" t="n">
        <v>45035</v>
      </c>
      <c r="C3743" s="1" t="n">
        <v>45846</v>
      </c>
      <c r="D3743" t="inlineStr">
        <is>
          <t>UPPSALA LÄN</t>
        </is>
      </c>
      <c r="E3743" t="inlineStr">
        <is>
          <t>HEBY</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17369-2023</t>
        </is>
      </c>
      <c r="B3744" s="1" t="n">
        <v>45035</v>
      </c>
      <c r="C3744" s="1" t="n">
        <v>45846</v>
      </c>
      <c r="D3744" t="inlineStr">
        <is>
          <t>UPPSALA LÄN</t>
        </is>
      </c>
      <c r="E3744" t="inlineStr">
        <is>
          <t>HEBY</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17371-2023</t>
        </is>
      </c>
      <c r="B3745" s="1" t="n">
        <v>45035</v>
      </c>
      <c r="C3745" s="1" t="n">
        <v>45846</v>
      </c>
      <c r="D3745" t="inlineStr">
        <is>
          <t>UPPSALA LÄN</t>
        </is>
      </c>
      <c r="E3745" t="inlineStr">
        <is>
          <t>HEBY</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17280-2023</t>
        </is>
      </c>
      <c r="B3746" s="1" t="n">
        <v>45035</v>
      </c>
      <c r="C3746" s="1" t="n">
        <v>45846</v>
      </c>
      <c r="D3746" t="inlineStr">
        <is>
          <t>UPPSALA LÄN</t>
        </is>
      </c>
      <c r="E3746" t="inlineStr">
        <is>
          <t>UPPSALA</t>
        </is>
      </c>
      <c r="G3746" t="n">
        <v>5.6</v>
      </c>
      <c r="H3746" t="n">
        <v>0</v>
      </c>
      <c r="I3746" t="n">
        <v>0</v>
      </c>
      <c r="J3746" t="n">
        <v>0</v>
      </c>
      <c r="K3746" t="n">
        <v>0</v>
      </c>
      <c r="L3746" t="n">
        <v>0</v>
      </c>
      <c r="M3746" t="n">
        <v>0</v>
      </c>
      <c r="N3746" t="n">
        <v>0</v>
      </c>
      <c r="O3746" t="n">
        <v>0</v>
      </c>
      <c r="P3746" t="n">
        <v>0</v>
      </c>
      <c r="Q3746" t="n">
        <v>0</v>
      </c>
      <c r="R3746" s="2" t="inlineStr"/>
    </row>
    <row r="3747" ht="15" customHeight="1">
      <c r="A3747" t="inlineStr">
        <is>
          <t>A 17407-2023</t>
        </is>
      </c>
      <c r="B3747" s="1" t="n">
        <v>45035</v>
      </c>
      <c r="C3747" s="1" t="n">
        <v>45846</v>
      </c>
      <c r="D3747" t="inlineStr">
        <is>
          <t>UPPSALA LÄN</t>
        </is>
      </c>
      <c r="E3747" t="inlineStr">
        <is>
          <t>HEBY</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17373-2023</t>
        </is>
      </c>
      <c r="B3748" s="1" t="n">
        <v>45035</v>
      </c>
      <c r="C3748" s="1" t="n">
        <v>45846</v>
      </c>
      <c r="D3748" t="inlineStr">
        <is>
          <t>UPPSALA LÄN</t>
        </is>
      </c>
      <c r="E3748" t="inlineStr">
        <is>
          <t>ENKÖPING</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17481-2023</t>
        </is>
      </c>
      <c r="B3749" s="1" t="n">
        <v>45036</v>
      </c>
      <c r="C3749" s="1" t="n">
        <v>45846</v>
      </c>
      <c r="D3749" t="inlineStr">
        <is>
          <t>UPPSALA LÄN</t>
        </is>
      </c>
      <c r="E3749" t="inlineStr">
        <is>
          <t>UPPSALA</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17631-2023</t>
        </is>
      </c>
      <c r="B3750" s="1" t="n">
        <v>45036</v>
      </c>
      <c r="C3750" s="1" t="n">
        <v>45846</v>
      </c>
      <c r="D3750" t="inlineStr">
        <is>
          <t>UPPSALA LÄN</t>
        </is>
      </c>
      <c r="E3750" t="inlineStr">
        <is>
          <t>ÖSTHAMMAR</t>
        </is>
      </c>
      <c r="G3750" t="n">
        <v>5.1</v>
      </c>
      <c r="H3750" t="n">
        <v>0</v>
      </c>
      <c r="I3750" t="n">
        <v>0</v>
      </c>
      <c r="J3750" t="n">
        <v>0</v>
      </c>
      <c r="K3750" t="n">
        <v>0</v>
      </c>
      <c r="L3750" t="n">
        <v>0</v>
      </c>
      <c r="M3750" t="n">
        <v>0</v>
      </c>
      <c r="N3750" t="n">
        <v>0</v>
      </c>
      <c r="O3750" t="n">
        <v>0</v>
      </c>
      <c r="P3750" t="n">
        <v>0</v>
      </c>
      <c r="Q3750" t="n">
        <v>0</v>
      </c>
      <c r="R3750" s="2" t="inlineStr"/>
    </row>
    <row r="3751" ht="15" customHeight="1">
      <c r="A3751" t="inlineStr">
        <is>
          <t>A 17657-2023</t>
        </is>
      </c>
      <c r="B3751" s="1" t="n">
        <v>45036</v>
      </c>
      <c r="C3751" s="1" t="n">
        <v>45846</v>
      </c>
      <c r="D3751" t="inlineStr">
        <is>
          <t>UPPSALA LÄN</t>
        </is>
      </c>
      <c r="E3751" t="inlineStr">
        <is>
          <t>HEBY</t>
        </is>
      </c>
      <c r="G3751" t="n">
        <v>5.5</v>
      </c>
      <c r="H3751" t="n">
        <v>0</v>
      </c>
      <c r="I3751" t="n">
        <v>0</v>
      </c>
      <c r="J3751" t="n">
        <v>0</v>
      </c>
      <c r="K3751" t="n">
        <v>0</v>
      </c>
      <c r="L3751" t="n">
        <v>0</v>
      </c>
      <c r="M3751" t="n">
        <v>0</v>
      </c>
      <c r="N3751" t="n">
        <v>0</v>
      </c>
      <c r="O3751" t="n">
        <v>0</v>
      </c>
      <c r="P3751" t="n">
        <v>0</v>
      </c>
      <c r="Q3751" t="n">
        <v>0</v>
      </c>
      <c r="R3751" s="2" t="inlineStr"/>
    </row>
    <row r="3752" ht="15" customHeight="1">
      <c r="A3752" t="inlineStr">
        <is>
          <t>A 17729-2023</t>
        </is>
      </c>
      <c r="B3752" s="1" t="n">
        <v>45037</v>
      </c>
      <c r="C3752" s="1" t="n">
        <v>45846</v>
      </c>
      <c r="D3752" t="inlineStr">
        <is>
          <t>UPPSALA LÄN</t>
        </is>
      </c>
      <c r="E3752" t="inlineStr">
        <is>
          <t>ENKÖPING</t>
        </is>
      </c>
      <c r="G3752" t="n">
        <v>10.2</v>
      </c>
      <c r="H3752" t="n">
        <v>0</v>
      </c>
      <c r="I3752" t="n">
        <v>0</v>
      </c>
      <c r="J3752" t="n">
        <v>0</v>
      </c>
      <c r="K3752" t="n">
        <v>0</v>
      </c>
      <c r="L3752" t="n">
        <v>0</v>
      </c>
      <c r="M3752" t="n">
        <v>0</v>
      </c>
      <c r="N3752" t="n">
        <v>0</v>
      </c>
      <c r="O3752" t="n">
        <v>0</v>
      </c>
      <c r="P3752" t="n">
        <v>0</v>
      </c>
      <c r="Q3752" t="n">
        <v>0</v>
      </c>
      <c r="R3752" s="2" t="inlineStr"/>
    </row>
    <row r="3753" ht="15" customHeight="1">
      <c r="A3753" t="inlineStr">
        <is>
          <t>A 17813-2023</t>
        </is>
      </c>
      <c r="B3753" s="1" t="n">
        <v>45037</v>
      </c>
      <c r="C3753" s="1" t="n">
        <v>45846</v>
      </c>
      <c r="D3753" t="inlineStr">
        <is>
          <t>UPPSALA LÄN</t>
        </is>
      </c>
      <c r="E3753" t="inlineStr">
        <is>
          <t>ENKÖPING</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17850-2023</t>
        </is>
      </c>
      <c r="B3754" s="1" t="n">
        <v>45037</v>
      </c>
      <c r="C3754" s="1" t="n">
        <v>45846</v>
      </c>
      <c r="D3754" t="inlineStr">
        <is>
          <t>UPPSALA LÄN</t>
        </is>
      </c>
      <c r="E3754" t="inlineStr">
        <is>
          <t>ÖSTHAMMAR</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17851-2023</t>
        </is>
      </c>
      <c r="B3755" s="1" t="n">
        <v>45037</v>
      </c>
      <c r="C3755" s="1" t="n">
        <v>45846</v>
      </c>
      <c r="D3755" t="inlineStr">
        <is>
          <t>UPPSALA LÄN</t>
        </is>
      </c>
      <c r="E3755" t="inlineStr">
        <is>
          <t>ÖSTHAMMAR</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17788-2023</t>
        </is>
      </c>
      <c r="B3756" s="1" t="n">
        <v>45037</v>
      </c>
      <c r="C3756" s="1" t="n">
        <v>45846</v>
      </c>
      <c r="D3756" t="inlineStr">
        <is>
          <t>UPPSALA LÄN</t>
        </is>
      </c>
      <c r="E3756" t="inlineStr">
        <is>
          <t>UPPSALA</t>
        </is>
      </c>
      <c r="F3756" t="inlineStr">
        <is>
          <t>Övriga Aktiebolag</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17854-2023</t>
        </is>
      </c>
      <c r="B3757" s="1" t="n">
        <v>45037</v>
      </c>
      <c r="C3757" s="1" t="n">
        <v>45846</v>
      </c>
      <c r="D3757" t="inlineStr">
        <is>
          <t>UPPSALA LÄN</t>
        </is>
      </c>
      <c r="E3757" t="inlineStr">
        <is>
          <t>ÖSTHAMMAR</t>
        </is>
      </c>
      <c r="G3757" t="n">
        <v>5.6</v>
      </c>
      <c r="H3757" t="n">
        <v>0</v>
      </c>
      <c r="I3757" t="n">
        <v>0</v>
      </c>
      <c r="J3757" t="n">
        <v>0</v>
      </c>
      <c r="K3757" t="n">
        <v>0</v>
      </c>
      <c r="L3757" t="n">
        <v>0</v>
      </c>
      <c r="M3757" t="n">
        <v>0</v>
      </c>
      <c r="N3757" t="n">
        <v>0</v>
      </c>
      <c r="O3757" t="n">
        <v>0</v>
      </c>
      <c r="P3757" t="n">
        <v>0</v>
      </c>
      <c r="Q3757" t="n">
        <v>0</v>
      </c>
      <c r="R3757" s="2" t="inlineStr"/>
    </row>
    <row r="3758" ht="15" customHeight="1">
      <c r="A3758" t="inlineStr">
        <is>
          <t>A 18091-2023</t>
        </is>
      </c>
      <c r="B3758" s="1" t="n">
        <v>45040</v>
      </c>
      <c r="C3758" s="1" t="n">
        <v>45846</v>
      </c>
      <c r="D3758" t="inlineStr">
        <is>
          <t>UPPSALA LÄN</t>
        </is>
      </c>
      <c r="E3758" t="inlineStr">
        <is>
          <t>ÖSTHAMMAR</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17938-2023</t>
        </is>
      </c>
      <c r="B3759" s="1" t="n">
        <v>45040</v>
      </c>
      <c r="C3759" s="1" t="n">
        <v>45846</v>
      </c>
      <c r="D3759" t="inlineStr">
        <is>
          <t>UPPSALA LÄN</t>
        </is>
      </c>
      <c r="E3759" t="inlineStr">
        <is>
          <t>UPPSALA</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17970-2023</t>
        </is>
      </c>
      <c r="B3760" s="1" t="n">
        <v>45040</v>
      </c>
      <c r="C3760" s="1" t="n">
        <v>45846</v>
      </c>
      <c r="D3760" t="inlineStr">
        <is>
          <t>UPPSALA LÄN</t>
        </is>
      </c>
      <c r="E3760" t="inlineStr">
        <is>
          <t>ÖSTHAMMAR</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17979-2023</t>
        </is>
      </c>
      <c r="B3761" s="1" t="n">
        <v>45040</v>
      </c>
      <c r="C3761" s="1" t="n">
        <v>45846</v>
      </c>
      <c r="D3761" t="inlineStr">
        <is>
          <t>UPPSALA LÄN</t>
        </is>
      </c>
      <c r="E3761" t="inlineStr">
        <is>
          <t>TIERP</t>
        </is>
      </c>
      <c r="F3761" t="inlineStr">
        <is>
          <t>Bergvik skog öst AB</t>
        </is>
      </c>
      <c r="G3761" t="n">
        <v>11.4</v>
      </c>
      <c r="H3761" t="n">
        <v>0</v>
      </c>
      <c r="I3761" t="n">
        <v>0</v>
      </c>
      <c r="J3761" t="n">
        <v>0</v>
      </c>
      <c r="K3761" t="n">
        <v>0</v>
      </c>
      <c r="L3761" t="n">
        <v>0</v>
      </c>
      <c r="M3761" t="n">
        <v>0</v>
      </c>
      <c r="N3761" t="n">
        <v>0</v>
      </c>
      <c r="O3761" t="n">
        <v>0</v>
      </c>
      <c r="P3761" t="n">
        <v>0</v>
      </c>
      <c r="Q3761" t="n">
        <v>0</v>
      </c>
      <c r="R3761" s="2" t="inlineStr"/>
    </row>
    <row r="3762" ht="15" customHeight="1">
      <c r="A3762" t="inlineStr">
        <is>
          <t>A 17950-2023</t>
        </is>
      </c>
      <c r="B3762" s="1" t="n">
        <v>45040</v>
      </c>
      <c r="C3762" s="1" t="n">
        <v>45846</v>
      </c>
      <c r="D3762" t="inlineStr">
        <is>
          <t>UPPSALA LÄN</t>
        </is>
      </c>
      <c r="E3762" t="inlineStr">
        <is>
          <t>TIERP</t>
        </is>
      </c>
      <c r="F3762" t="inlineStr">
        <is>
          <t>Bergvik skog väst AB</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18074-2023</t>
        </is>
      </c>
      <c r="B3763" s="1" t="n">
        <v>45040</v>
      </c>
      <c r="C3763" s="1" t="n">
        <v>45846</v>
      </c>
      <c r="D3763" t="inlineStr">
        <is>
          <t>UPPSALA LÄN</t>
        </is>
      </c>
      <c r="E3763" t="inlineStr">
        <is>
          <t>ÖSTHAMMAR</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18030-2023</t>
        </is>
      </c>
      <c r="B3764" s="1" t="n">
        <v>45040</v>
      </c>
      <c r="C3764" s="1" t="n">
        <v>45846</v>
      </c>
      <c r="D3764" t="inlineStr">
        <is>
          <t>UPPSALA LÄN</t>
        </is>
      </c>
      <c r="E3764" t="inlineStr">
        <is>
          <t>ENKÖPING</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18038-2023</t>
        </is>
      </c>
      <c r="B3765" s="1" t="n">
        <v>45040</v>
      </c>
      <c r="C3765" s="1" t="n">
        <v>45846</v>
      </c>
      <c r="D3765" t="inlineStr">
        <is>
          <t>UPPSALA LÄN</t>
        </is>
      </c>
      <c r="E3765" t="inlineStr">
        <is>
          <t>TIERP</t>
        </is>
      </c>
      <c r="F3765" t="inlineStr">
        <is>
          <t>Kyrkan</t>
        </is>
      </c>
      <c r="G3765" t="n">
        <v>5.8</v>
      </c>
      <c r="H3765" t="n">
        <v>0</v>
      </c>
      <c r="I3765" t="n">
        <v>0</v>
      </c>
      <c r="J3765" t="n">
        <v>0</v>
      </c>
      <c r="K3765" t="n">
        <v>0</v>
      </c>
      <c r="L3765" t="n">
        <v>0</v>
      </c>
      <c r="M3765" t="n">
        <v>0</v>
      </c>
      <c r="N3765" t="n">
        <v>0</v>
      </c>
      <c r="O3765" t="n">
        <v>0</v>
      </c>
      <c r="P3765" t="n">
        <v>0</v>
      </c>
      <c r="Q3765" t="n">
        <v>0</v>
      </c>
      <c r="R3765" s="2" t="inlineStr"/>
    </row>
    <row r="3766" ht="15" customHeight="1">
      <c r="A3766" t="inlineStr">
        <is>
          <t>A 18113-2023</t>
        </is>
      </c>
      <c r="B3766" s="1" t="n">
        <v>45040</v>
      </c>
      <c r="C3766" s="1" t="n">
        <v>45846</v>
      </c>
      <c r="D3766" t="inlineStr">
        <is>
          <t>UPPSALA LÄN</t>
        </is>
      </c>
      <c r="E3766" t="inlineStr">
        <is>
          <t>ÖSTHAMMAR</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17944-2023</t>
        </is>
      </c>
      <c r="B3767" s="1" t="n">
        <v>45040</v>
      </c>
      <c r="C3767" s="1" t="n">
        <v>45846</v>
      </c>
      <c r="D3767" t="inlineStr">
        <is>
          <t>UPPSALA LÄN</t>
        </is>
      </c>
      <c r="E3767" t="inlineStr">
        <is>
          <t>TIERP</t>
        </is>
      </c>
      <c r="F3767" t="inlineStr">
        <is>
          <t>Bergvik skog väst AB</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17958-2023</t>
        </is>
      </c>
      <c r="B3768" s="1" t="n">
        <v>45040</v>
      </c>
      <c r="C3768" s="1" t="n">
        <v>45846</v>
      </c>
      <c r="D3768" t="inlineStr">
        <is>
          <t>UPPSALA LÄN</t>
        </is>
      </c>
      <c r="E3768" t="inlineStr">
        <is>
          <t>TIERP</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17969-2023</t>
        </is>
      </c>
      <c r="B3769" s="1" t="n">
        <v>45040</v>
      </c>
      <c r="C3769" s="1" t="n">
        <v>45846</v>
      </c>
      <c r="D3769" t="inlineStr">
        <is>
          <t>UPPSALA LÄN</t>
        </is>
      </c>
      <c r="E3769" t="inlineStr">
        <is>
          <t>ÖSTHAMMAR</t>
        </is>
      </c>
      <c r="G3769" t="n">
        <v>5.4</v>
      </c>
      <c r="H3769" t="n">
        <v>0</v>
      </c>
      <c r="I3769" t="n">
        <v>0</v>
      </c>
      <c r="J3769" t="n">
        <v>0</v>
      </c>
      <c r="K3769" t="n">
        <v>0</v>
      </c>
      <c r="L3769" t="n">
        <v>0</v>
      </c>
      <c r="M3769" t="n">
        <v>0</v>
      </c>
      <c r="N3769" t="n">
        <v>0</v>
      </c>
      <c r="O3769" t="n">
        <v>0</v>
      </c>
      <c r="P3769" t="n">
        <v>0</v>
      </c>
      <c r="Q3769" t="n">
        <v>0</v>
      </c>
      <c r="R3769" s="2" t="inlineStr"/>
    </row>
    <row r="3770" ht="15" customHeight="1">
      <c r="A3770" t="inlineStr">
        <is>
          <t>A 18014-2023</t>
        </is>
      </c>
      <c r="B3770" s="1" t="n">
        <v>45040</v>
      </c>
      <c r="C3770" s="1" t="n">
        <v>45846</v>
      </c>
      <c r="D3770" t="inlineStr">
        <is>
          <t>UPPSALA LÄN</t>
        </is>
      </c>
      <c r="E3770" t="inlineStr">
        <is>
          <t>TIERP</t>
        </is>
      </c>
      <c r="F3770" t="inlineStr">
        <is>
          <t>Bergvik skog väst AB</t>
        </is>
      </c>
      <c r="G3770" t="n">
        <v>17.3</v>
      </c>
      <c r="H3770" t="n">
        <v>0</v>
      </c>
      <c r="I3770" t="n">
        <v>0</v>
      </c>
      <c r="J3770" t="n">
        <v>0</v>
      </c>
      <c r="K3770" t="n">
        <v>0</v>
      </c>
      <c r="L3770" t="n">
        <v>0</v>
      </c>
      <c r="M3770" t="n">
        <v>0</v>
      </c>
      <c r="N3770" t="n">
        <v>0</v>
      </c>
      <c r="O3770" t="n">
        <v>0</v>
      </c>
      <c r="P3770" t="n">
        <v>0</v>
      </c>
      <c r="Q3770" t="n">
        <v>0</v>
      </c>
      <c r="R3770" s="2" t="inlineStr"/>
    </row>
    <row r="3771" ht="15" customHeight="1">
      <c r="A3771" t="inlineStr">
        <is>
          <t>A 18190-2023</t>
        </is>
      </c>
      <c r="B3771" s="1" t="n">
        <v>45041</v>
      </c>
      <c r="C3771" s="1" t="n">
        <v>45846</v>
      </c>
      <c r="D3771" t="inlineStr">
        <is>
          <t>UPPSALA LÄN</t>
        </is>
      </c>
      <c r="E3771" t="inlineStr">
        <is>
          <t>TIERP</t>
        </is>
      </c>
      <c r="F3771" t="inlineStr">
        <is>
          <t>Kyrkan</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18277-2023</t>
        </is>
      </c>
      <c r="B3772" s="1" t="n">
        <v>45041</v>
      </c>
      <c r="C3772" s="1" t="n">
        <v>45846</v>
      </c>
      <c r="D3772" t="inlineStr">
        <is>
          <t>UPPSALA LÄN</t>
        </is>
      </c>
      <c r="E3772" t="inlineStr">
        <is>
          <t>UPPSALA</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18219-2023</t>
        </is>
      </c>
      <c r="B3773" s="1" t="n">
        <v>45041</v>
      </c>
      <c r="C3773" s="1" t="n">
        <v>45846</v>
      </c>
      <c r="D3773" t="inlineStr">
        <is>
          <t>UPPSALA LÄN</t>
        </is>
      </c>
      <c r="E3773" t="inlineStr">
        <is>
          <t>ÖSTHAMMAR</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18275-2023</t>
        </is>
      </c>
      <c r="B3774" s="1" t="n">
        <v>45041</v>
      </c>
      <c r="C3774" s="1" t="n">
        <v>45846</v>
      </c>
      <c r="D3774" t="inlineStr">
        <is>
          <t>UPPSALA LÄN</t>
        </is>
      </c>
      <c r="E3774" t="inlineStr">
        <is>
          <t>UPPSALA</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18278-2023</t>
        </is>
      </c>
      <c r="B3775" s="1" t="n">
        <v>45041</v>
      </c>
      <c r="C3775" s="1" t="n">
        <v>45846</v>
      </c>
      <c r="D3775" t="inlineStr">
        <is>
          <t>UPPSALA LÄN</t>
        </is>
      </c>
      <c r="E3775" t="inlineStr">
        <is>
          <t>UPPSALA</t>
        </is>
      </c>
      <c r="G3775" t="n">
        <v>8.199999999999999</v>
      </c>
      <c r="H3775" t="n">
        <v>0</v>
      </c>
      <c r="I3775" t="n">
        <v>0</v>
      </c>
      <c r="J3775" t="n">
        <v>0</v>
      </c>
      <c r="K3775" t="n">
        <v>0</v>
      </c>
      <c r="L3775" t="n">
        <v>0</v>
      </c>
      <c r="M3775" t="n">
        <v>0</v>
      </c>
      <c r="N3775" t="n">
        <v>0</v>
      </c>
      <c r="O3775" t="n">
        <v>0</v>
      </c>
      <c r="P3775" t="n">
        <v>0</v>
      </c>
      <c r="Q3775" t="n">
        <v>0</v>
      </c>
      <c r="R3775" s="2" t="inlineStr"/>
    </row>
    <row r="3776" ht="15" customHeight="1">
      <c r="A3776" t="inlineStr">
        <is>
          <t>A 18276-2023</t>
        </is>
      </c>
      <c r="B3776" s="1" t="n">
        <v>45041</v>
      </c>
      <c r="C3776" s="1" t="n">
        <v>45846</v>
      </c>
      <c r="D3776" t="inlineStr">
        <is>
          <t>UPPSALA LÄN</t>
        </is>
      </c>
      <c r="E3776" t="inlineStr">
        <is>
          <t>UPPSALA</t>
        </is>
      </c>
      <c r="G3776" t="n">
        <v>6.6</v>
      </c>
      <c r="H3776" t="n">
        <v>0</v>
      </c>
      <c r="I3776" t="n">
        <v>0</v>
      </c>
      <c r="J3776" t="n">
        <v>0</v>
      </c>
      <c r="K3776" t="n">
        <v>0</v>
      </c>
      <c r="L3776" t="n">
        <v>0</v>
      </c>
      <c r="M3776" t="n">
        <v>0</v>
      </c>
      <c r="N3776" t="n">
        <v>0</v>
      </c>
      <c r="O3776" t="n">
        <v>0</v>
      </c>
      <c r="P3776" t="n">
        <v>0</v>
      </c>
      <c r="Q3776" t="n">
        <v>0</v>
      </c>
      <c r="R3776" s="2" t="inlineStr"/>
    </row>
    <row r="3777" ht="15" customHeight="1">
      <c r="A3777" t="inlineStr">
        <is>
          <t>A 18536-2023</t>
        </is>
      </c>
      <c r="B3777" s="1" t="n">
        <v>45042</v>
      </c>
      <c r="C3777" s="1" t="n">
        <v>45846</v>
      </c>
      <c r="D3777" t="inlineStr">
        <is>
          <t>UPPSALA LÄN</t>
        </is>
      </c>
      <c r="E3777" t="inlineStr">
        <is>
          <t>ÖSTHAMMAR</t>
        </is>
      </c>
      <c r="F3777" t="inlineStr">
        <is>
          <t>Bergvik skog öst AB</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18386-2023</t>
        </is>
      </c>
      <c r="B3778" s="1" t="n">
        <v>45042</v>
      </c>
      <c r="C3778" s="1" t="n">
        <v>45846</v>
      </c>
      <c r="D3778" t="inlineStr">
        <is>
          <t>UPPSALA LÄN</t>
        </is>
      </c>
      <c r="E3778" t="inlineStr">
        <is>
          <t>ÖSTHAMMAR</t>
        </is>
      </c>
      <c r="F3778" t="inlineStr">
        <is>
          <t>Bergvik skog öst AB</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18443-2023</t>
        </is>
      </c>
      <c r="B3779" s="1" t="n">
        <v>45042</v>
      </c>
      <c r="C3779" s="1" t="n">
        <v>45846</v>
      </c>
      <c r="D3779" t="inlineStr">
        <is>
          <t>UPPSALA LÄN</t>
        </is>
      </c>
      <c r="E3779" t="inlineStr">
        <is>
          <t>UPPSALA</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18496-2023</t>
        </is>
      </c>
      <c r="B3780" s="1" t="n">
        <v>45042</v>
      </c>
      <c r="C3780" s="1" t="n">
        <v>45846</v>
      </c>
      <c r="D3780" t="inlineStr">
        <is>
          <t>UPPSALA LÄN</t>
        </is>
      </c>
      <c r="E3780" t="inlineStr">
        <is>
          <t>UPPSALA</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18535-2023</t>
        </is>
      </c>
      <c r="B3781" s="1" t="n">
        <v>45042</v>
      </c>
      <c r="C3781" s="1" t="n">
        <v>45846</v>
      </c>
      <c r="D3781" t="inlineStr">
        <is>
          <t>UPPSALA LÄN</t>
        </is>
      </c>
      <c r="E3781" t="inlineStr">
        <is>
          <t>ÖSTHAMMAR</t>
        </is>
      </c>
      <c r="F3781" t="inlineStr">
        <is>
          <t>Bergvik skog öst AB</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18507-2023</t>
        </is>
      </c>
      <c r="B3782" s="1" t="n">
        <v>45042</v>
      </c>
      <c r="C3782" s="1" t="n">
        <v>45846</v>
      </c>
      <c r="D3782" t="inlineStr">
        <is>
          <t>UPPSALA LÄN</t>
        </is>
      </c>
      <c r="E3782" t="inlineStr">
        <is>
          <t>UPPSALA</t>
        </is>
      </c>
      <c r="F3782" t="inlineStr">
        <is>
          <t>Övriga Aktiebolag</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18534-2023</t>
        </is>
      </c>
      <c r="B3783" s="1" t="n">
        <v>45042</v>
      </c>
      <c r="C3783" s="1" t="n">
        <v>45846</v>
      </c>
      <c r="D3783" t="inlineStr">
        <is>
          <t>UPPSALA LÄN</t>
        </is>
      </c>
      <c r="E3783" t="inlineStr">
        <is>
          <t>ÖSTHAMMAR</t>
        </is>
      </c>
      <c r="F3783" t="inlineStr">
        <is>
          <t>Bergvik skog öst AB</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18422-2023</t>
        </is>
      </c>
      <c r="B3784" s="1" t="n">
        <v>45042</v>
      </c>
      <c r="C3784" s="1" t="n">
        <v>45846</v>
      </c>
      <c r="D3784" t="inlineStr">
        <is>
          <t>UPPSALA LÄN</t>
        </is>
      </c>
      <c r="E3784" t="inlineStr">
        <is>
          <t>HEBY</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18472-2023</t>
        </is>
      </c>
      <c r="B3785" s="1" t="n">
        <v>45042</v>
      </c>
      <c r="C3785" s="1" t="n">
        <v>45846</v>
      </c>
      <c r="D3785" t="inlineStr">
        <is>
          <t>UPPSALA LÄN</t>
        </is>
      </c>
      <c r="E3785" t="inlineStr">
        <is>
          <t>UPPSALA</t>
        </is>
      </c>
      <c r="F3785" t="inlineStr">
        <is>
          <t>Övriga Aktiebolag</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18538-2023</t>
        </is>
      </c>
      <c r="B3786" s="1" t="n">
        <v>45042</v>
      </c>
      <c r="C3786" s="1" t="n">
        <v>45846</v>
      </c>
      <c r="D3786" t="inlineStr">
        <is>
          <t>UPPSALA LÄN</t>
        </is>
      </c>
      <c r="E3786" t="inlineStr">
        <is>
          <t>ÖSTHAMMAR</t>
        </is>
      </c>
      <c r="F3786" t="inlineStr">
        <is>
          <t>Bergvik skog öst AB</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18652-2023</t>
        </is>
      </c>
      <c r="B3787" s="1" t="n">
        <v>45043</v>
      </c>
      <c r="C3787" s="1" t="n">
        <v>45846</v>
      </c>
      <c r="D3787" t="inlineStr">
        <is>
          <t>UPPSALA LÄN</t>
        </is>
      </c>
      <c r="E3787" t="inlineStr">
        <is>
          <t>HEBY</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18726-2023</t>
        </is>
      </c>
      <c r="B3788" s="1" t="n">
        <v>45043</v>
      </c>
      <c r="C3788" s="1" t="n">
        <v>45846</v>
      </c>
      <c r="D3788" t="inlineStr">
        <is>
          <t>UPPSALA LÄN</t>
        </is>
      </c>
      <c r="E3788" t="inlineStr">
        <is>
          <t>HEBY</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18641-2023</t>
        </is>
      </c>
      <c r="B3789" s="1" t="n">
        <v>45043</v>
      </c>
      <c r="C3789" s="1" t="n">
        <v>45846</v>
      </c>
      <c r="D3789" t="inlineStr">
        <is>
          <t>UPPSALA LÄN</t>
        </is>
      </c>
      <c r="E3789" t="inlineStr">
        <is>
          <t>TIERP</t>
        </is>
      </c>
      <c r="F3789" t="inlineStr">
        <is>
          <t>Bergvik skog öst AB</t>
        </is>
      </c>
      <c r="G3789" t="n">
        <v>6.1</v>
      </c>
      <c r="H3789" t="n">
        <v>0</v>
      </c>
      <c r="I3789" t="n">
        <v>0</v>
      </c>
      <c r="J3789" t="n">
        <v>0</v>
      </c>
      <c r="K3789" t="n">
        <v>0</v>
      </c>
      <c r="L3789" t="n">
        <v>0</v>
      </c>
      <c r="M3789" t="n">
        <v>0</v>
      </c>
      <c r="N3789" t="n">
        <v>0</v>
      </c>
      <c r="O3789" t="n">
        <v>0</v>
      </c>
      <c r="P3789" t="n">
        <v>0</v>
      </c>
      <c r="Q3789" t="n">
        <v>0</v>
      </c>
      <c r="R3789" s="2" t="inlineStr"/>
    </row>
    <row r="3790" ht="15" customHeight="1">
      <c r="A3790" t="inlineStr">
        <is>
          <t>A 18696-2023</t>
        </is>
      </c>
      <c r="B3790" s="1" t="n">
        <v>45043</v>
      </c>
      <c r="C3790" s="1" t="n">
        <v>45846</v>
      </c>
      <c r="D3790" t="inlineStr">
        <is>
          <t>UPPSALA LÄN</t>
        </is>
      </c>
      <c r="E3790" t="inlineStr">
        <is>
          <t>ENKÖPING</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18710-2023</t>
        </is>
      </c>
      <c r="B3791" s="1" t="n">
        <v>45043</v>
      </c>
      <c r="C3791" s="1" t="n">
        <v>45846</v>
      </c>
      <c r="D3791" t="inlineStr">
        <is>
          <t>UPPSALA LÄN</t>
        </is>
      </c>
      <c r="E3791" t="inlineStr">
        <is>
          <t>UPPSALA</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18743-2023</t>
        </is>
      </c>
      <c r="B3792" s="1" t="n">
        <v>45043</v>
      </c>
      <c r="C3792" s="1" t="n">
        <v>45846</v>
      </c>
      <c r="D3792" t="inlineStr">
        <is>
          <t>UPPSALA LÄN</t>
        </is>
      </c>
      <c r="E3792" t="inlineStr">
        <is>
          <t>HEBY</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18838-2023</t>
        </is>
      </c>
      <c r="B3793" s="1" t="n">
        <v>45044</v>
      </c>
      <c r="C3793" s="1" t="n">
        <v>45846</v>
      </c>
      <c r="D3793" t="inlineStr">
        <is>
          <t>UPPSALA LÄN</t>
        </is>
      </c>
      <c r="E3793" t="inlineStr">
        <is>
          <t>ÖSTHAMMAR</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18798-2023</t>
        </is>
      </c>
      <c r="B3794" s="1" t="n">
        <v>45044</v>
      </c>
      <c r="C3794" s="1" t="n">
        <v>45846</v>
      </c>
      <c r="D3794" t="inlineStr">
        <is>
          <t>UPPSALA LÄN</t>
        </is>
      </c>
      <c r="E3794" t="inlineStr">
        <is>
          <t>HEBY</t>
        </is>
      </c>
      <c r="G3794" t="n">
        <v>5.3</v>
      </c>
      <c r="H3794" t="n">
        <v>0</v>
      </c>
      <c r="I3794" t="n">
        <v>0</v>
      </c>
      <c r="J3794" t="n">
        <v>0</v>
      </c>
      <c r="K3794" t="n">
        <v>0</v>
      </c>
      <c r="L3794" t="n">
        <v>0</v>
      </c>
      <c r="M3794" t="n">
        <v>0</v>
      </c>
      <c r="N3794" t="n">
        <v>0</v>
      </c>
      <c r="O3794" t="n">
        <v>0</v>
      </c>
      <c r="P3794" t="n">
        <v>0</v>
      </c>
      <c r="Q3794" t="n">
        <v>0</v>
      </c>
      <c r="R3794" s="2" t="inlineStr"/>
    </row>
    <row r="3795" ht="15" customHeight="1">
      <c r="A3795" t="inlineStr">
        <is>
          <t>A 18839-2023</t>
        </is>
      </c>
      <c r="B3795" s="1" t="n">
        <v>45044</v>
      </c>
      <c r="C3795" s="1" t="n">
        <v>45846</v>
      </c>
      <c r="D3795" t="inlineStr">
        <is>
          <t>UPPSALA LÄN</t>
        </is>
      </c>
      <c r="E3795" t="inlineStr">
        <is>
          <t>ÖSTHAMMAR</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18841-2023</t>
        </is>
      </c>
      <c r="B3796" s="1" t="n">
        <v>45044</v>
      </c>
      <c r="C3796" s="1" t="n">
        <v>45846</v>
      </c>
      <c r="D3796" t="inlineStr">
        <is>
          <t>UPPSALA LÄN</t>
        </is>
      </c>
      <c r="E3796" t="inlineStr">
        <is>
          <t>ÖSTHAMMAR</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18945-2023</t>
        </is>
      </c>
      <c r="B3797" s="1" t="n">
        <v>45044</v>
      </c>
      <c r="C3797" s="1" t="n">
        <v>45846</v>
      </c>
      <c r="D3797" t="inlineStr">
        <is>
          <t>UPPSALA LÄN</t>
        </is>
      </c>
      <c r="E3797" t="inlineStr">
        <is>
          <t>ÖSTHAMMAR</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18946-2023</t>
        </is>
      </c>
      <c r="B3798" s="1" t="n">
        <v>45044</v>
      </c>
      <c r="C3798" s="1" t="n">
        <v>45846</v>
      </c>
      <c r="D3798" t="inlineStr">
        <is>
          <t>UPPSALA LÄN</t>
        </is>
      </c>
      <c r="E3798" t="inlineStr">
        <is>
          <t>ÖSTHAMMAR</t>
        </is>
      </c>
      <c r="G3798" t="n">
        <v>4.9</v>
      </c>
      <c r="H3798" t="n">
        <v>0</v>
      </c>
      <c r="I3798" t="n">
        <v>0</v>
      </c>
      <c r="J3798" t="n">
        <v>0</v>
      </c>
      <c r="K3798" t="n">
        <v>0</v>
      </c>
      <c r="L3798" t="n">
        <v>0</v>
      </c>
      <c r="M3798" t="n">
        <v>0</v>
      </c>
      <c r="N3798" t="n">
        <v>0</v>
      </c>
      <c r="O3798" t="n">
        <v>0</v>
      </c>
      <c r="P3798" t="n">
        <v>0</v>
      </c>
      <c r="Q3798" t="n">
        <v>0</v>
      </c>
      <c r="R3798" s="2" t="inlineStr"/>
    </row>
    <row r="3799" ht="15" customHeight="1">
      <c r="A3799" t="inlineStr">
        <is>
          <t>A 18821-2023</t>
        </is>
      </c>
      <c r="B3799" s="1" t="n">
        <v>45044</v>
      </c>
      <c r="C3799" s="1" t="n">
        <v>45846</v>
      </c>
      <c r="D3799" t="inlineStr">
        <is>
          <t>UPPSALA LÄN</t>
        </is>
      </c>
      <c r="E3799" t="inlineStr">
        <is>
          <t>ENKÖPING</t>
        </is>
      </c>
      <c r="G3799" t="n">
        <v>6</v>
      </c>
      <c r="H3799" t="n">
        <v>0</v>
      </c>
      <c r="I3799" t="n">
        <v>0</v>
      </c>
      <c r="J3799" t="n">
        <v>0</v>
      </c>
      <c r="K3799" t="n">
        <v>0</v>
      </c>
      <c r="L3799" t="n">
        <v>0</v>
      </c>
      <c r="M3799" t="n">
        <v>0</v>
      </c>
      <c r="N3799" t="n">
        <v>0</v>
      </c>
      <c r="O3799" t="n">
        <v>0</v>
      </c>
      <c r="P3799" t="n">
        <v>0</v>
      </c>
      <c r="Q3799" t="n">
        <v>0</v>
      </c>
      <c r="R3799" s="2" t="inlineStr"/>
    </row>
    <row r="3800" ht="15" customHeight="1">
      <c r="A3800" t="inlineStr">
        <is>
          <t>A 18831-2023</t>
        </is>
      </c>
      <c r="B3800" s="1" t="n">
        <v>45044</v>
      </c>
      <c r="C3800" s="1" t="n">
        <v>45846</v>
      </c>
      <c r="D3800" t="inlineStr">
        <is>
          <t>UPPSALA LÄN</t>
        </is>
      </c>
      <c r="E3800" t="inlineStr">
        <is>
          <t>ENKÖPING</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19012-2023</t>
        </is>
      </c>
      <c r="B3801" s="1" t="n">
        <v>45045</v>
      </c>
      <c r="C3801" s="1" t="n">
        <v>45846</v>
      </c>
      <c r="D3801" t="inlineStr">
        <is>
          <t>UPPSALA LÄN</t>
        </is>
      </c>
      <c r="E3801" t="inlineStr">
        <is>
          <t>ÖSTHAMMAR</t>
        </is>
      </c>
      <c r="F3801" t="inlineStr">
        <is>
          <t>Bergvik skog öst AB</t>
        </is>
      </c>
      <c r="G3801" t="n">
        <v>5.7</v>
      </c>
      <c r="H3801" t="n">
        <v>0</v>
      </c>
      <c r="I3801" t="n">
        <v>0</v>
      </c>
      <c r="J3801" t="n">
        <v>0</v>
      </c>
      <c r="K3801" t="n">
        <v>0</v>
      </c>
      <c r="L3801" t="n">
        <v>0</v>
      </c>
      <c r="M3801" t="n">
        <v>0</v>
      </c>
      <c r="N3801" t="n">
        <v>0</v>
      </c>
      <c r="O3801" t="n">
        <v>0</v>
      </c>
      <c r="P3801" t="n">
        <v>0</v>
      </c>
      <c r="Q3801" t="n">
        <v>0</v>
      </c>
      <c r="R3801" s="2" t="inlineStr"/>
    </row>
    <row r="3802" ht="15" customHeight="1">
      <c r="A3802" t="inlineStr">
        <is>
          <t>A 19015-2023</t>
        </is>
      </c>
      <c r="B3802" s="1" t="n">
        <v>45045</v>
      </c>
      <c r="C3802" s="1" t="n">
        <v>45846</v>
      </c>
      <c r="D3802" t="inlineStr">
        <is>
          <t>UPPSALA LÄN</t>
        </is>
      </c>
      <c r="E3802" t="inlineStr">
        <is>
          <t>ÖSTHAMMAR</t>
        </is>
      </c>
      <c r="F3802" t="inlineStr">
        <is>
          <t>Bergvik skog öst AB</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19010-2023</t>
        </is>
      </c>
      <c r="B3803" s="1" t="n">
        <v>45045</v>
      </c>
      <c r="C3803" s="1" t="n">
        <v>45846</v>
      </c>
      <c r="D3803" t="inlineStr">
        <is>
          <t>UPPSALA LÄN</t>
        </is>
      </c>
      <c r="E3803" t="inlineStr">
        <is>
          <t>ÖSTHAMMAR</t>
        </is>
      </c>
      <c r="F3803" t="inlineStr">
        <is>
          <t>Bergvik skog öst AB</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19014-2023</t>
        </is>
      </c>
      <c r="B3804" s="1" t="n">
        <v>45045</v>
      </c>
      <c r="C3804" s="1" t="n">
        <v>45846</v>
      </c>
      <c r="D3804" t="inlineStr">
        <is>
          <t>UPPSALA LÄN</t>
        </is>
      </c>
      <c r="E3804" t="inlineStr">
        <is>
          <t>ÖSTHAMMAR</t>
        </is>
      </c>
      <c r="F3804" t="inlineStr">
        <is>
          <t>Bergvik skog öst AB</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19009-2023</t>
        </is>
      </c>
      <c r="B3805" s="1" t="n">
        <v>45045</v>
      </c>
      <c r="C3805" s="1" t="n">
        <v>45846</v>
      </c>
      <c r="D3805" t="inlineStr">
        <is>
          <t>UPPSALA LÄN</t>
        </is>
      </c>
      <c r="E3805" t="inlineStr">
        <is>
          <t>ÖSTHAMMAR</t>
        </is>
      </c>
      <c r="F3805" t="inlineStr">
        <is>
          <t>Bergvik skog öst AB</t>
        </is>
      </c>
      <c r="G3805" t="n">
        <v>0.2</v>
      </c>
      <c r="H3805" t="n">
        <v>0</v>
      </c>
      <c r="I3805" t="n">
        <v>0</v>
      </c>
      <c r="J3805" t="n">
        <v>0</v>
      </c>
      <c r="K3805" t="n">
        <v>0</v>
      </c>
      <c r="L3805" t="n">
        <v>0</v>
      </c>
      <c r="M3805" t="n">
        <v>0</v>
      </c>
      <c r="N3805" t="n">
        <v>0</v>
      </c>
      <c r="O3805" t="n">
        <v>0</v>
      </c>
      <c r="P3805" t="n">
        <v>0</v>
      </c>
      <c r="Q3805" t="n">
        <v>0</v>
      </c>
      <c r="R3805" s="2" t="inlineStr"/>
    </row>
    <row r="3806" ht="15" customHeight="1">
      <c r="A3806" t="inlineStr">
        <is>
          <t>A 19172-2023</t>
        </is>
      </c>
      <c r="B3806" s="1" t="n">
        <v>45046</v>
      </c>
      <c r="C3806" s="1" t="n">
        <v>45846</v>
      </c>
      <c r="D3806" t="inlineStr">
        <is>
          <t>UPPSALA LÄN</t>
        </is>
      </c>
      <c r="E3806" t="inlineStr">
        <is>
          <t>TIERP</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19174-2023</t>
        </is>
      </c>
      <c r="B3807" s="1" t="n">
        <v>45046</v>
      </c>
      <c r="C3807" s="1" t="n">
        <v>45846</v>
      </c>
      <c r="D3807" t="inlineStr">
        <is>
          <t>UPPSALA LÄN</t>
        </is>
      </c>
      <c r="E3807" t="inlineStr">
        <is>
          <t>TIERP</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19175-2023</t>
        </is>
      </c>
      <c r="B3808" s="1" t="n">
        <v>45046</v>
      </c>
      <c r="C3808" s="1" t="n">
        <v>45846</v>
      </c>
      <c r="D3808" t="inlineStr">
        <is>
          <t>UPPSALA LÄN</t>
        </is>
      </c>
      <c r="E3808" t="inlineStr">
        <is>
          <t>TIERP</t>
        </is>
      </c>
      <c r="G3808" t="n">
        <v>5.6</v>
      </c>
      <c r="H3808" t="n">
        <v>0</v>
      </c>
      <c r="I3808" t="n">
        <v>0</v>
      </c>
      <c r="J3808" t="n">
        <v>0</v>
      </c>
      <c r="K3808" t="n">
        <v>0</v>
      </c>
      <c r="L3808" t="n">
        <v>0</v>
      </c>
      <c r="M3808" t="n">
        <v>0</v>
      </c>
      <c r="N3808" t="n">
        <v>0</v>
      </c>
      <c r="O3808" t="n">
        <v>0</v>
      </c>
      <c r="P3808" t="n">
        <v>0</v>
      </c>
      <c r="Q3808" t="n">
        <v>0</v>
      </c>
      <c r="R3808" s="2" t="inlineStr"/>
    </row>
    <row r="3809" ht="15" customHeight="1">
      <c r="A3809" t="inlineStr">
        <is>
          <t>A 19041-2023</t>
        </is>
      </c>
      <c r="B3809" s="1" t="n">
        <v>45047</v>
      </c>
      <c r="C3809" s="1" t="n">
        <v>45846</v>
      </c>
      <c r="D3809" t="inlineStr">
        <is>
          <t>UPPSALA LÄN</t>
        </is>
      </c>
      <c r="E3809" t="inlineStr">
        <is>
          <t>ÖSTHAMMAR</t>
        </is>
      </c>
      <c r="F3809" t="inlineStr">
        <is>
          <t>Bergvik skog öst AB</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19017-2023</t>
        </is>
      </c>
      <c r="B3810" s="1" t="n">
        <v>45047</v>
      </c>
      <c r="C3810" s="1" t="n">
        <v>45846</v>
      </c>
      <c r="D3810" t="inlineStr">
        <is>
          <t>UPPSALA LÄN</t>
        </is>
      </c>
      <c r="E3810" t="inlineStr">
        <is>
          <t>UPPSALA</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19040-2023</t>
        </is>
      </c>
      <c r="B3811" s="1" t="n">
        <v>45047</v>
      </c>
      <c r="C3811" s="1" t="n">
        <v>45846</v>
      </c>
      <c r="D3811" t="inlineStr">
        <is>
          <t>UPPSALA LÄN</t>
        </is>
      </c>
      <c r="E3811" t="inlineStr">
        <is>
          <t>ÖSTHAMMAR</t>
        </is>
      </c>
      <c r="F3811" t="inlineStr">
        <is>
          <t>Bergvik skog öst AB</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19102-2023</t>
        </is>
      </c>
      <c r="B3812" s="1" t="n">
        <v>45048</v>
      </c>
      <c r="C3812" s="1" t="n">
        <v>45846</v>
      </c>
      <c r="D3812" t="inlineStr">
        <is>
          <t>UPPSALA LÄN</t>
        </is>
      </c>
      <c r="E3812" t="inlineStr">
        <is>
          <t>ÖSTHAMMAR</t>
        </is>
      </c>
      <c r="F3812" t="inlineStr">
        <is>
          <t>Bergvik skog öst AB</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19099-2023</t>
        </is>
      </c>
      <c r="B3813" s="1" t="n">
        <v>45048</v>
      </c>
      <c r="C3813" s="1" t="n">
        <v>45846</v>
      </c>
      <c r="D3813" t="inlineStr">
        <is>
          <t>UPPSALA LÄN</t>
        </is>
      </c>
      <c r="E3813" t="inlineStr">
        <is>
          <t>ÖSTHAMMAR</t>
        </is>
      </c>
      <c r="F3813" t="inlineStr">
        <is>
          <t>Bergvik skog öst AB</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19097-2023</t>
        </is>
      </c>
      <c r="B3814" s="1" t="n">
        <v>45048</v>
      </c>
      <c r="C3814" s="1" t="n">
        <v>45846</v>
      </c>
      <c r="D3814" t="inlineStr">
        <is>
          <t>UPPSALA LÄN</t>
        </is>
      </c>
      <c r="E3814" t="inlineStr">
        <is>
          <t>ÖSTHAMMAR</t>
        </is>
      </c>
      <c r="F3814" t="inlineStr">
        <is>
          <t>Bergvik skog öst AB</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19129-2023</t>
        </is>
      </c>
      <c r="B3815" s="1" t="n">
        <v>45048</v>
      </c>
      <c r="C3815" s="1" t="n">
        <v>45846</v>
      </c>
      <c r="D3815" t="inlineStr">
        <is>
          <t>UPPSALA LÄN</t>
        </is>
      </c>
      <c r="E3815" t="inlineStr">
        <is>
          <t>TIERP</t>
        </is>
      </c>
      <c r="F3815" t="inlineStr">
        <is>
          <t>Bergvik skog väst AB</t>
        </is>
      </c>
      <c r="G3815" t="n">
        <v>6.4</v>
      </c>
      <c r="H3815" t="n">
        <v>0</v>
      </c>
      <c r="I3815" t="n">
        <v>0</v>
      </c>
      <c r="J3815" t="n">
        <v>0</v>
      </c>
      <c r="K3815" t="n">
        <v>0</v>
      </c>
      <c r="L3815" t="n">
        <v>0</v>
      </c>
      <c r="M3815" t="n">
        <v>0</v>
      </c>
      <c r="N3815" t="n">
        <v>0</v>
      </c>
      <c r="O3815" t="n">
        <v>0</v>
      </c>
      <c r="P3815" t="n">
        <v>0</v>
      </c>
      <c r="Q3815" t="n">
        <v>0</v>
      </c>
      <c r="R3815" s="2" t="inlineStr"/>
    </row>
    <row r="3816" ht="15" customHeight="1">
      <c r="A3816" t="inlineStr">
        <is>
          <t>A 19135-2023</t>
        </is>
      </c>
      <c r="B3816" s="1" t="n">
        <v>45048</v>
      </c>
      <c r="C3816" s="1" t="n">
        <v>45846</v>
      </c>
      <c r="D3816" t="inlineStr">
        <is>
          <t>UPPSALA LÄN</t>
        </is>
      </c>
      <c r="E3816" t="inlineStr">
        <is>
          <t>UPPSALA</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19127-2023</t>
        </is>
      </c>
      <c r="B3817" s="1" t="n">
        <v>45048</v>
      </c>
      <c r="C3817" s="1" t="n">
        <v>45846</v>
      </c>
      <c r="D3817" t="inlineStr">
        <is>
          <t>UPPSALA LÄN</t>
        </is>
      </c>
      <c r="E3817" t="inlineStr">
        <is>
          <t>TIERP</t>
        </is>
      </c>
      <c r="F3817" t="inlineStr">
        <is>
          <t>Bergvik skog väst AB</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19139-2023</t>
        </is>
      </c>
      <c r="B3818" s="1" t="n">
        <v>45048</v>
      </c>
      <c r="C3818" s="1" t="n">
        <v>45846</v>
      </c>
      <c r="D3818" t="inlineStr">
        <is>
          <t>UPPSALA LÄN</t>
        </is>
      </c>
      <c r="E3818" t="inlineStr">
        <is>
          <t>UPPSALA</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19298-2023</t>
        </is>
      </c>
      <c r="B3819" s="1" t="n">
        <v>45048</v>
      </c>
      <c r="C3819" s="1" t="n">
        <v>45846</v>
      </c>
      <c r="D3819" t="inlineStr">
        <is>
          <t>UPPSALA LÄN</t>
        </is>
      </c>
      <c r="E3819" t="inlineStr">
        <is>
          <t>ENKÖPING</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19215-2023</t>
        </is>
      </c>
      <c r="B3820" s="1" t="n">
        <v>45048</v>
      </c>
      <c r="C3820" s="1" t="n">
        <v>45846</v>
      </c>
      <c r="D3820" t="inlineStr">
        <is>
          <t>UPPSALA LÄN</t>
        </is>
      </c>
      <c r="E3820" t="inlineStr">
        <is>
          <t>ÖSTHAMMAR</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19301-2023</t>
        </is>
      </c>
      <c r="B3821" s="1" t="n">
        <v>45048</v>
      </c>
      <c r="C3821" s="1" t="n">
        <v>45846</v>
      </c>
      <c r="D3821" t="inlineStr">
        <is>
          <t>UPPSALA LÄN</t>
        </is>
      </c>
      <c r="E3821" t="inlineStr">
        <is>
          <t>ENKÖPING</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19216-2023</t>
        </is>
      </c>
      <c r="B3822" s="1" t="n">
        <v>45048</v>
      </c>
      <c r="C3822" s="1" t="n">
        <v>45846</v>
      </c>
      <c r="D3822" t="inlineStr">
        <is>
          <t>UPPSALA LÄN</t>
        </is>
      </c>
      <c r="E3822" t="inlineStr">
        <is>
          <t>ÖSTHAMMAR</t>
        </is>
      </c>
      <c r="G3822" t="n">
        <v>11.3</v>
      </c>
      <c r="H3822" t="n">
        <v>0</v>
      </c>
      <c r="I3822" t="n">
        <v>0</v>
      </c>
      <c r="J3822" t="n">
        <v>0</v>
      </c>
      <c r="K3822" t="n">
        <v>0</v>
      </c>
      <c r="L3822" t="n">
        <v>0</v>
      </c>
      <c r="M3822" t="n">
        <v>0</v>
      </c>
      <c r="N3822" t="n">
        <v>0</v>
      </c>
      <c r="O3822" t="n">
        <v>0</v>
      </c>
      <c r="P3822" t="n">
        <v>0</v>
      </c>
      <c r="Q3822" t="n">
        <v>0</v>
      </c>
      <c r="R3822" s="2" t="inlineStr"/>
    </row>
    <row r="3823" ht="15" customHeight="1">
      <c r="A3823" t="inlineStr">
        <is>
          <t>A 19279-2023</t>
        </is>
      </c>
      <c r="B3823" s="1" t="n">
        <v>45049</v>
      </c>
      <c r="C3823" s="1" t="n">
        <v>45846</v>
      </c>
      <c r="D3823" t="inlineStr">
        <is>
          <t>UPPSALA LÄN</t>
        </is>
      </c>
      <c r="E3823" t="inlineStr">
        <is>
          <t>UPPSALA</t>
        </is>
      </c>
      <c r="G3823" t="n">
        <v>5.8</v>
      </c>
      <c r="H3823" t="n">
        <v>0</v>
      </c>
      <c r="I3823" t="n">
        <v>0</v>
      </c>
      <c r="J3823" t="n">
        <v>0</v>
      </c>
      <c r="K3823" t="n">
        <v>0</v>
      </c>
      <c r="L3823" t="n">
        <v>0</v>
      </c>
      <c r="M3823" t="n">
        <v>0</v>
      </c>
      <c r="N3823" t="n">
        <v>0</v>
      </c>
      <c r="O3823" t="n">
        <v>0</v>
      </c>
      <c r="P3823" t="n">
        <v>0</v>
      </c>
      <c r="Q3823" t="n">
        <v>0</v>
      </c>
      <c r="R3823" s="2" t="inlineStr"/>
    </row>
    <row r="3824" ht="15" customHeight="1">
      <c r="A3824" t="inlineStr">
        <is>
          <t>A 19283-2023</t>
        </is>
      </c>
      <c r="B3824" s="1" t="n">
        <v>45049</v>
      </c>
      <c r="C3824" s="1" t="n">
        <v>45846</v>
      </c>
      <c r="D3824" t="inlineStr">
        <is>
          <t>UPPSALA LÄN</t>
        </is>
      </c>
      <c r="E3824" t="inlineStr">
        <is>
          <t>TIERP</t>
        </is>
      </c>
      <c r="G3824" t="n">
        <v>7.5</v>
      </c>
      <c r="H3824" t="n">
        <v>0</v>
      </c>
      <c r="I3824" t="n">
        <v>0</v>
      </c>
      <c r="J3824" t="n">
        <v>0</v>
      </c>
      <c r="K3824" t="n">
        <v>0</v>
      </c>
      <c r="L3824" t="n">
        <v>0</v>
      </c>
      <c r="M3824" t="n">
        <v>0</v>
      </c>
      <c r="N3824" t="n">
        <v>0</v>
      </c>
      <c r="O3824" t="n">
        <v>0</v>
      </c>
      <c r="P3824" t="n">
        <v>0</v>
      </c>
      <c r="Q3824" t="n">
        <v>0</v>
      </c>
      <c r="R3824" s="2" t="inlineStr"/>
    </row>
    <row r="3825" ht="15" customHeight="1">
      <c r="A3825" t="inlineStr">
        <is>
          <t>A 19269-2023</t>
        </is>
      </c>
      <c r="B3825" s="1" t="n">
        <v>45049</v>
      </c>
      <c r="C3825" s="1" t="n">
        <v>45846</v>
      </c>
      <c r="D3825" t="inlineStr">
        <is>
          <t>UPPSALA LÄN</t>
        </is>
      </c>
      <c r="E3825" t="inlineStr">
        <is>
          <t>UPPSALA</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19314-2023</t>
        </is>
      </c>
      <c r="B3826" s="1" t="n">
        <v>45049</v>
      </c>
      <c r="C3826" s="1" t="n">
        <v>45846</v>
      </c>
      <c r="D3826" t="inlineStr">
        <is>
          <t>UPPSALA LÄN</t>
        </is>
      </c>
      <c r="E3826" t="inlineStr">
        <is>
          <t>UPPSALA</t>
        </is>
      </c>
      <c r="G3826" t="n">
        <v>9</v>
      </c>
      <c r="H3826" t="n">
        <v>0</v>
      </c>
      <c r="I3826" t="n">
        <v>0</v>
      </c>
      <c r="J3826" t="n">
        <v>0</v>
      </c>
      <c r="K3826" t="n">
        <v>0</v>
      </c>
      <c r="L3826" t="n">
        <v>0</v>
      </c>
      <c r="M3826" t="n">
        <v>0</v>
      </c>
      <c r="N3826" t="n">
        <v>0</v>
      </c>
      <c r="O3826" t="n">
        <v>0</v>
      </c>
      <c r="P3826" t="n">
        <v>0</v>
      </c>
      <c r="Q3826" t="n">
        <v>0</v>
      </c>
      <c r="R3826" s="2" t="inlineStr"/>
    </row>
    <row r="3827" ht="15" customHeight="1">
      <c r="A3827" t="inlineStr">
        <is>
          <t>A 19320-2023</t>
        </is>
      </c>
      <c r="B3827" s="1" t="n">
        <v>45049</v>
      </c>
      <c r="C3827" s="1" t="n">
        <v>45846</v>
      </c>
      <c r="D3827" t="inlineStr">
        <is>
          <t>UPPSALA LÄN</t>
        </is>
      </c>
      <c r="E3827" t="inlineStr">
        <is>
          <t>UPPSALA</t>
        </is>
      </c>
      <c r="G3827" t="n">
        <v>17.5</v>
      </c>
      <c r="H3827" t="n">
        <v>0</v>
      </c>
      <c r="I3827" t="n">
        <v>0</v>
      </c>
      <c r="J3827" t="n">
        <v>0</v>
      </c>
      <c r="K3827" t="n">
        <v>0</v>
      </c>
      <c r="L3827" t="n">
        <v>0</v>
      </c>
      <c r="M3827" t="n">
        <v>0</v>
      </c>
      <c r="N3827" t="n">
        <v>0</v>
      </c>
      <c r="O3827" t="n">
        <v>0</v>
      </c>
      <c r="P3827" t="n">
        <v>0</v>
      </c>
      <c r="Q3827" t="n">
        <v>0</v>
      </c>
      <c r="R3827" s="2" t="inlineStr"/>
    </row>
    <row r="3828" ht="15" customHeight="1">
      <c r="A3828" t="inlineStr">
        <is>
          <t>A 19339-2023</t>
        </is>
      </c>
      <c r="B3828" s="1" t="n">
        <v>45049</v>
      </c>
      <c r="C3828" s="1" t="n">
        <v>45846</v>
      </c>
      <c r="D3828" t="inlineStr">
        <is>
          <t>UPPSALA LÄN</t>
        </is>
      </c>
      <c r="E3828" t="inlineStr">
        <is>
          <t>UPPSALA</t>
        </is>
      </c>
      <c r="G3828" t="n">
        <v>6.9</v>
      </c>
      <c r="H3828" t="n">
        <v>0</v>
      </c>
      <c r="I3828" t="n">
        <v>0</v>
      </c>
      <c r="J3828" t="n">
        <v>0</v>
      </c>
      <c r="K3828" t="n">
        <v>0</v>
      </c>
      <c r="L3828" t="n">
        <v>0</v>
      </c>
      <c r="M3828" t="n">
        <v>0</v>
      </c>
      <c r="N3828" t="n">
        <v>0</v>
      </c>
      <c r="O3828" t="n">
        <v>0</v>
      </c>
      <c r="P3828" t="n">
        <v>0</v>
      </c>
      <c r="Q3828" t="n">
        <v>0</v>
      </c>
      <c r="R3828" s="2" t="inlineStr"/>
    </row>
    <row r="3829" ht="15" customHeight="1">
      <c r="A3829" t="inlineStr">
        <is>
          <t>A 19380-2023</t>
        </is>
      </c>
      <c r="B3829" s="1" t="n">
        <v>45049</v>
      </c>
      <c r="C3829" s="1" t="n">
        <v>45846</v>
      </c>
      <c r="D3829" t="inlineStr">
        <is>
          <t>UPPSALA LÄN</t>
        </is>
      </c>
      <c r="E3829" t="inlineStr">
        <is>
          <t>UPPSALA</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19411-2023</t>
        </is>
      </c>
      <c r="B3830" s="1" t="n">
        <v>45049</v>
      </c>
      <c r="C3830" s="1" t="n">
        <v>45846</v>
      </c>
      <c r="D3830" t="inlineStr">
        <is>
          <t>UPPSALA LÄN</t>
        </is>
      </c>
      <c r="E3830" t="inlineStr">
        <is>
          <t>UPPSALA</t>
        </is>
      </c>
      <c r="G3830" t="n">
        <v>12.6</v>
      </c>
      <c r="H3830" t="n">
        <v>0</v>
      </c>
      <c r="I3830" t="n">
        <v>0</v>
      </c>
      <c r="J3830" t="n">
        <v>0</v>
      </c>
      <c r="K3830" t="n">
        <v>0</v>
      </c>
      <c r="L3830" t="n">
        <v>0</v>
      </c>
      <c r="M3830" t="n">
        <v>0</v>
      </c>
      <c r="N3830" t="n">
        <v>0</v>
      </c>
      <c r="O3830" t="n">
        <v>0</v>
      </c>
      <c r="P3830" t="n">
        <v>0</v>
      </c>
      <c r="Q3830" t="n">
        <v>0</v>
      </c>
      <c r="R3830" s="2" t="inlineStr"/>
    </row>
    <row r="3831" ht="15" customHeight="1">
      <c r="A3831" t="inlineStr">
        <is>
          <t>A 19272-2023</t>
        </is>
      </c>
      <c r="B3831" s="1" t="n">
        <v>45049</v>
      </c>
      <c r="C3831" s="1" t="n">
        <v>45846</v>
      </c>
      <c r="D3831" t="inlineStr">
        <is>
          <t>UPPSALA LÄN</t>
        </is>
      </c>
      <c r="E3831" t="inlineStr">
        <is>
          <t>UPPSALA</t>
        </is>
      </c>
      <c r="G3831" t="n">
        <v>4.9</v>
      </c>
      <c r="H3831" t="n">
        <v>0</v>
      </c>
      <c r="I3831" t="n">
        <v>0</v>
      </c>
      <c r="J3831" t="n">
        <v>0</v>
      </c>
      <c r="K3831" t="n">
        <v>0</v>
      </c>
      <c r="L3831" t="n">
        <v>0</v>
      </c>
      <c r="M3831" t="n">
        <v>0</v>
      </c>
      <c r="N3831" t="n">
        <v>0</v>
      </c>
      <c r="O3831" t="n">
        <v>0</v>
      </c>
      <c r="P3831" t="n">
        <v>0</v>
      </c>
      <c r="Q3831" t="n">
        <v>0</v>
      </c>
      <c r="R3831" s="2" t="inlineStr"/>
    </row>
    <row r="3832" ht="15" customHeight="1">
      <c r="A3832" t="inlineStr">
        <is>
          <t>A 19276-2023</t>
        </is>
      </c>
      <c r="B3832" s="1" t="n">
        <v>45049</v>
      </c>
      <c r="C3832" s="1" t="n">
        <v>45846</v>
      </c>
      <c r="D3832" t="inlineStr">
        <is>
          <t>UPPSALA LÄN</t>
        </is>
      </c>
      <c r="E3832" t="inlineStr">
        <is>
          <t>UPPSALA</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19317-2023</t>
        </is>
      </c>
      <c r="B3833" s="1" t="n">
        <v>45049</v>
      </c>
      <c r="C3833" s="1" t="n">
        <v>45846</v>
      </c>
      <c r="D3833" t="inlineStr">
        <is>
          <t>UPPSALA LÄN</t>
        </is>
      </c>
      <c r="E3833" t="inlineStr">
        <is>
          <t>UPPSALA</t>
        </is>
      </c>
      <c r="G3833" t="n">
        <v>15.4</v>
      </c>
      <c r="H3833" t="n">
        <v>0</v>
      </c>
      <c r="I3833" t="n">
        <v>0</v>
      </c>
      <c r="J3833" t="n">
        <v>0</v>
      </c>
      <c r="K3833" t="n">
        <v>0</v>
      </c>
      <c r="L3833" t="n">
        <v>0</v>
      </c>
      <c r="M3833" t="n">
        <v>0</v>
      </c>
      <c r="N3833" t="n">
        <v>0</v>
      </c>
      <c r="O3833" t="n">
        <v>0</v>
      </c>
      <c r="P3833" t="n">
        <v>0</v>
      </c>
      <c r="Q3833" t="n">
        <v>0</v>
      </c>
      <c r="R3833" s="2" t="inlineStr"/>
    </row>
    <row r="3834" ht="15" customHeight="1">
      <c r="A3834" t="inlineStr">
        <is>
          <t>A 19409-2023</t>
        </is>
      </c>
      <c r="B3834" s="1" t="n">
        <v>45049</v>
      </c>
      <c r="C3834" s="1" t="n">
        <v>45846</v>
      </c>
      <c r="D3834" t="inlineStr">
        <is>
          <t>UPPSALA LÄN</t>
        </is>
      </c>
      <c r="E3834" t="inlineStr">
        <is>
          <t>UPPSALA</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19415-2023</t>
        </is>
      </c>
      <c r="B3835" s="1" t="n">
        <v>45049</v>
      </c>
      <c r="C3835" s="1" t="n">
        <v>45846</v>
      </c>
      <c r="D3835" t="inlineStr">
        <is>
          <t>UPPSALA LÄN</t>
        </is>
      </c>
      <c r="E3835" t="inlineStr">
        <is>
          <t>ENKÖPING</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19455-2023</t>
        </is>
      </c>
      <c r="B3836" s="1" t="n">
        <v>45050</v>
      </c>
      <c r="C3836" s="1" t="n">
        <v>45846</v>
      </c>
      <c r="D3836" t="inlineStr">
        <is>
          <t>UPPSALA LÄN</t>
        </is>
      </c>
      <c r="E3836" t="inlineStr">
        <is>
          <t>UPPSALA</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19515-2023</t>
        </is>
      </c>
      <c r="B3837" s="1" t="n">
        <v>45050</v>
      </c>
      <c r="C3837" s="1" t="n">
        <v>45846</v>
      </c>
      <c r="D3837" t="inlineStr">
        <is>
          <t>UPPSALA LÄN</t>
        </is>
      </c>
      <c r="E3837" t="inlineStr">
        <is>
          <t>UPPSALA</t>
        </is>
      </c>
      <c r="G3837" t="n">
        <v>11.2</v>
      </c>
      <c r="H3837" t="n">
        <v>0</v>
      </c>
      <c r="I3837" t="n">
        <v>0</v>
      </c>
      <c r="J3837" t="n">
        <v>0</v>
      </c>
      <c r="K3837" t="n">
        <v>0</v>
      </c>
      <c r="L3837" t="n">
        <v>0</v>
      </c>
      <c r="M3837" t="n">
        <v>0</v>
      </c>
      <c r="N3837" t="n">
        <v>0</v>
      </c>
      <c r="O3837" t="n">
        <v>0</v>
      </c>
      <c r="P3837" t="n">
        <v>0</v>
      </c>
      <c r="Q3837" t="n">
        <v>0</v>
      </c>
      <c r="R3837" s="2" t="inlineStr"/>
    </row>
    <row r="3838" ht="15" customHeight="1">
      <c r="A3838" t="inlineStr">
        <is>
          <t>A 19447-2023</t>
        </is>
      </c>
      <c r="B3838" s="1" t="n">
        <v>45050</v>
      </c>
      <c r="C3838" s="1" t="n">
        <v>45846</v>
      </c>
      <c r="D3838" t="inlineStr">
        <is>
          <t>UPPSALA LÄN</t>
        </is>
      </c>
      <c r="E3838" t="inlineStr">
        <is>
          <t>UPPSALA</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19454-2023</t>
        </is>
      </c>
      <c r="B3839" s="1" t="n">
        <v>45050</v>
      </c>
      <c r="C3839" s="1" t="n">
        <v>45846</v>
      </c>
      <c r="D3839" t="inlineStr">
        <is>
          <t>UPPSALA LÄN</t>
        </is>
      </c>
      <c r="E3839" t="inlineStr">
        <is>
          <t>HEBY</t>
        </is>
      </c>
      <c r="F3839" t="inlineStr">
        <is>
          <t>Kyrkan</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19513-2023</t>
        </is>
      </c>
      <c r="B3840" s="1" t="n">
        <v>45050</v>
      </c>
      <c r="C3840" s="1" t="n">
        <v>45846</v>
      </c>
      <c r="D3840" t="inlineStr">
        <is>
          <t>UPPSALA LÄN</t>
        </is>
      </c>
      <c r="E3840" t="inlineStr">
        <is>
          <t>UPPSALA</t>
        </is>
      </c>
      <c r="G3840" t="n">
        <v>6.6</v>
      </c>
      <c r="H3840" t="n">
        <v>0</v>
      </c>
      <c r="I3840" t="n">
        <v>0</v>
      </c>
      <c r="J3840" t="n">
        <v>0</v>
      </c>
      <c r="K3840" t="n">
        <v>0</v>
      </c>
      <c r="L3840" t="n">
        <v>0</v>
      </c>
      <c r="M3840" t="n">
        <v>0</v>
      </c>
      <c r="N3840" t="n">
        <v>0</v>
      </c>
      <c r="O3840" t="n">
        <v>0</v>
      </c>
      <c r="P3840" t="n">
        <v>0</v>
      </c>
      <c r="Q3840" t="n">
        <v>0</v>
      </c>
      <c r="R3840" s="2" t="inlineStr"/>
    </row>
    <row r="3841" ht="15" customHeight="1">
      <c r="A3841" t="inlineStr">
        <is>
          <t>A 19516-2023</t>
        </is>
      </c>
      <c r="B3841" s="1" t="n">
        <v>45050</v>
      </c>
      <c r="C3841" s="1" t="n">
        <v>45846</v>
      </c>
      <c r="D3841" t="inlineStr">
        <is>
          <t>UPPSALA LÄN</t>
        </is>
      </c>
      <c r="E3841" t="inlineStr">
        <is>
          <t>UPPSALA</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19741-2023</t>
        </is>
      </c>
      <c r="B3842" s="1" t="n">
        <v>45050</v>
      </c>
      <c r="C3842" s="1" t="n">
        <v>45846</v>
      </c>
      <c r="D3842" t="inlineStr">
        <is>
          <t>UPPSALA LÄN</t>
        </is>
      </c>
      <c r="E3842" t="inlineStr">
        <is>
          <t>HEBY</t>
        </is>
      </c>
      <c r="F3842" t="inlineStr">
        <is>
          <t>Bergvik skog väst AB</t>
        </is>
      </c>
      <c r="G3842" t="n">
        <v>7.3</v>
      </c>
      <c r="H3842" t="n">
        <v>0</v>
      </c>
      <c r="I3842" t="n">
        <v>0</v>
      </c>
      <c r="J3842" t="n">
        <v>0</v>
      </c>
      <c r="K3842" t="n">
        <v>0</v>
      </c>
      <c r="L3842" t="n">
        <v>0</v>
      </c>
      <c r="M3842" t="n">
        <v>0</v>
      </c>
      <c r="N3842" t="n">
        <v>0</v>
      </c>
      <c r="O3842" t="n">
        <v>0</v>
      </c>
      <c r="P3842" t="n">
        <v>0</v>
      </c>
      <c r="Q3842" t="n">
        <v>0</v>
      </c>
      <c r="R3842" s="2" t="inlineStr"/>
    </row>
    <row r="3843" ht="15" customHeight="1">
      <c r="A3843" t="inlineStr">
        <is>
          <t>A 19718-2023</t>
        </is>
      </c>
      <c r="B3843" s="1" t="n">
        <v>45050</v>
      </c>
      <c r="C3843" s="1" t="n">
        <v>45846</v>
      </c>
      <c r="D3843" t="inlineStr">
        <is>
          <t>UPPSALA LÄN</t>
        </is>
      </c>
      <c r="E3843" t="inlineStr">
        <is>
          <t>HEBY</t>
        </is>
      </c>
      <c r="F3843" t="inlineStr">
        <is>
          <t>Bergvik skog väst AB</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19751-2023</t>
        </is>
      </c>
      <c r="B3844" s="1" t="n">
        <v>45050</v>
      </c>
      <c r="C3844" s="1" t="n">
        <v>45846</v>
      </c>
      <c r="D3844" t="inlineStr">
        <is>
          <t>UPPSALA LÄN</t>
        </is>
      </c>
      <c r="E3844" t="inlineStr">
        <is>
          <t>HEBY</t>
        </is>
      </c>
      <c r="F3844" t="inlineStr">
        <is>
          <t>Bergvik skog väst AB</t>
        </is>
      </c>
      <c r="G3844" t="n">
        <v>2.3</v>
      </c>
      <c r="H3844" t="n">
        <v>0</v>
      </c>
      <c r="I3844" t="n">
        <v>0</v>
      </c>
      <c r="J3844" t="n">
        <v>0</v>
      </c>
      <c r="K3844" t="n">
        <v>0</v>
      </c>
      <c r="L3844" t="n">
        <v>0</v>
      </c>
      <c r="M3844" t="n">
        <v>0</v>
      </c>
      <c r="N3844" t="n">
        <v>0</v>
      </c>
      <c r="O3844" t="n">
        <v>0</v>
      </c>
      <c r="P3844" t="n">
        <v>0</v>
      </c>
      <c r="Q3844" t="n">
        <v>0</v>
      </c>
      <c r="R3844" s="2" t="inlineStr"/>
      <c r="U3844">
        <f>HYPERLINK("https://klasma.github.io/Logging_0331/knärot/A 19751-2023 karta knärot.png", "A 19751-2023")</f>
        <v/>
      </c>
      <c r="V3844">
        <f>HYPERLINK("https://klasma.github.io/Logging_0331/klagomål/A 19751-2023 FSC-klagomål.docx", "A 19751-2023")</f>
        <v/>
      </c>
      <c r="W3844">
        <f>HYPERLINK("https://klasma.github.io/Logging_0331/klagomålsmail/A 19751-2023 FSC-klagomål mail.docx", "A 19751-2023")</f>
        <v/>
      </c>
      <c r="X3844">
        <f>HYPERLINK("https://klasma.github.io/Logging_0331/tillsyn/A 19751-2023 tillsynsbegäran.docx", "A 19751-2023")</f>
        <v/>
      </c>
      <c r="Y3844">
        <f>HYPERLINK("https://klasma.github.io/Logging_0331/tillsynsmail/A 19751-2023 tillsynsbegäran mail.docx", "A 19751-2023")</f>
        <v/>
      </c>
    </row>
    <row r="3845" ht="15" customHeight="1">
      <c r="A3845" t="inlineStr">
        <is>
          <t>A 19764-2023</t>
        </is>
      </c>
      <c r="B3845" s="1" t="n">
        <v>45050</v>
      </c>
      <c r="C3845" s="1" t="n">
        <v>45846</v>
      </c>
      <c r="D3845" t="inlineStr">
        <is>
          <t>UPPSALA LÄN</t>
        </is>
      </c>
      <c r="E3845" t="inlineStr">
        <is>
          <t>HEBY</t>
        </is>
      </c>
      <c r="F3845" t="inlineStr">
        <is>
          <t>Bergvik skog väst AB</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19754-2023</t>
        </is>
      </c>
      <c r="B3846" s="1" t="n">
        <v>45050</v>
      </c>
      <c r="C3846" s="1" t="n">
        <v>45846</v>
      </c>
      <c r="D3846" t="inlineStr">
        <is>
          <t>UPPSALA LÄN</t>
        </is>
      </c>
      <c r="E3846" t="inlineStr">
        <is>
          <t>HEBY</t>
        </is>
      </c>
      <c r="F3846" t="inlineStr">
        <is>
          <t>Bergvik skog väst AB</t>
        </is>
      </c>
      <c r="G3846" t="n">
        <v>10.4</v>
      </c>
      <c r="H3846" t="n">
        <v>0</v>
      </c>
      <c r="I3846" t="n">
        <v>0</v>
      </c>
      <c r="J3846" t="n">
        <v>0</v>
      </c>
      <c r="K3846" t="n">
        <v>0</v>
      </c>
      <c r="L3846" t="n">
        <v>0</v>
      </c>
      <c r="M3846" t="n">
        <v>0</v>
      </c>
      <c r="N3846" t="n">
        <v>0</v>
      </c>
      <c r="O3846" t="n">
        <v>0</v>
      </c>
      <c r="P3846" t="n">
        <v>0</v>
      </c>
      <c r="Q3846" t="n">
        <v>0</v>
      </c>
      <c r="R3846" s="2" t="inlineStr"/>
    </row>
    <row r="3847" ht="15" customHeight="1">
      <c r="A3847" t="inlineStr">
        <is>
          <t>A 19737-2023</t>
        </is>
      </c>
      <c r="B3847" s="1" t="n">
        <v>45050</v>
      </c>
      <c r="C3847" s="1" t="n">
        <v>45846</v>
      </c>
      <c r="D3847" t="inlineStr">
        <is>
          <t>UPPSALA LÄN</t>
        </is>
      </c>
      <c r="E3847" t="inlineStr">
        <is>
          <t>HEBY</t>
        </is>
      </c>
      <c r="F3847" t="inlineStr">
        <is>
          <t>Bergvik skog väst AB</t>
        </is>
      </c>
      <c r="G3847" t="n">
        <v>10.4</v>
      </c>
      <c r="H3847" t="n">
        <v>0</v>
      </c>
      <c r="I3847" t="n">
        <v>0</v>
      </c>
      <c r="J3847" t="n">
        <v>0</v>
      </c>
      <c r="K3847" t="n">
        <v>0</v>
      </c>
      <c r="L3847" t="n">
        <v>0</v>
      </c>
      <c r="M3847" t="n">
        <v>0</v>
      </c>
      <c r="N3847" t="n">
        <v>0</v>
      </c>
      <c r="O3847" t="n">
        <v>0</v>
      </c>
      <c r="P3847" t="n">
        <v>0</v>
      </c>
      <c r="Q3847" t="n">
        <v>0</v>
      </c>
      <c r="R3847" s="2" t="inlineStr"/>
    </row>
    <row r="3848" ht="15" customHeight="1">
      <c r="A3848" t="inlineStr">
        <is>
          <t>A 19791-2023</t>
        </is>
      </c>
      <c r="B3848" s="1" t="n">
        <v>45051</v>
      </c>
      <c r="C3848" s="1" t="n">
        <v>45846</v>
      </c>
      <c r="D3848" t="inlineStr">
        <is>
          <t>UPPSALA LÄN</t>
        </is>
      </c>
      <c r="E3848" t="inlineStr">
        <is>
          <t>TIERP</t>
        </is>
      </c>
      <c r="G3848" t="n">
        <v>8.1</v>
      </c>
      <c r="H3848" t="n">
        <v>0</v>
      </c>
      <c r="I3848" t="n">
        <v>0</v>
      </c>
      <c r="J3848" t="n">
        <v>0</v>
      </c>
      <c r="K3848" t="n">
        <v>0</v>
      </c>
      <c r="L3848" t="n">
        <v>0</v>
      </c>
      <c r="M3848" t="n">
        <v>0</v>
      </c>
      <c r="N3848" t="n">
        <v>0</v>
      </c>
      <c r="O3848" t="n">
        <v>0</v>
      </c>
      <c r="P3848" t="n">
        <v>0</v>
      </c>
      <c r="Q3848" t="n">
        <v>0</v>
      </c>
      <c r="R3848" s="2" t="inlineStr"/>
    </row>
    <row r="3849" ht="15" customHeight="1">
      <c r="A3849" t="inlineStr">
        <is>
          <t>A 19784-2023</t>
        </is>
      </c>
      <c r="B3849" s="1" t="n">
        <v>45051</v>
      </c>
      <c r="C3849" s="1" t="n">
        <v>45846</v>
      </c>
      <c r="D3849" t="inlineStr">
        <is>
          <t>UPPSALA LÄN</t>
        </is>
      </c>
      <c r="E3849" t="inlineStr">
        <is>
          <t>ÖSTHAMMAR</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19801-2023</t>
        </is>
      </c>
      <c r="B3850" s="1" t="n">
        <v>45051</v>
      </c>
      <c r="C3850" s="1" t="n">
        <v>45846</v>
      </c>
      <c r="D3850" t="inlineStr">
        <is>
          <t>UPPSALA LÄN</t>
        </is>
      </c>
      <c r="E3850" t="inlineStr">
        <is>
          <t>ÖSTHAMMAR</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19920-2023</t>
        </is>
      </c>
      <c r="B3851" s="1" t="n">
        <v>45054</v>
      </c>
      <c r="C3851" s="1" t="n">
        <v>45846</v>
      </c>
      <c r="D3851" t="inlineStr">
        <is>
          <t>UPPSALA LÄN</t>
        </is>
      </c>
      <c r="E3851" t="inlineStr">
        <is>
          <t>UPPSALA</t>
        </is>
      </c>
      <c r="G3851" t="n">
        <v>5.6</v>
      </c>
      <c r="H3851" t="n">
        <v>0</v>
      </c>
      <c r="I3851" t="n">
        <v>0</v>
      </c>
      <c r="J3851" t="n">
        <v>0</v>
      </c>
      <c r="K3851" t="n">
        <v>0</v>
      </c>
      <c r="L3851" t="n">
        <v>0</v>
      </c>
      <c r="M3851" t="n">
        <v>0</v>
      </c>
      <c r="N3851" t="n">
        <v>0</v>
      </c>
      <c r="O3851" t="n">
        <v>0</v>
      </c>
      <c r="P3851" t="n">
        <v>0</v>
      </c>
      <c r="Q3851" t="n">
        <v>0</v>
      </c>
      <c r="R3851" s="2" t="inlineStr"/>
    </row>
    <row r="3852" ht="15" customHeight="1">
      <c r="A3852" t="inlineStr">
        <is>
          <t>A 19968-2023</t>
        </is>
      </c>
      <c r="B3852" s="1" t="n">
        <v>45054</v>
      </c>
      <c r="C3852" s="1" t="n">
        <v>45846</v>
      </c>
      <c r="D3852" t="inlineStr">
        <is>
          <t>UPPSALA LÄN</t>
        </is>
      </c>
      <c r="E3852" t="inlineStr">
        <is>
          <t>ÖSTHAMMAR</t>
        </is>
      </c>
      <c r="G3852" t="n">
        <v>5.8</v>
      </c>
      <c r="H3852" t="n">
        <v>0</v>
      </c>
      <c r="I3852" t="n">
        <v>0</v>
      </c>
      <c r="J3852" t="n">
        <v>0</v>
      </c>
      <c r="K3852" t="n">
        <v>0</v>
      </c>
      <c r="L3852" t="n">
        <v>0</v>
      </c>
      <c r="M3852" t="n">
        <v>0</v>
      </c>
      <c r="N3852" t="n">
        <v>0</v>
      </c>
      <c r="O3852" t="n">
        <v>0</v>
      </c>
      <c r="P3852" t="n">
        <v>0</v>
      </c>
      <c r="Q3852" t="n">
        <v>0</v>
      </c>
      <c r="R3852" s="2" t="inlineStr"/>
    </row>
    <row r="3853" ht="15" customHeight="1">
      <c r="A3853" t="inlineStr">
        <is>
          <t>A 20038-2023</t>
        </is>
      </c>
      <c r="B3853" s="1" t="n">
        <v>45054</v>
      </c>
      <c r="C3853" s="1" t="n">
        <v>45846</v>
      </c>
      <c r="D3853" t="inlineStr">
        <is>
          <t>UPPSALA LÄN</t>
        </is>
      </c>
      <c r="E3853" t="inlineStr">
        <is>
          <t>ÖSTHAMMAR</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20046-2023</t>
        </is>
      </c>
      <c r="B3854" s="1" t="n">
        <v>45054</v>
      </c>
      <c r="C3854" s="1" t="n">
        <v>45846</v>
      </c>
      <c r="D3854" t="inlineStr">
        <is>
          <t>UPPSALA LÄN</t>
        </is>
      </c>
      <c r="E3854" t="inlineStr">
        <is>
          <t>ÖSTHAMMAR</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20087-2023</t>
        </is>
      </c>
      <c r="B3855" s="1" t="n">
        <v>45055</v>
      </c>
      <c r="C3855" s="1" t="n">
        <v>45846</v>
      </c>
      <c r="D3855" t="inlineStr">
        <is>
          <t>UPPSALA LÄN</t>
        </is>
      </c>
      <c r="E3855" t="inlineStr">
        <is>
          <t>UPPSALA</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20102-2023</t>
        </is>
      </c>
      <c r="B3856" s="1" t="n">
        <v>45055</v>
      </c>
      <c r="C3856" s="1" t="n">
        <v>45846</v>
      </c>
      <c r="D3856" t="inlineStr">
        <is>
          <t>UPPSALA LÄN</t>
        </is>
      </c>
      <c r="E3856" t="inlineStr">
        <is>
          <t>UPPSALA</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20029-2023</t>
        </is>
      </c>
      <c r="B3857" s="1" t="n">
        <v>45054</v>
      </c>
      <c r="C3857" s="1" t="n">
        <v>45846</v>
      </c>
      <c r="D3857" t="inlineStr">
        <is>
          <t>UPPSALA LÄN</t>
        </is>
      </c>
      <c r="E3857" t="inlineStr">
        <is>
          <t>ÖSTHAMMAR</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20431-2023</t>
        </is>
      </c>
      <c r="B3858" s="1" t="n">
        <v>45054</v>
      </c>
      <c r="C3858" s="1" t="n">
        <v>45846</v>
      </c>
      <c r="D3858" t="inlineStr">
        <is>
          <t>UPPSALA LÄN</t>
        </is>
      </c>
      <c r="E3858" t="inlineStr">
        <is>
          <t>ENKÖPING</t>
        </is>
      </c>
      <c r="F3858" t="inlineStr">
        <is>
          <t>Övriga statliga verk och myndigheter</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20105-2023</t>
        </is>
      </c>
      <c r="B3859" s="1" t="n">
        <v>45055</v>
      </c>
      <c r="C3859" s="1" t="n">
        <v>45846</v>
      </c>
      <c r="D3859" t="inlineStr">
        <is>
          <t>UPPSALA LÄN</t>
        </is>
      </c>
      <c r="E3859" t="inlineStr">
        <is>
          <t>UPPSALA</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20179-2023</t>
        </is>
      </c>
      <c r="B3860" s="1" t="n">
        <v>45055</v>
      </c>
      <c r="C3860" s="1" t="n">
        <v>45846</v>
      </c>
      <c r="D3860" t="inlineStr">
        <is>
          <t>UPPSALA LÄN</t>
        </is>
      </c>
      <c r="E3860" t="inlineStr">
        <is>
          <t>ENKÖPING</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20184-2023</t>
        </is>
      </c>
      <c r="B3861" s="1" t="n">
        <v>45055</v>
      </c>
      <c r="C3861" s="1" t="n">
        <v>45846</v>
      </c>
      <c r="D3861" t="inlineStr">
        <is>
          <t>UPPSALA LÄN</t>
        </is>
      </c>
      <c r="E3861" t="inlineStr">
        <is>
          <t>ENKÖPING</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20188-2023</t>
        </is>
      </c>
      <c r="B3862" s="1" t="n">
        <v>45055</v>
      </c>
      <c r="C3862" s="1" t="n">
        <v>45846</v>
      </c>
      <c r="D3862" t="inlineStr">
        <is>
          <t>UPPSALA LÄN</t>
        </is>
      </c>
      <c r="E3862" t="inlineStr">
        <is>
          <t>ENKÖPING</t>
        </is>
      </c>
      <c r="G3862" t="n">
        <v>4.9</v>
      </c>
      <c r="H3862" t="n">
        <v>0</v>
      </c>
      <c r="I3862" t="n">
        <v>0</v>
      </c>
      <c r="J3862" t="n">
        <v>0</v>
      </c>
      <c r="K3862" t="n">
        <v>0</v>
      </c>
      <c r="L3862" t="n">
        <v>0</v>
      </c>
      <c r="M3862" t="n">
        <v>0</v>
      </c>
      <c r="N3862" t="n">
        <v>0</v>
      </c>
      <c r="O3862" t="n">
        <v>0</v>
      </c>
      <c r="P3862" t="n">
        <v>0</v>
      </c>
      <c r="Q3862" t="n">
        <v>0</v>
      </c>
      <c r="R3862" s="2" t="inlineStr"/>
    </row>
    <row r="3863" ht="15" customHeight="1">
      <c r="A3863" t="inlineStr">
        <is>
          <t>A 20201-2023</t>
        </is>
      </c>
      <c r="B3863" s="1" t="n">
        <v>45055</v>
      </c>
      <c r="C3863" s="1" t="n">
        <v>45846</v>
      </c>
      <c r="D3863" t="inlineStr">
        <is>
          <t>UPPSALA LÄN</t>
        </is>
      </c>
      <c r="E3863" t="inlineStr">
        <is>
          <t>ENKÖPING</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20206-2023</t>
        </is>
      </c>
      <c r="B3864" s="1" t="n">
        <v>45055</v>
      </c>
      <c r="C3864" s="1" t="n">
        <v>45846</v>
      </c>
      <c r="D3864" t="inlineStr">
        <is>
          <t>UPPSALA LÄN</t>
        </is>
      </c>
      <c r="E3864" t="inlineStr">
        <is>
          <t>UPPSALA</t>
        </is>
      </c>
      <c r="G3864" t="n">
        <v>5.7</v>
      </c>
      <c r="H3864" t="n">
        <v>0</v>
      </c>
      <c r="I3864" t="n">
        <v>0</v>
      </c>
      <c r="J3864" t="n">
        <v>0</v>
      </c>
      <c r="K3864" t="n">
        <v>0</v>
      </c>
      <c r="L3864" t="n">
        <v>0</v>
      </c>
      <c r="M3864" t="n">
        <v>0</v>
      </c>
      <c r="N3864" t="n">
        <v>0</v>
      </c>
      <c r="O3864" t="n">
        <v>0</v>
      </c>
      <c r="P3864" t="n">
        <v>0</v>
      </c>
      <c r="Q3864" t="n">
        <v>0</v>
      </c>
      <c r="R3864" s="2" t="inlineStr"/>
    </row>
    <row r="3865" ht="15" customHeight="1">
      <c r="A3865" t="inlineStr">
        <is>
          <t>A 20116-2023</t>
        </is>
      </c>
      <c r="B3865" s="1" t="n">
        <v>45055</v>
      </c>
      <c r="C3865" s="1" t="n">
        <v>45846</v>
      </c>
      <c r="D3865" t="inlineStr">
        <is>
          <t>UPPSALA LÄN</t>
        </is>
      </c>
      <c r="E3865" t="inlineStr">
        <is>
          <t>TIERP</t>
        </is>
      </c>
      <c r="G3865" t="n">
        <v>8.9</v>
      </c>
      <c r="H3865" t="n">
        <v>0</v>
      </c>
      <c r="I3865" t="n">
        <v>0</v>
      </c>
      <c r="J3865" t="n">
        <v>0</v>
      </c>
      <c r="K3865" t="n">
        <v>0</v>
      </c>
      <c r="L3865" t="n">
        <v>0</v>
      </c>
      <c r="M3865" t="n">
        <v>0</v>
      </c>
      <c r="N3865" t="n">
        <v>0</v>
      </c>
      <c r="O3865" t="n">
        <v>0</v>
      </c>
      <c r="P3865" t="n">
        <v>0</v>
      </c>
      <c r="Q3865" t="n">
        <v>0</v>
      </c>
      <c r="R3865" s="2" t="inlineStr"/>
    </row>
    <row r="3866" ht="15" customHeight="1">
      <c r="A3866" t="inlineStr">
        <is>
          <t>A 20181-2023</t>
        </is>
      </c>
      <c r="B3866" s="1" t="n">
        <v>45055</v>
      </c>
      <c r="C3866" s="1" t="n">
        <v>45846</v>
      </c>
      <c r="D3866" t="inlineStr">
        <is>
          <t>UPPSALA LÄN</t>
        </is>
      </c>
      <c r="E3866" t="inlineStr">
        <is>
          <t>ENKÖPING</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20186-2023</t>
        </is>
      </c>
      <c r="B3867" s="1" t="n">
        <v>45055</v>
      </c>
      <c r="C3867" s="1" t="n">
        <v>45846</v>
      </c>
      <c r="D3867" t="inlineStr">
        <is>
          <t>UPPSALA LÄN</t>
        </is>
      </c>
      <c r="E3867" t="inlineStr">
        <is>
          <t>ENKÖPING</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20199-2023</t>
        </is>
      </c>
      <c r="B3868" s="1" t="n">
        <v>45055</v>
      </c>
      <c r="C3868" s="1" t="n">
        <v>45846</v>
      </c>
      <c r="D3868" t="inlineStr">
        <is>
          <t>UPPSALA LÄN</t>
        </is>
      </c>
      <c r="E3868" t="inlineStr">
        <is>
          <t>ENKÖPING</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20261-2023</t>
        </is>
      </c>
      <c r="B3869" s="1" t="n">
        <v>45055</v>
      </c>
      <c r="C3869" s="1" t="n">
        <v>45846</v>
      </c>
      <c r="D3869" t="inlineStr">
        <is>
          <t>UPPSALA LÄN</t>
        </is>
      </c>
      <c r="E3869" t="inlineStr">
        <is>
          <t>ENKÖPING</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20438-2023</t>
        </is>
      </c>
      <c r="B3870" s="1" t="n">
        <v>45056</v>
      </c>
      <c r="C3870" s="1" t="n">
        <v>45846</v>
      </c>
      <c r="D3870" t="inlineStr">
        <is>
          <t>UPPSALA LÄN</t>
        </is>
      </c>
      <c r="E3870" t="inlineStr">
        <is>
          <t>UPPSALA</t>
        </is>
      </c>
      <c r="F3870" t="inlineStr">
        <is>
          <t>Holmen skog AB</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20366-2023</t>
        </is>
      </c>
      <c r="B3871" s="1" t="n">
        <v>45056</v>
      </c>
      <c r="C3871" s="1" t="n">
        <v>45846</v>
      </c>
      <c r="D3871" t="inlineStr">
        <is>
          <t>UPPSALA LÄN</t>
        </is>
      </c>
      <c r="E3871" t="inlineStr">
        <is>
          <t>ÖSTHAMMAR</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20440-2023</t>
        </is>
      </c>
      <c r="B3872" s="1" t="n">
        <v>45056</v>
      </c>
      <c r="C3872" s="1" t="n">
        <v>45846</v>
      </c>
      <c r="D3872" t="inlineStr">
        <is>
          <t>UPPSALA LÄN</t>
        </is>
      </c>
      <c r="E3872" t="inlineStr">
        <is>
          <t>UPPSALA</t>
        </is>
      </c>
      <c r="F3872" t="inlineStr">
        <is>
          <t>Holmen skog AB</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20396-2023</t>
        </is>
      </c>
      <c r="B3873" s="1" t="n">
        <v>45056</v>
      </c>
      <c r="C3873" s="1" t="n">
        <v>45846</v>
      </c>
      <c r="D3873" t="inlineStr">
        <is>
          <t>UPPSALA LÄN</t>
        </is>
      </c>
      <c r="E3873" t="inlineStr">
        <is>
          <t>ENKÖPING</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20845-2023</t>
        </is>
      </c>
      <c r="B3874" s="1" t="n">
        <v>45056</v>
      </c>
      <c r="C3874" s="1" t="n">
        <v>45846</v>
      </c>
      <c r="D3874" t="inlineStr">
        <is>
          <t>UPPSALA LÄN</t>
        </is>
      </c>
      <c r="E3874" t="inlineStr">
        <is>
          <t>ENKÖPING</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20437-2023</t>
        </is>
      </c>
      <c r="B3875" s="1" t="n">
        <v>45056</v>
      </c>
      <c r="C3875" s="1" t="n">
        <v>45846</v>
      </c>
      <c r="D3875" t="inlineStr">
        <is>
          <t>UPPSALA LÄN</t>
        </is>
      </c>
      <c r="E3875" t="inlineStr">
        <is>
          <t>UPPSALA</t>
        </is>
      </c>
      <c r="F3875" t="inlineStr">
        <is>
          <t>Holmen skog AB</t>
        </is>
      </c>
      <c r="G3875" t="n">
        <v>20.1</v>
      </c>
      <c r="H3875" t="n">
        <v>0</v>
      </c>
      <c r="I3875" t="n">
        <v>0</v>
      </c>
      <c r="J3875" t="n">
        <v>0</v>
      </c>
      <c r="K3875" t="n">
        <v>0</v>
      </c>
      <c r="L3875" t="n">
        <v>0</v>
      </c>
      <c r="M3875" t="n">
        <v>0</v>
      </c>
      <c r="N3875" t="n">
        <v>0</v>
      </c>
      <c r="O3875" t="n">
        <v>0</v>
      </c>
      <c r="P3875" t="n">
        <v>0</v>
      </c>
      <c r="Q3875" t="n">
        <v>0</v>
      </c>
      <c r="R3875" s="2" t="inlineStr"/>
    </row>
    <row r="3876" ht="15" customHeight="1">
      <c r="A3876" t="inlineStr">
        <is>
          <t>A 20508-2023</t>
        </is>
      </c>
      <c r="B3876" s="1" t="n">
        <v>45057</v>
      </c>
      <c r="C3876" s="1" t="n">
        <v>45846</v>
      </c>
      <c r="D3876" t="inlineStr">
        <is>
          <t>UPPSALA LÄN</t>
        </is>
      </c>
      <c r="E3876" t="inlineStr">
        <is>
          <t>TIERP</t>
        </is>
      </c>
      <c r="F3876" t="inlineStr">
        <is>
          <t>Bergvik skog öst AB</t>
        </is>
      </c>
      <c r="G3876" t="n">
        <v>7.5</v>
      </c>
      <c r="H3876" t="n">
        <v>0</v>
      </c>
      <c r="I3876" t="n">
        <v>0</v>
      </c>
      <c r="J3876" t="n">
        <v>0</v>
      </c>
      <c r="K3876" t="n">
        <v>0</v>
      </c>
      <c r="L3876" t="n">
        <v>0</v>
      </c>
      <c r="M3876" t="n">
        <v>0</v>
      </c>
      <c r="N3876" t="n">
        <v>0</v>
      </c>
      <c r="O3876" t="n">
        <v>0</v>
      </c>
      <c r="P3876" t="n">
        <v>0</v>
      </c>
      <c r="Q3876" t="n">
        <v>0</v>
      </c>
      <c r="R3876" s="2" t="inlineStr"/>
    </row>
    <row r="3877" ht="15" customHeight="1">
      <c r="A3877" t="inlineStr">
        <is>
          <t>A 20572-2023</t>
        </is>
      </c>
      <c r="B3877" s="1" t="n">
        <v>45057</v>
      </c>
      <c r="C3877" s="1" t="n">
        <v>45846</v>
      </c>
      <c r="D3877" t="inlineStr">
        <is>
          <t>UPPSALA LÄN</t>
        </is>
      </c>
      <c r="E3877" t="inlineStr">
        <is>
          <t>ÖSTHAMMAR</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20495-2023</t>
        </is>
      </c>
      <c r="B3878" s="1" t="n">
        <v>45057</v>
      </c>
      <c r="C3878" s="1" t="n">
        <v>45846</v>
      </c>
      <c r="D3878" t="inlineStr">
        <is>
          <t>UPPSALA LÄN</t>
        </is>
      </c>
      <c r="E3878" t="inlineStr">
        <is>
          <t>TIERP</t>
        </is>
      </c>
      <c r="G3878" t="n">
        <v>4.9</v>
      </c>
      <c r="H3878" t="n">
        <v>0</v>
      </c>
      <c r="I3878" t="n">
        <v>0</v>
      </c>
      <c r="J3878" t="n">
        <v>0</v>
      </c>
      <c r="K3878" t="n">
        <v>0</v>
      </c>
      <c r="L3878" t="n">
        <v>0</v>
      </c>
      <c r="M3878" t="n">
        <v>0</v>
      </c>
      <c r="N3878" t="n">
        <v>0</v>
      </c>
      <c r="O3878" t="n">
        <v>0</v>
      </c>
      <c r="P3878" t="n">
        <v>0</v>
      </c>
      <c r="Q3878" t="n">
        <v>0</v>
      </c>
      <c r="R3878" s="2" t="inlineStr"/>
    </row>
    <row r="3879" ht="15" customHeight="1">
      <c r="A3879" t="inlineStr">
        <is>
          <t>A 20496-2023</t>
        </is>
      </c>
      <c r="B3879" s="1" t="n">
        <v>45057</v>
      </c>
      <c r="C3879" s="1" t="n">
        <v>45846</v>
      </c>
      <c r="D3879" t="inlineStr">
        <is>
          <t>UPPSALA LÄN</t>
        </is>
      </c>
      <c r="E3879" t="inlineStr">
        <is>
          <t>TIERP</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20550-2023</t>
        </is>
      </c>
      <c r="B3880" s="1" t="n">
        <v>45057</v>
      </c>
      <c r="C3880" s="1" t="n">
        <v>45846</v>
      </c>
      <c r="D3880" t="inlineStr">
        <is>
          <t>UPPSALA LÄN</t>
        </is>
      </c>
      <c r="E3880" t="inlineStr">
        <is>
          <t>UPPSALA</t>
        </is>
      </c>
      <c r="F3880" t="inlineStr">
        <is>
          <t>Övriga Aktiebolag</t>
        </is>
      </c>
      <c r="G3880" t="n">
        <v>12.2</v>
      </c>
      <c r="H3880" t="n">
        <v>0</v>
      </c>
      <c r="I3880" t="n">
        <v>0</v>
      </c>
      <c r="J3880" t="n">
        <v>0</v>
      </c>
      <c r="K3880" t="n">
        <v>0</v>
      </c>
      <c r="L3880" t="n">
        <v>0</v>
      </c>
      <c r="M3880" t="n">
        <v>0</v>
      </c>
      <c r="N3880" t="n">
        <v>0</v>
      </c>
      <c r="O3880" t="n">
        <v>0</v>
      </c>
      <c r="P3880" t="n">
        <v>0</v>
      </c>
      <c r="Q3880" t="n">
        <v>0</v>
      </c>
      <c r="R3880" s="2" t="inlineStr"/>
    </row>
    <row r="3881" ht="15" customHeight="1">
      <c r="A3881" t="inlineStr">
        <is>
          <t>A 20657-2023</t>
        </is>
      </c>
      <c r="B3881" s="1" t="n">
        <v>45058</v>
      </c>
      <c r="C3881" s="1" t="n">
        <v>45846</v>
      </c>
      <c r="D3881" t="inlineStr">
        <is>
          <t>UPPSALA LÄN</t>
        </is>
      </c>
      <c r="E3881" t="inlineStr">
        <is>
          <t>ÖSTHAMMAR</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20664-2023</t>
        </is>
      </c>
      <c r="B3882" s="1" t="n">
        <v>45058</v>
      </c>
      <c r="C3882" s="1" t="n">
        <v>45846</v>
      </c>
      <c r="D3882" t="inlineStr">
        <is>
          <t>UPPSALA LÄN</t>
        </is>
      </c>
      <c r="E3882" t="inlineStr">
        <is>
          <t>ÖSTHAMMAR</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20748-2023</t>
        </is>
      </c>
      <c r="B3883" s="1" t="n">
        <v>45058</v>
      </c>
      <c r="C3883" s="1" t="n">
        <v>45846</v>
      </c>
      <c r="D3883" t="inlineStr">
        <is>
          <t>UPPSALA LÄN</t>
        </is>
      </c>
      <c r="E3883" t="inlineStr">
        <is>
          <t>TIERP</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20670-2023</t>
        </is>
      </c>
      <c r="B3884" s="1" t="n">
        <v>45058</v>
      </c>
      <c r="C3884" s="1" t="n">
        <v>45846</v>
      </c>
      <c r="D3884" t="inlineStr">
        <is>
          <t>UPPSALA LÄN</t>
        </is>
      </c>
      <c r="E3884" t="inlineStr">
        <is>
          <t>UPPSALA</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20680-2023</t>
        </is>
      </c>
      <c r="B3885" s="1" t="n">
        <v>45058</v>
      </c>
      <c r="C3885" s="1" t="n">
        <v>45846</v>
      </c>
      <c r="D3885" t="inlineStr">
        <is>
          <t>UPPSALA LÄN</t>
        </is>
      </c>
      <c r="E3885" t="inlineStr">
        <is>
          <t>ÖSTHAMMAR</t>
        </is>
      </c>
      <c r="F3885" t="inlineStr">
        <is>
          <t>Bergvik skog öst AB</t>
        </is>
      </c>
      <c r="G3885" t="n">
        <v>10.5</v>
      </c>
      <c r="H3885" t="n">
        <v>0</v>
      </c>
      <c r="I3885" t="n">
        <v>0</v>
      </c>
      <c r="J3885" t="n">
        <v>0</v>
      </c>
      <c r="K3885" t="n">
        <v>0</v>
      </c>
      <c r="L3885" t="n">
        <v>0</v>
      </c>
      <c r="M3885" t="n">
        <v>0</v>
      </c>
      <c r="N3885" t="n">
        <v>0</v>
      </c>
      <c r="O3885" t="n">
        <v>0</v>
      </c>
      <c r="P3885" t="n">
        <v>0</v>
      </c>
      <c r="Q3885" t="n">
        <v>0</v>
      </c>
      <c r="R3885" s="2" t="inlineStr"/>
    </row>
    <row r="3886" ht="15" customHeight="1">
      <c r="A3886" t="inlineStr">
        <is>
          <t>A 20692-2023</t>
        </is>
      </c>
      <c r="B3886" s="1" t="n">
        <v>45058</v>
      </c>
      <c r="C3886" s="1" t="n">
        <v>45846</v>
      </c>
      <c r="D3886" t="inlineStr">
        <is>
          <t>UPPSALA LÄN</t>
        </is>
      </c>
      <c r="E3886" t="inlineStr">
        <is>
          <t>UPPSALA</t>
        </is>
      </c>
      <c r="G3886" t="n">
        <v>7.9</v>
      </c>
      <c r="H3886" t="n">
        <v>0</v>
      </c>
      <c r="I3886" t="n">
        <v>0</v>
      </c>
      <c r="J3886" t="n">
        <v>0</v>
      </c>
      <c r="K3886" t="n">
        <v>0</v>
      </c>
      <c r="L3886" t="n">
        <v>0</v>
      </c>
      <c r="M3886" t="n">
        <v>0</v>
      </c>
      <c r="N3886" t="n">
        <v>0</v>
      </c>
      <c r="O3886" t="n">
        <v>0</v>
      </c>
      <c r="P3886" t="n">
        <v>0</v>
      </c>
      <c r="Q3886" t="n">
        <v>0</v>
      </c>
      <c r="R3886" s="2" t="inlineStr"/>
    </row>
    <row r="3887" ht="15" customHeight="1">
      <c r="A3887" t="inlineStr">
        <is>
          <t>A 20667-2023</t>
        </is>
      </c>
      <c r="B3887" s="1" t="n">
        <v>45058</v>
      </c>
      <c r="C3887" s="1" t="n">
        <v>45846</v>
      </c>
      <c r="D3887" t="inlineStr">
        <is>
          <t>UPPSALA LÄN</t>
        </is>
      </c>
      <c r="E3887" t="inlineStr">
        <is>
          <t>UPPSALA</t>
        </is>
      </c>
      <c r="G3887" t="n">
        <v>6.8</v>
      </c>
      <c r="H3887" t="n">
        <v>0</v>
      </c>
      <c r="I3887" t="n">
        <v>0</v>
      </c>
      <c r="J3887" t="n">
        <v>0</v>
      </c>
      <c r="K3887" t="n">
        <v>0</v>
      </c>
      <c r="L3887" t="n">
        <v>0</v>
      </c>
      <c r="M3887" t="n">
        <v>0</v>
      </c>
      <c r="N3887" t="n">
        <v>0</v>
      </c>
      <c r="O3887" t="n">
        <v>0</v>
      </c>
      <c r="P3887" t="n">
        <v>0</v>
      </c>
      <c r="Q3887" t="n">
        <v>0</v>
      </c>
      <c r="R3887" s="2" t="inlineStr"/>
    </row>
    <row r="3888" ht="15" customHeight="1">
      <c r="A3888" t="inlineStr">
        <is>
          <t>A 20677-2023</t>
        </is>
      </c>
      <c r="B3888" s="1" t="n">
        <v>45058</v>
      </c>
      <c r="C3888" s="1" t="n">
        <v>45846</v>
      </c>
      <c r="D3888" t="inlineStr">
        <is>
          <t>UPPSALA LÄN</t>
        </is>
      </c>
      <c r="E3888" t="inlineStr">
        <is>
          <t>ÖSTHAMMAR</t>
        </is>
      </c>
      <c r="F3888" t="inlineStr">
        <is>
          <t>Bergvik skog öst AB</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20750-2023</t>
        </is>
      </c>
      <c r="B3889" s="1" t="n">
        <v>45058</v>
      </c>
      <c r="C3889" s="1" t="n">
        <v>45846</v>
      </c>
      <c r="D3889" t="inlineStr">
        <is>
          <t>UPPSALA LÄN</t>
        </is>
      </c>
      <c r="E3889" t="inlineStr">
        <is>
          <t>TIERP</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20708-2023</t>
        </is>
      </c>
      <c r="B3890" s="1" t="n">
        <v>45058</v>
      </c>
      <c r="C3890" s="1" t="n">
        <v>45846</v>
      </c>
      <c r="D3890" t="inlineStr">
        <is>
          <t>UPPSALA LÄN</t>
        </is>
      </c>
      <c r="E3890" t="inlineStr">
        <is>
          <t>UPPSALA</t>
        </is>
      </c>
      <c r="F3890" t="inlineStr">
        <is>
          <t>Holmen skog AB</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20767-2023</t>
        </is>
      </c>
      <c r="B3891" s="1" t="n">
        <v>45058</v>
      </c>
      <c r="C3891" s="1" t="n">
        <v>45846</v>
      </c>
      <c r="D3891" t="inlineStr">
        <is>
          <t>UPPSALA LÄN</t>
        </is>
      </c>
      <c r="E3891" t="inlineStr">
        <is>
          <t>TIERP</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20669-2023</t>
        </is>
      </c>
      <c r="B3892" s="1" t="n">
        <v>45058</v>
      </c>
      <c r="C3892" s="1" t="n">
        <v>45846</v>
      </c>
      <c r="D3892" t="inlineStr">
        <is>
          <t>UPPSALA LÄN</t>
        </is>
      </c>
      <c r="E3892" t="inlineStr">
        <is>
          <t>UPPSALA</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20786-2023</t>
        </is>
      </c>
      <c r="B3893" s="1" t="n">
        <v>45058</v>
      </c>
      <c r="C3893" s="1" t="n">
        <v>45846</v>
      </c>
      <c r="D3893" t="inlineStr">
        <is>
          <t>UPPSALA LÄN</t>
        </is>
      </c>
      <c r="E3893" t="inlineStr">
        <is>
          <t>UPPSALA</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21310-2023</t>
        </is>
      </c>
      <c r="B3894" s="1" t="n">
        <v>45058</v>
      </c>
      <c r="C3894" s="1" t="n">
        <v>45846</v>
      </c>
      <c r="D3894" t="inlineStr">
        <is>
          <t>UPPSALA LÄN</t>
        </is>
      </c>
      <c r="E3894" t="inlineStr">
        <is>
          <t>HEBY</t>
        </is>
      </c>
      <c r="F3894" t="inlineStr">
        <is>
          <t>Bergvik skog väst AB</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21313-2023</t>
        </is>
      </c>
      <c r="B3895" s="1" t="n">
        <v>45058</v>
      </c>
      <c r="C3895" s="1" t="n">
        <v>45846</v>
      </c>
      <c r="D3895" t="inlineStr">
        <is>
          <t>UPPSALA LÄN</t>
        </is>
      </c>
      <c r="E3895" t="inlineStr">
        <is>
          <t>HEBY</t>
        </is>
      </c>
      <c r="F3895" t="inlineStr">
        <is>
          <t>Bergvik skog väst AB</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21293-2023</t>
        </is>
      </c>
      <c r="B3896" s="1" t="n">
        <v>45058</v>
      </c>
      <c r="C3896" s="1" t="n">
        <v>45846</v>
      </c>
      <c r="D3896" t="inlineStr">
        <is>
          <t>UPPSALA LÄN</t>
        </is>
      </c>
      <c r="E3896" t="inlineStr">
        <is>
          <t>HEBY</t>
        </is>
      </c>
      <c r="F3896" t="inlineStr">
        <is>
          <t>Bergvik skog väst AB</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21302-2023</t>
        </is>
      </c>
      <c r="B3897" s="1" t="n">
        <v>45058</v>
      </c>
      <c r="C3897" s="1" t="n">
        <v>45846</v>
      </c>
      <c r="D3897" t="inlineStr">
        <is>
          <t>UPPSALA LÄN</t>
        </is>
      </c>
      <c r="E3897" t="inlineStr">
        <is>
          <t>HEBY</t>
        </is>
      </c>
      <c r="F3897" t="inlineStr">
        <is>
          <t>Bergvik skog väst AB</t>
        </is>
      </c>
      <c r="G3897" t="n">
        <v>6.2</v>
      </c>
      <c r="H3897" t="n">
        <v>0</v>
      </c>
      <c r="I3897" t="n">
        <v>0</v>
      </c>
      <c r="J3897" t="n">
        <v>0</v>
      </c>
      <c r="K3897" t="n">
        <v>0</v>
      </c>
      <c r="L3897" t="n">
        <v>0</v>
      </c>
      <c r="M3897" t="n">
        <v>0</v>
      </c>
      <c r="N3897" t="n">
        <v>0</v>
      </c>
      <c r="O3897" t="n">
        <v>0</v>
      </c>
      <c r="P3897" t="n">
        <v>0</v>
      </c>
      <c r="Q3897" t="n">
        <v>0</v>
      </c>
      <c r="R3897" s="2" t="inlineStr"/>
    </row>
    <row r="3898" ht="15" customHeight="1">
      <c r="A3898" t="inlineStr">
        <is>
          <t>A 20897-2023</t>
        </is>
      </c>
      <c r="B3898" s="1" t="n">
        <v>45059</v>
      </c>
      <c r="C3898" s="1" t="n">
        <v>45846</v>
      </c>
      <c r="D3898" t="inlineStr">
        <is>
          <t>UPPSALA LÄN</t>
        </is>
      </c>
      <c r="E3898" t="inlineStr">
        <is>
          <t>ENKÖPING</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20900-2023</t>
        </is>
      </c>
      <c r="B3899" s="1" t="n">
        <v>45060</v>
      </c>
      <c r="C3899" s="1" t="n">
        <v>45846</v>
      </c>
      <c r="D3899" t="inlineStr">
        <is>
          <t>UPPSALA LÄN</t>
        </is>
      </c>
      <c r="E3899" t="inlineStr">
        <is>
          <t>UPPSALA</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21020-2023</t>
        </is>
      </c>
      <c r="B3900" s="1" t="n">
        <v>45061</v>
      </c>
      <c r="C3900" s="1" t="n">
        <v>45846</v>
      </c>
      <c r="D3900" t="inlineStr">
        <is>
          <t>UPPSALA LÄN</t>
        </is>
      </c>
      <c r="E3900" t="inlineStr">
        <is>
          <t>ENKÖPING</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21051-2023</t>
        </is>
      </c>
      <c r="B3901" s="1" t="n">
        <v>45061</v>
      </c>
      <c r="C3901" s="1" t="n">
        <v>45846</v>
      </c>
      <c r="D3901" t="inlineStr">
        <is>
          <t>UPPSALA LÄN</t>
        </is>
      </c>
      <c r="E3901" t="inlineStr">
        <is>
          <t>TIERP</t>
        </is>
      </c>
      <c r="F3901" t="inlineStr">
        <is>
          <t>Bergvik skog öst AB</t>
        </is>
      </c>
      <c r="G3901" t="n">
        <v>40.2</v>
      </c>
      <c r="H3901" t="n">
        <v>0</v>
      </c>
      <c r="I3901" t="n">
        <v>0</v>
      </c>
      <c r="J3901" t="n">
        <v>0</v>
      </c>
      <c r="K3901" t="n">
        <v>0</v>
      </c>
      <c r="L3901" t="n">
        <v>0</v>
      </c>
      <c r="M3901" t="n">
        <v>0</v>
      </c>
      <c r="N3901" t="n">
        <v>0</v>
      </c>
      <c r="O3901" t="n">
        <v>0</v>
      </c>
      <c r="P3901" t="n">
        <v>0</v>
      </c>
      <c r="Q3901" t="n">
        <v>0</v>
      </c>
      <c r="R3901" s="2" t="inlineStr"/>
    </row>
    <row r="3902" ht="15" customHeight="1">
      <c r="A3902" t="inlineStr">
        <is>
          <t>A 21052-2023</t>
        </is>
      </c>
      <c r="B3902" s="1" t="n">
        <v>45061</v>
      </c>
      <c r="C3902" s="1" t="n">
        <v>45846</v>
      </c>
      <c r="D3902" t="inlineStr">
        <is>
          <t>UPPSALA LÄN</t>
        </is>
      </c>
      <c r="E3902" t="inlineStr">
        <is>
          <t>UPPSALA</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21017-2023</t>
        </is>
      </c>
      <c r="B3903" s="1" t="n">
        <v>45061</v>
      </c>
      <c r="C3903" s="1" t="n">
        <v>45846</v>
      </c>
      <c r="D3903" t="inlineStr">
        <is>
          <t>UPPSALA LÄN</t>
        </is>
      </c>
      <c r="E3903" t="inlineStr">
        <is>
          <t>ENKÖPING</t>
        </is>
      </c>
      <c r="G3903" t="n">
        <v>4.8</v>
      </c>
      <c r="H3903" t="n">
        <v>0</v>
      </c>
      <c r="I3903" t="n">
        <v>0</v>
      </c>
      <c r="J3903" t="n">
        <v>0</v>
      </c>
      <c r="K3903" t="n">
        <v>0</v>
      </c>
      <c r="L3903" t="n">
        <v>0</v>
      </c>
      <c r="M3903" t="n">
        <v>0</v>
      </c>
      <c r="N3903" t="n">
        <v>0</v>
      </c>
      <c r="O3903" t="n">
        <v>0</v>
      </c>
      <c r="P3903" t="n">
        <v>0</v>
      </c>
      <c r="Q3903" t="n">
        <v>0</v>
      </c>
      <c r="R3903" s="2" t="inlineStr"/>
    </row>
    <row r="3904" ht="15" customHeight="1">
      <c r="A3904" t="inlineStr">
        <is>
          <t>A 21053-2023</t>
        </is>
      </c>
      <c r="B3904" s="1" t="n">
        <v>45061</v>
      </c>
      <c r="C3904" s="1" t="n">
        <v>45846</v>
      </c>
      <c r="D3904" t="inlineStr">
        <is>
          <t>UPPSALA LÄN</t>
        </is>
      </c>
      <c r="E3904" t="inlineStr">
        <is>
          <t>TIERP</t>
        </is>
      </c>
      <c r="F3904" t="inlineStr">
        <is>
          <t>Bergvik skog öst AB</t>
        </is>
      </c>
      <c r="G3904" t="n">
        <v>13.4</v>
      </c>
      <c r="H3904" t="n">
        <v>0</v>
      </c>
      <c r="I3904" t="n">
        <v>0</v>
      </c>
      <c r="J3904" t="n">
        <v>0</v>
      </c>
      <c r="K3904" t="n">
        <v>0</v>
      </c>
      <c r="L3904" t="n">
        <v>0</v>
      </c>
      <c r="M3904" t="n">
        <v>0</v>
      </c>
      <c r="N3904" t="n">
        <v>0</v>
      </c>
      <c r="O3904" t="n">
        <v>0</v>
      </c>
      <c r="P3904" t="n">
        <v>0</v>
      </c>
      <c r="Q3904" t="n">
        <v>0</v>
      </c>
      <c r="R3904" s="2" t="inlineStr"/>
    </row>
    <row r="3905" ht="15" customHeight="1">
      <c r="A3905" t="inlineStr">
        <is>
          <t>A 21170-2023</t>
        </is>
      </c>
      <c r="B3905" s="1" t="n">
        <v>45062</v>
      </c>
      <c r="C3905" s="1" t="n">
        <v>45846</v>
      </c>
      <c r="D3905" t="inlineStr">
        <is>
          <t>UPPSALA LÄN</t>
        </is>
      </c>
      <c r="E3905" t="inlineStr">
        <is>
          <t>TIERP</t>
        </is>
      </c>
      <c r="F3905" t="inlineStr">
        <is>
          <t>Bergvik skog öst AB</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21193-2023</t>
        </is>
      </c>
      <c r="B3906" s="1" t="n">
        <v>45062</v>
      </c>
      <c r="C3906" s="1" t="n">
        <v>45846</v>
      </c>
      <c r="D3906" t="inlineStr">
        <is>
          <t>UPPSALA LÄN</t>
        </is>
      </c>
      <c r="E3906" t="inlineStr">
        <is>
          <t>HEBY</t>
        </is>
      </c>
      <c r="G3906" t="n">
        <v>10.6</v>
      </c>
      <c r="H3906" t="n">
        <v>0</v>
      </c>
      <c r="I3906" t="n">
        <v>0</v>
      </c>
      <c r="J3906" t="n">
        <v>0</v>
      </c>
      <c r="K3906" t="n">
        <v>0</v>
      </c>
      <c r="L3906" t="n">
        <v>0</v>
      </c>
      <c r="M3906" t="n">
        <v>0</v>
      </c>
      <c r="N3906" t="n">
        <v>0</v>
      </c>
      <c r="O3906" t="n">
        <v>0</v>
      </c>
      <c r="P3906" t="n">
        <v>0</v>
      </c>
      <c r="Q3906" t="n">
        <v>0</v>
      </c>
      <c r="R3906" s="2" t="inlineStr"/>
    </row>
    <row r="3907" ht="15" customHeight="1">
      <c r="A3907" t="inlineStr">
        <is>
          <t>A 21143-2023</t>
        </is>
      </c>
      <c r="B3907" s="1" t="n">
        <v>45062</v>
      </c>
      <c r="C3907" s="1" t="n">
        <v>45846</v>
      </c>
      <c r="D3907" t="inlineStr">
        <is>
          <t>UPPSALA LÄN</t>
        </is>
      </c>
      <c r="E3907" t="inlineStr">
        <is>
          <t>HEBY</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21520-2023</t>
        </is>
      </c>
      <c r="B3908" s="1" t="n">
        <v>45063</v>
      </c>
      <c r="C3908" s="1" t="n">
        <v>45846</v>
      </c>
      <c r="D3908" t="inlineStr">
        <is>
          <t>UPPSALA LÄN</t>
        </is>
      </c>
      <c r="E3908" t="inlineStr">
        <is>
          <t>ÄLVKARLEBY</t>
        </is>
      </c>
      <c r="F3908" t="inlineStr">
        <is>
          <t>Bergvik skog väst AB</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21416-2023</t>
        </is>
      </c>
      <c r="B3909" s="1" t="n">
        <v>45063</v>
      </c>
      <c r="C3909" s="1" t="n">
        <v>45846</v>
      </c>
      <c r="D3909" t="inlineStr">
        <is>
          <t>UPPSALA LÄN</t>
        </is>
      </c>
      <c r="E3909" t="inlineStr">
        <is>
          <t>UPPSALA</t>
        </is>
      </c>
      <c r="G3909" t="n">
        <v>13.9</v>
      </c>
      <c r="H3909" t="n">
        <v>0</v>
      </c>
      <c r="I3909" t="n">
        <v>0</v>
      </c>
      <c r="J3909" t="n">
        <v>0</v>
      </c>
      <c r="K3909" t="n">
        <v>0</v>
      </c>
      <c r="L3909" t="n">
        <v>0</v>
      </c>
      <c r="M3909" t="n">
        <v>0</v>
      </c>
      <c r="N3909" t="n">
        <v>0</v>
      </c>
      <c r="O3909" t="n">
        <v>0</v>
      </c>
      <c r="P3909" t="n">
        <v>0</v>
      </c>
      <c r="Q3909" t="n">
        <v>0</v>
      </c>
      <c r="R3909" s="2" t="inlineStr"/>
    </row>
    <row r="3910" ht="15" customHeight="1">
      <c r="A3910" t="inlineStr">
        <is>
          <t>A 21478-2023</t>
        </is>
      </c>
      <c r="B3910" s="1" t="n">
        <v>45063</v>
      </c>
      <c r="C3910" s="1" t="n">
        <v>45846</v>
      </c>
      <c r="D3910" t="inlineStr">
        <is>
          <t>UPPSALA LÄN</t>
        </is>
      </c>
      <c r="E3910" t="inlineStr">
        <is>
          <t>ÖSTHAMMAR</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21424-2023</t>
        </is>
      </c>
      <c r="B3911" s="1" t="n">
        <v>45063</v>
      </c>
      <c r="C3911" s="1" t="n">
        <v>45846</v>
      </c>
      <c r="D3911" t="inlineStr">
        <is>
          <t>UPPSALA LÄN</t>
        </is>
      </c>
      <c r="E3911" t="inlineStr">
        <is>
          <t>UPPSALA</t>
        </is>
      </c>
      <c r="G3911" t="n">
        <v>4</v>
      </c>
      <c r="H3911" t="n">
        <v>0</v>
      </c>
      <c r="I3911" t="n">
        <v>0</v>
      </c>
      <c r="J3911" t="n">
        <v>0</v>
      </c>
      <c r="K3911" t="n">
        <v>0</v>
      </c>
      <c r="L3911" t="n">
        <v>0</v>
      </c>
      <c r="M3911" t="n">
        <v>0</v>
      </c>
      <c r="N3911" t="n">
        <v>0</v>
      </c>
      <c r="O3911" t="n">
        <v>0</v>
      </c>
      <c r="P3911" t="n">
        <v>0</v>
      </c>
      <c r="Q3911" t="n">
        <v>0</v>
      </c>
      <c r="R3911" s="2" t="inlineStr"/>
    </row>
    <row r="3912" ht="15" customHeight="1">
      <c r="A3912" t="inlineStr">
        <is>
          <t>A 21547-2023</t>
        </is>
      </c>
      <c r="B3912" s="1" t="n">
        <v>45063</v>
      </c>
      <c r="C3912" s="1" t="n">
        <v>45846</v>
      </c>
      <c r="D3912" t="inlineStr">
        <is>
          <t>UPPSALA LÄN</t>
        </is>
      </c>
      <c r="E3912" t="inlineStr">
        <is>
          <t>TIERP</t>
        </is>
      </c>
      <c r="G3912" t="n">
        <v>4.9</v>
      </c>
      <c r="H3912" t="n">
        <v>0</v>
      </c>
      <c r="I3912" t="n">
        <v>0</v>
      </c>
      <c r="J3912" t="n">
        <v>0</v>
      </c>
      <c r="K3912" t="n">
        <v>0</v>
      </c>
      <c r="L3912" t="n">
        <v>0</v>
      </c>
      <c r="M3912" t="n">
        <v>0</v>
      </c>
      <c r="N3912" t="n">
        <v>0</v>
      </c>
      <c r="O3912" t="n">
        <v>0</v>
      </c>
      <c r="P3912" t="n">
        <v>0</v>
      </c>
      <c r="Q3912" t="n">
        <v>0</v>
      </c>
      <c r="R3912" s="2" t="inlineStr"/>
    </row>
    <row r="3913" ht="15" customHeight="1">
      <c r="A3913" t="inlineStr">
        <is>
          <t>A 21550-2023</t>
        </is>
      </c>
      <c r="B3913" s="1" t="n">
        <v>45063</v>
      </c>
      <c r="C3913" s="1" t="n">
        <v>45846</v>
      </c>
      <c r="D3913" t="inlineStr">
        <is>
          <t>UPPSALA LÄN</t>
        </is>
      </c>
      <c r="E3913" t="inlineStr">
        <is>
          <t>TIERP</t>
        </is>
      </c>
      <c r="F3913" t="inlineStr">
        <is>
          <t>Bergvik skog väst AB</t>
        </is>
      </c>
      <c r="G3913" t="n">
        <v>6.9</v>
      </c>
      <c r="H3913" t="n">
        <v>0</v>
      </c>
      <c r="I3913" t="n">
        <v>0</v>
      </c>
      <c r="J3913" t="n">
        <v>0</v>
      </c>
      <c r="K3913" t="n">
        <v>0</v>
      </c>
      <c r="L3913" t="n">
        <v>0</v>
      </c>
      <c r="M3913" t="n">
        <v>0</v>
      </c>
      <c r="N3913" t="n">
        <v>0</v>
      </c>
      <c r="O3913" t="n">
        <v>0</v>
      </c>
      <c r="P3913" t="n">
        <v>0</v>
      </c>
      <c r="Q3913" t="n">
        <v>0</v>
      </c>
      <c r="R3913" s="2" t="inlineStr"/>
    </row>
    <row r="3914" ht="15" customHeight="1">
      <c r="A3914" t="inlineStr">
        <is>
          <t>A 21615-2023</t>
        </is>
      </c>
      <c r="B3914" s="1" t="n">
        <v>45063</v>
      </c>
      <c r="C3914" s="1" t="n">
        <v>45846</v>
      </c>
      <c r="D3914" t="inlineStr">
        <is>
          <t>UPPSALA LÄN</t>
        </is>
      </c>
      <c r="E3914" t="inlineStr">
        <is>
          <t>ÖSTHAMMAR</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21620-2023</t>
        </is>
      </c>
      <c r="B3915" s="1" t="n">
        <v>45063</v>
      </c>
      <c r="C3915" s="1" t="n">
        <v>45846</v>
      </c>
      <c r="D3915" t="inlineStr">
        <is>
          <t>UPPSALA LÄN</t>
        </is>
      </c>
      <c r="E3915" t="inlineStr">
        <is>
          <t>ENKÖPING</t>
        </is>
      </c>
      <c r="F3915" t="inlineStr">
        <is>
          <t>Allmännings- och besparingsskogar</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21612-2023</t>
        </is>
      </c>
      <c r="B3916" s="1" t="n">
        <v>45063</v>
      </c>
      <c r="C3916" s="1" t="n">
        <v>45846</v>
      </c>
      <c r="D3916" t="inlineStr">
        <is>
          <t>UPPSALA LÄN</t>
        </is>
      </c>
      <c r="E3916" t="inlineStr">
        <is>
          <t>ENKÖPING</t>
        </is>
      </c>
      <c r="F3916" t="inlineStr">
        <is>
          <t>Allmännings- och besparingsskogar</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21624-2023</t>
        </is>
      </c>
      <c r="B3917" s="1" t="n">
        <v>45063</v>
      </c>
      <c r="C3917" s="1" t="n">
        <v>45846</v>
      </c>
      <c r="D3917" t="inlineStr">
        <is>
          <t>UPPSALA LÄN</t>
        </is>
      </c>
      <c r="E3917" t="inlineStr">
        <is>
          <t>ÖSTHAMMAR</t>
        </is>
      </c>
      <c r="F3917" t="inlineStr">
        <is>
          <t>Sveaskog</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21727-2023</t>
        </is>
      </c>
      <c r="B3918" s="1" t="n">
        <v>45065</v>
      </c>
      <c r="C3918" s="1" t="n">
        <v>45846</v>
      </c>
      <c r="D3918" t="inlineStr">
        <is>
          <t>UPPSALA LÄN</t>
        </is>
      </c>
      <c r="E3918" t="inlineStr">
        <is>
          <t>UPPSALA</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22090-2023</t>
        </is>
      </c>
      <c r="B3919" s="1" t="n">
        <v>45065</v>
      </c>
      <c r="C3919" s="1" t="n">
        <v>45846</v>
      </c>
      <c r="D3919" t="inlineStr">
        <is>
          <t>UPPSALA LÄN</t>
        </is>
      </c>
      <c r="E3919" t="inlineStr">
        <is>
          <t>HEBY</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21935-2023</t>
        </is>
      </c>
      <c r="B3920" s="1" t="n">
        <v>45068</v>
      </c>
      <c r="C3920" s="1" t="n">
        <v>45846</v>
      </c>
      <c r="D3920" t="inlineStr">
        <is>
          <t>UPPSALA LÄN</t>
        </is>
      </c>
      <c r="E3920" t="inlineStr">
        <is>
          <t>UPPSALA</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21882-2023</t>
        </is>
      </c>
      <c r="B3921" s="1" t="n">
        <v>45068</v>
      </c>
      <c r="C3921" s="1" t="n">
        <v>45846</v>
      </c>
      <c r="D3921" t="inlineStr">
        <is>
          <t>UPPSALA LÄN</t>
        </is>
      </c>
      <c r="E3921" t="inlineStr">
        <is>
          <t>HEBY</t>
        </is>
      </c>
      <c r="G3921" t="n">
        <v>5.6</v>
      </c>
      <c r="H3921" t="n">
        <v>0</v>
      </c>
      <c r="I3921" t="n">
        <v>0</v>
      </c>
      <c r="J3921" t="n">
        <v>0</v>
      </c>
      <c r="K3921" t="n">
        <v>0</v>
      </c>
      <c r="L3921" t="n">
        <v>0</v>
      </c>
      <c r="M3921" t="n">
        <v>0</v>
      </c>
      <c r="N3921" t="n">
        <v>0</v>
      </c>
      <c r="O3921" t="n">
        <v>0</v>
      </c>
      <c r="P3921" t="n">
        <v>0</v>
      </c>
      <c r="Q3921" t="n">
        <v>0</v>
      </c>
      <c r="R3921" s="2" t="inlineStr"/>
    </row>
    <row r="3922" ht="15" customHeight="1">
      <c r="A3922" t="inlineStr">
        <is>
          <t>A 21862-2023</t>
        </is>
      </c>
      <c r="B3922" s="1" t="n">
        <v>45068</v>
      </c>
      <c r="C3922" s="1" t="n">
        <v>45846</v>
      </c>
      <c r="D3922" t="inlineStr">
        <is>
          <t>UPPSALA LÄN</t>
        </is>
      </c>
      <c r="E3922" t="inlineStr">
        <is>
          <t>ÖSTHAMMAR</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22166-2023</t>
        </is>
      </c>
      <c r="B3923" s="1" t="n">
        <v>45068</v>
      </c>
      <c r="C3923" s="1" t="n">
        <v>45846</v>
      </c>
      <c r="D3923" t="inlineStr">
        <is>
          <t>UPPSALA LÄN</t>
        </is>
      </c>
      <c r="E3923" t="inlineStr">
        <is>
          <t>HEBY</t>
        </is>
      </c>
      <c r="F3923" t="inlineStr">
        <is>
          <t>Bergvik skog väst AB</t>
        </is>
      </c>
      <c r="G3923" t="n">
        <v>5.7</v>
      </c>
      <c r="H3923" t="n">
        <v>0</v>
      </c>
      <c r="I3923" t="n">
        <v>0</v>
      </c>
      <c r="J3923" t="n">
        <v>0</v>
      </c>
      <c r="K3923" t="n">
        <v>0</v>
      </c>
      <c r="L3923" t="n">
        <v>0</v>
      </c>
      <c r="M3923" t="n">
        <v>0</v>
      </c>
      <c r="N3923" t="n">
        <v>0</v>
      </c>
      <c r="O3923" t="n">
        <v>0</v>
      </c>
      <c r="P3923" t="n">
        <v>0</v>
      </c>
      <c r="Q3923" t="n">
        <v>0</v>
      </c>
      <c r="R3923" s="2" t="inlineStr"/>
    </row>
    <row r="3924" ht="15" customHeight="1">
      <c r="A3924" t="inlineStr">
        <is>
          <t>A 22094-2023</t>
        </is>
      </c>
      <c r="B3924" s="1" t="n">
        <v>45069</v>
      </c>
      <c r="C3924" s="1" t="n">
        <v>45846</v>
      </c>
      <c r="D3924" t="inlineStr">
        <is>
          <t>UPPSALA LÄN</t>
        </is>
      </c>
      <c r="E3924" t="inlineStr">
        <is>
          <t>ENKÖPING</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22321-2023</t>
        </is>
      </c>
      <c r="B3925" s="1" t="n">
        <v>45070</v>
      </c>
      <c r="C3925" s="1" t="n">
        <v>45846</v>
      </c>
      <c r="D3925" t="inlineStr">
        <is>
          <t>UPPSALA LÄN</t>
        </is>
      </c>
      <c r="E3925" t="inlineStr">
        <is>
          <t>TIERP</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22405-2023</t>
        </is>
      </c>
      <c r="B3926" s="1" t="n">
        <v>45070</v>
      </c>
      <c r="C3926" s="1" t="n">
        <v>45846</v>
      </c>
      <c r="D3926" t="inlineStr">
        <is>
          <t>UPPSALA LÄN</t>
        </is>
      </c>
      <c r="E3926" t="inlineStr">
        <is>
          <t>ÖSTHAMMAR</t>
        </is>
      </c>
      <c r="F3926" t="inlineStr">
        <is>
          <t>Bergvik skog öst AB</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22450-2023</t>
        </is>
      </c>
      <c r="B3927" s="1" t="n">
        <v>45070</v>
      </c>
      <c r="C3927" s="1" t="n">
        <v>45846</v>
      </c>
      <c r="D3927" t="inlineStr">
        <is>
          <t>UPPSALA LÄN</t>
        </is>
      </c>
      <c r="E3927" t="inlineStr">
        <is>
          <t>UPPSALA</t>
        </is>
      </c>
      <c r="F3927" t="inlineStr">
        <is>
          <t>Allmännings- och besparingsskogar</t>
        </is>
      </c>
      <c r="G3927" t="n">
        <v>10</v>
      </c>
      <c r="H3927" t="n">
        <v>0</v>
      </c>
      <c r="I3927" t="n">
        <v>0</v>
      </c>
      <c r="J3927" t="n">
        <v>0</v>
      </c>
      <c r="K3927" t="n">
        <v>0</v>
      </c>
      <c r="L3927" t="n">
        <v>0</v>
      </c>
      <c r="M3927" t="n">
        <v>0</v>
      </c>
      <c r="N3927" t="n">
        <v>0</v>
      </c>
      <c r="O3927" t="n">
        <v>0</v>
      </c>
      <c r="P3927" t="n">
        <v>0</v>
      </c>
      <c r="Q3927" t="n">
        <v>0</v>
      </c>
      <c r="R3927" s="2" t="inlineStr"/>
    </row>
    <row r="3928" ht="15" customHeight="1">
      <c r="A3928" t="inlineStr">
        <is>
          <t>A 22413-2023</t>
        </is>
      </c>
      <c r="B3928" s="1" t="n">
        <v>45070</v>
      </c>
      <c r="C3928" s="1" t="n">
        <v>45846</v>
      </c>
      <c r="D3928" t="inlineStr">
        <is>
          <t>UPPSALA LÄN</t>
        </is>
      </c>
      <c r="E3928" t="inlineStr">
        <is>
          <t>ÖSTHAMMAR</t>
        </is>
      </c>
      <c r="F3928" t="inlineStr">
        <is>
          <t>Bergvik skog öst AB</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22322-2023</t>
        </is>
      </c>
      <c r="B3929" s="1" t="n">
        <v>45070</v>
      </c>
      <c r="C3929" s="1" t="n">
        <v>45846</v>
      </c>
      <c r="D3929" t="inlineStr">
        <is>
          <t>UPPSALA LÄN</t>
        </is>
      </c>
      <c r="E3929" t="inlineStr">
        <is>
          <t>ÖSTHAMMAR</t>
        </is>
      </c>
      <c r="F3929" t="inlineStr">
        <is>
          <t>Bergvik skog öst AB</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22486-2023</t>
        </is>
      </c>
      <c r="B3930" s="1" t="n">
        <v>45071</v>
      </c>
      <c r="C3930" s="1" t="n">
        <v>45846</v>
      </c>
      <c r="D3930" t="inlineStr">
        <is>
          <t>UPPSALA LÄN</t>
        </is>
      </c>
      <c r="E3930" t="inlineStr">
        <is>
          <t>HEBY</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22519-2023</t>
        </is>
      </c>
      <c r="B3931" s="1" t="n">
        <v>45071</v>
      </c>
      <c r="C3931" s="1" t="n">
        <v>45846</v>
      </c>
      <c r="D3931" t="inlineStr">
        <is>
          <t>UPPSALA LÄN</t>
        </is>
      </c>
      <c r="E3931" t="inlineStr">
        <is>
          <t>HEBY</t>
        </is>
      </c>
      <c r="G3931" t="n">
        <v>3.9</v>
      </c>
      <c r="H3931" t="n">
        <v>0</v>
      </c>
      <c r="I3931" t="n">
        <v>0</v>
      </c>
      <c r="J3931" t="n">
        <v>0</v>
      </c>
      <c r="K3931" t="n">
        <v>0</v>
      </c>
      <c r="L3931" t="n">
        <v>0</v>
      </c>
      <c r="M3931" t="n">
        <v>0</v>
      </c>
      <c r="N3931" t="n">
        <v>0</v>
      </c>
      <c r="O3931" t="n">
        <v>0</v>
      </c>
      <c r="P3931" t="n">
        <v>0</v>
      </c>
      <c r="Q3931" t="n">
        <v>0</v>
      </c>
      <c r="R3931" s="2" t="inlineStr"/>
    </row>
    <row r="3932" ht="15" customHeight="1">
      <c r="A3932" t="inlineStr">
        <is>
          <t>A 22549-2023</t>
        </is>
      </c>
      <c r="B3932" s="1" t="n">
        <v>45071</v>
      </c>
      <c r="C3932" s="1" t="n">
        <v>45846</v>
      </c>
      <c r="D3932" t="inlineStr">
        <is>
          <t>UPPSALA LÄN</t>
        </is>
      </c>
      <c r="E3932" t="inlineStr">
        <is>
          <t>HEBY</t>
        </is>
      </c>
      <c r="G3932" t="n">
        <v>4.1</v>
      </c>
      <c r="H3932" t="n">
        <v>0</v>
      </c>
      <c r="I3932" t="n">
        <v>0</v>
      </c>
      <c r="J3932" t="n">
        <v>0</v>
      </c>
      <c r="K3932" t="n">
        <v>0</v>
      </c>
      <c r="L3932" t="n">
        <v>0</v>
      </c>
      <c r="M3932" t="n">
        <v>0</v>
      </c>
      <c r="N3932" t="n">
        <v>0</v>
      </c>
      <c r="O3932" t="n">
        <v>0</v>
      </c>
      <c r="P3932" t="n">
        <v>0</v>
      </c>
      <c r="Q3932" t="n">
        <v>0</v>
      </c>
      <c r="R3932" s="2" t="inlineStr"/>
    </row>
    <row r="3933" ht="15" customHeight="1">
      <c r="A3933" t="inlineStr">
        <is>
          <t>A 22545-2023</t>
        </is>
      </c>
      <c r="B3933" s="1" t="n">
        <v>45071</v>
      </c>
      <c r="C3933" s="1" t="n">
        <v>45846</v>
      </c>
      <c r="D3933" t="inlineStr">
        <is>
          <t>UPPSALA LÄN</t>
        </is>
      </c>
      <c r="E3933" t="inlineStr">
        <is>
          <t>HEBY</t>
        </is>
      </c>
      <c r="G3933" t="n">
        <v>19.3</v>
      </c>
      <c r="H3933" t="n">
        <v>0</v>
      </c>
      <c r="I3933" t="n">
        <v>0</v>
      </c>
      <c r="J3933" t="n">
        <v>0</v>
      </c>
      <c r="K3933" t="n">
        <v>0</v>
      </c>
      <c r="L3933" t="n">
        <v>0</v>
      </c>
      <c r="M3933" t="n">
        <v>0</v>
      </c>
      <c r="N3933" t="n">
        <v>0</v>
      </c>
      <c r="O3933" t="n">
        <v>0</v>
      </c>
      <c r="P3933" t="n">
        <v>0</v>
      </c>
      <c r="Q3933" t="n">
        <v>0</v>
      </c>
      <c r="R3933" s="2" t="inlineStr"/>
    </row>
    <row r="3934" ht="15" customHeight="1">
      <c r="A3934" t="inlineStr">
        <is>
          <t>A 22672-2023</t>
        </is>
      </c>
      <c r="B3934" s="1" t="n">
        <v>45071</v>
      </c>
      <c r="C3934" s="1" t="n">
        <v>45846</v>
      </c>
      <c r="D3934" t="inlineStr">
        <is>
          <t>UPPSALA LÄN</t>
        </is>
      </c>
      <c r="E3934" t="inlineStr">
        <is>
          <t>TIERP</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22701-2023</t>
        </is>
      </c>
      <c r="B3935" s="1" t="n">
        <v>45071</v>
      </c>
      <c r="C3935" s="1" t="n">
        <v>45846</v>
      </c>
      <c r="D3935" t="inlineStr">
        <is>
          <t>UPPSALA LÄN</t>
        </is>
      </c>
      <c r="E3935" t="inlineStr">
        <is>
          <t>ÖSTHAMMAR</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22794-2023</t>
        </is>
      </c>
      <c r="B3936" s="1" t="n">
        <v>45072</v>
      </c>
      <c r="C3936" s="1" t="n">
        <v>45846</v>
      </c>
      <c r="D3936" t="inlineStr">
        <is>
          <t>UPPSALA LÄN</t>
        </is>
      </c>
      <c r="E3936" t="inlineStr">
        <is>
          <t>ÖSTHAMMAR</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22798-2023</t>
        </is>
      </c>
      <c r="B3937" s="1" t="n">
        <v>45072</v>
      </c>
      <c r="C3937" s="1" t="n">
        <v>45846</v>
      </c>
      <c r="D3937" t="inlineStr">
        <is>
          <t>UPPSALA LÄN</t>
        </is>
      </c>
      <c r="E3937" t="inlineStr">
        <is>
          <t>ÖSTHAMMAR</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22796-2023</t>
        </is>
      </c>
      <c r="B3938" s="1" t="n">
        <v>45072</v>
      </c>
      <c r="C3938" s="1" t="n">
        <v>45846</v>
      </c>
      <c r="D3938" t="inlineStr">
        <is>
          <t>UPPSALA LÄN</t>
        </is>
      </c>
      <c r="E3938" t="inlineStr">
        <is>
          <t>ÖSTHAMMAR</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22901-2023</t>
        </is>
      </c>
      <c r="B3939" s="1" t="n">
        <v>45072</v>
      </c>
      <c r="C3939" s="1" t="n">
        <v>45846</v>
      </c>
      <c r="D3939" t="inlineStr">
        <is>
          <t>UPPSALA LÄN</t>
        </is>
      </c>
      <c r="E3939" t="inlineStr">
        <is>
          <t>TIERP</t>
        </is>
      </c>
      <c r="G3939" t="n">
        <v>0.2</v>
      </c>
      <c r="H3939" t="n">
        <v>0</v>
      </c>
      <c r="I3939" t="n">
        <v>0</v>
      </c>
      <c r="J3939" t="n">
        <v>0</v>
      </c>
      <c r="K3939" t="n">
        <v>0</v>
      </c>
      <c r="L3939" t="n">
        <v>0</v>
      </c>
      <c r="M3939" t="n">
        <v>0</v>
      </c>
      <c r="N3939" t="n">
        <v>0</v>
      </c>
      <c r="O3939" t="n">
        <v>0</v>
      </c>
      <c r="P3939" t="n">
        <v>0</v>
      </c>
      <c r="Q3939" t="n">
        <v>0</v>
      </c>
      <c r="R3939" s="2" t="inlineStr"/>
    </row>
    <row r="3940" ht="15" customHeight="1">
      <c r="A3940" t="inlineStr">
        <is>
          <t>A 23065-2023</t>
        </is>
      </c>
      <c r="B3940" s="1" t="n">
        <v>45075</v>
      </c>
      <c r="C3940" s="1" t="n">
        <v>45846</v>
      </c>
      <c r="D3940" t="inlineStr">
        <is>
          <t>UPPSALA LÄN</t>
        </is>
      </c>
      <c r="E3940" t="inlineStr">
        <is>
          <t>HEBY</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23083-2023</t>
        </is>
      </c>
      <c r="B3941" s="1" t="n">
        <v>45075</v>
      </c>
      <c r="C3941" s="1" t="n">
        <v>45846</v>
      </c>
      <c r="D3941" t="inlineStr">
        <is>
          <t>UPPSALA LÄN</t>
        </is>
      </c>
      <c r="E3941" t="inlineStr">
        <is>
          <t>ÖSTHAMMAR</t>
        </is>
      </c>
      <c r="F3941" t="inlineStr">
        <is>
          <t>Sveaskog</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23064-2023</t>
        </is>
      </c>
      <c r="B3942" s="1" t="n">
        <v>45075</v>
      </c>
      <c r="C3942" s="1" t="n">
        <v>45846</v>
      </c>
      <c r="D3942" t="inlineStr">
        <is>
          <t>UPPSALA LÄN</t>
        </is>
      </c>
      <c r="E3942" t="inlineStr">
        <is>
          <t>ÖSTHAMMAR</t>
        </is>
      </c>
      <c r="F3942" t="inlineStr">
        <is>
          <t>Kyrkan</t>
        </is>
      </c>
      <c r="G3942" t="n">
        <v>16.6</v>
      </c>
      <c r="H3942" t="n">
        <v>0</v>
      </c>
      <c r="I3942" t="n">
        <v>0</v>
      </c>
      <c r="J3942" t="n">
        <v>0</v>
      </c>
      <c r="K3942" t="n">
        <v>0</v>
      </c>
      <c r="L3942" t="n">
        <v>0</v>
      </c>
      <c r="M3942" t="n">
        <v>0</v>
      </c>
      <c r="N3942" t="n">
        <v>0</v>
      </c>
      <c r="O3942" t="n">
        <v>0</v>
      </c>
      <c r="P3942" t="n">
        <v>0</v>
      </c>
      <c r="Q3942" t="n">
        <v>0</v>
      </c>
      <c r="R3942" s="2" t="inlineStr"/>
    </row>
    <row r="3943" ht="15" customHeight="1">
      <c r="A3943" t="inlineStr">
        <is>
          <t>A 23042-2023</t>
        </is>
      </c>
      <c r="B3943" s="1" t="n">
        <v>45075</v>
      </c>
      <c r="C3943" s="1" t="n">
        <v>45846</v>
      </c>
      <c r="D3943" t="inlineStr">
        <is>
          <t>UPPSALA LÄN</t>
        </is>
      </c>
      <c r="E3943" t="inlineStr">
        <is>
          <t>KNIVSTA</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23164-2023</t>
        </is>
      </c>
      <c r="B3944" s="1" t="n">
        <v>45075</v>
      </c>
      <c r="C3944" s="1" t="n">
        <v>45846</v>
      </c>
      <c r="D3944" t="inlineStr">
        <is>
          <t>UPPSALA LÄN</t>
        </is>
      </c>
      <c r="E3944" t="inlineStr">
        <is>
          <t>TIERP</t>
        </is>
      </c>
      <c r="F3944" t="inlineStr">
        <is>
          <t>Bergvik skog öst AB</t>
        </is>
      </c>
      <c r="G3944" t="n">
        <v>16.5</v>
      </c>
      <c r="H3944" t="n">
        <v>0</v>
      </c>
      <c r="I3944" t="n">
        <v>0</v>
      </c>
      <c r="J3944" t="n">
        <v>0</v>
      </c>
      <c r="K3944" t="n">
        <v>0</v>
      </c>
      <c r="L3944" t="n">
        <v>0</v>
      </c>
      <c r="M3944" t="n">
        <v>0</v>
      </c>
      <c r="N3944" t="n">
        <v>0</v>
      </c>
      <c r="O3944" t="n">
        <v>0</v>
      </c>
      <c r="P3944" t="n">
        <v>0</v>
      </c>
      <c r="Q3944" t="n">
        <v>0</v>
      </c>
      <c r="R3944" s="2" t="inlineStr"/>
    </row>
    <row r="3945" ht="15" customHeight="1">
      <c r="A3945" t="inlineStr">
        <is>
          <t>A 23197-2023</t>
        </is>
      </c>
      <c r="B3945" s="1" t="n">
        <v>45075</v>
      </c>
      <c r="C3945" s="1" t="n">
        <v>45846</v>
      </c>
      <c r="D3945" t="inlineStr">
        <is>
          <t>UPPSALA LÄN</t>
        </is>
      </c>
      <c r="E3945" t="inlineStr">
        <is>
          <t>ÖSTHAMMAR</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23142-2023</t>
        </is>
      </c>
      <c r="B3946" s="1" t="n">
        <v>45075</v>
      </c>
      <c r="C3946" s="1" t="n">
        <v>45846</v>
      </c>
      <c r="D3946" t="inlineStr">
        <is>
          <t>UPPSALA LÄN</t>
        </is>
      </c>
      <c r="E3946" t="inlineStr">
        <is>
          <t>ÖSTHAMMAR</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23154-2023</t>
        </is>
      </c>
      <c r="B3947" s="1" t="n">
        <v>45075</v>
      </c>
      <c r="C3947" s="1" t="n">
        <v>45846</v>
      </c>
      <c r="D3947" t="inlineStr">
        <is>
          <t>UPPSALA LÄN</t>
        </is>
      </c>
      <c r="E3947" t="inlineStr">
        <is>
          <t>TIERP</t>
        </is>
      </c>
      <c r="F3947" t="inlineStr">
        <is>
          <t>Kyrkan</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23059-2023</t>
        </is>
      </c>
      <c r="B3948" s="1" t="n">
        <v>45075</v>
      </c>
      <c r="C3948" s="1" t="n">
        <v>45846</v>
      </c>
      <c r="D3948" t="inlineStr">
        <is>
          <t>UPPSALA LÄN</t>
        </is>
      </c>
      <c r="E3948" t="inlineStr">
        <is>
          <t>ÖSTHAMMAR</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23159-2023</t>
        </is>
      </c>
      <c r="B3949" s="1" t="n">
        <v>45075</v>
      </c>
      <c r="C3949" s="1" t="n">
        <v>45846</v>
      </c>
      <c r="D3949" t="inlineStr">
        <is>
          <t>UPPSALA LÄN</t>
        </is>
      </c>
      <c r="E3949" t="inlineStr">
        <is>
          <t>UPPSALA</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23239-2023</t>
        </is>
      </c>
      <c r="B3950" s="1" t="n">
        <v>45075</v>
      </c>
      <c r="C3950" s="1" t="n">
        <v>45846</v>
      </c>
      <c r="D3950" t="inlineStr">
        <is>
          <t>UPPSALA LÄN</t>
        </is>
      </c>
      <c r="E3950" t="inlineStr">
        <is>
          <t>KNIVSTA</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23157-2023</t>
        </is>
      </c>
      <c r="B3951" s="1" t="n">
        <v>45075</v>
      </c>
      <c r="C3951" s="1" t="n">
        <v>45846</v>
      </c>
      <c r="D3951" t="inlineStr">
        <is>
          <t>UPPSALA LÄN</t>
        </is>
      </c>
      <c r="E3951" t="inlineStr">
        <is>
          <t>UPPSALA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23363-2023</t>
        </is>
      </c>
      <c r="B3952" s="1" t="n">
        <v>45076</v>
      </c>
      <c r="C3952" s="1" t="n">
        <v>45846</v>
      </c>
      <c r="D3952" t="inlineStr">
        <is>
          <t>UPPSALA LÄN</t>
        </is>
      </c>
      <c r="E3952" t="inlineStr">
        <is>
          <t>ÖSTHAMMAR</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23466-2023</t>
        </is>
      </c>
      <c r="B3953" s="1" t="n">
        <v>45076</v>
      </c>
      <c r="C3953" s="1" t="n">
        <v>45846</v>
      </c>
      <c r="D3953" t="inlineStr">
        <is>
          <t>UPPSALA LÄN</t>
        </is>
      </c>
      <c r="E3953" t="inlineStr">
        <is>
          <t>KNIVSTA</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23495-2023</t>
        </is>
      </c>
      <c r="B3954" s="1" t="n">
        <v>45076</v>
      </c>
      <c r="C3954" s="1" t="n">
        <v>45846</v>
      </c>
      <c r="D3954" t="inlineStr">
        <is>
          <t>UPPSALA LÄN</t>
        </is>
      </c>
      <c r="E3954" t="inlineStr">
        <is>
          <t>ÖSTHAMMAR</t>
        </is>
      </c>
      <c r="F3954" t="inlineStr">
        <is>
          <t>Sveaskog</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23929-2023</t>
        </is>
      </c>
      <c r="B3955" s="1" t="n">
        <v>45078</v>
      </c>
      <c r="C3955" s="1" t="n">
        <v>45846</v>
      </c>
      <c r="D3955" t="inlineStr">
        <is>
          <t>UPPSALA LÄN</t>
        </is>
      </c>
      <c r="E3955" t="inlineStr">
        <is>
          <t>UPPSALA</t>
        </is>
      </c>
      <c r="G3955" t="n">
        <v>12.7</v>
      </c>
      <c r="H3955" t="n">
        <v>0</v>
      </c>
      <c r="I3955" t="n">
        <v>0</v>
      </c>
      <c r="J3955" t="n">
        <v>0</v>
      </c>
      <c r="K3955" t="n">
        <v>0</v>
      </c>
      <c r="L3955" t="n">
        <v>0</v>
      </c>
      <c r="M3955" t="n">
        <v>0</v>
      </c>
      <c r="N3955" t="n">
        <v>0</v>
      </c>
      <c r="O3955" t="n">
        <v>0</v>
      </c>
      <c r="P3955" t="n">
        <v>0</v>
      </c>
      <c r="Q3955" t="n">
        <v>0</v>
      </c>
      <c r="R3955" s="2" t="inlineStr"/>
    </row>
    <row r="3956" ht="15" customHeight="1">
      <c r="A3956" t="inlineStr">
        <is>
          <t>A 24012-2023</t>
        </is>
      </c>
      <c r="B3956" s="1" t="n">
        <v>45078</v>
      </c>
      <c r="C3956" s="1" t="n">
        <v>45846</v>
      </c>
      <c r="D3956" t="inlineStr">
        <is>
          <t>UPPSALA LÄN</t>
        </is>
      </c>
      <c r="E3956" t="inlineStr">
        <is>
          <t>UPPSALA</t>
        </is>
      </c>
      <c r="F3956" t="inlineStr">
        <is>
          <t>Kyrkan</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24016-2023</t>
        </is>
      </c>
      <c r="B3957" s="1" t="n">
        <v>45078</v>
      </c>
      <c r="C3957" s="1" t="n">
        <v>45846</v>
      </c>
      <c r="D3957" t="inlineStr">
        <is>
          <t>UPPSALA LÄN</t>
        </is>
      </c>
      <c r="E3957" t="inlineStr">
        <is>
          <t>UPPSALA</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24033-2023</t>
        </is>
      </c>
      <c r="B3958" s="1" t="n">
        <v>45078</v>
      </c>
      <c r="C3958" s="1" t="n">
        <v>45846</v>
      </c>
      <c r="D3958" t="inlineStr">
        <is>
          <t>UPPSALA LÄN</t>
        </is>
      </c>
      <c r="E3958" t="inlineStr">
        <is>
          <t>ÖSTHAMMAR</t>
        </is>
      </c>
      <c r="F3958" t="inlineStr">
        <is>
          <t>Bergvik skog öst AB</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24009-2023</t>
        </is>
      </c>
      <c r="B3959" s="1" t="n">
        <v>45078</v>
      </c>
      <c r="C3959" s="1" t="n">
        <v>45846</v>
      </c>
      <c r="D3959" t="inlineStr">
        <is>
          <t>UPPSALA LÄN</t>
        </is>
      </c>
      <c r="E3959" t="inlineStr">
        <is>
          <t>UPPSALA</t>
        </is>
      </c>
      <c r="G3959" t="n">
        <v>9.199999999999999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24110-2023</t>
        </is>
      </c>
      <c r="B3960" s="1" t="n">
        <v>45079</v>
      </c>
      <c r="C3960" s="1" t="n">
        <v>45846</v>
      </c>
      <c r="D3960" t="inlineStr">
        <is>
          <t>UPPSALA LÄN</t>
        </is>
      </c>
      <c r="E3960" t="inlineStr">
        <is>
          <t>TIERP</t>
        </is>
      </c>
      <c r="F3960" t="inlineStr">
        <is>
          <t>Kyrkan</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24128-2023</t>
        </is>
      </c>
      <c r="B3961" s="1" t="n">
        <v>45079</v>
      </c>
      <c r="C3961" s="1" t="n">
        <v>45846</v>
      </c>
      <c r="D3961" t="inlineStr">
        <is>
          <t>UPPSALA LÄN</t>
        </is>
      </c>
      <c r="E3961" t="inlineStr">
        <is>
          <t>ÖSTHAMMAR</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24174-2023</t>
        </is>
      </c>
      <c r="B3962" s="1" t="n">
        <v>45079</v>
      </c>
      <c r="C3962" s="1" t="n">
        <v>45846</v>
      </c>
      <c r="D3962" t="inlineStr">
        <is>
          <t>UPPSALA LÄN</t>
        </is>
      </c>
      <c r="E3962" t="inlineStr">
        <is>
          <t>UPPSALA</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24325-2023</t>
        </is>
      </c>
      <c r="B3963" s="1" t="n">
        <v>45080</v>
      </c>
      <c r="C3963" s="1" t="n">
        <v>45846</v>
      </c>
      <c r="D3963" t="inlineStr">
        <is>
          <t>UPPSALA LÄN</t>
        </is>
      </c>
      <c r="E3963" t="inlineStr">
        <is>
          <t>ÖSTHAMMAR</t>
        </is>
      </c>
      <c r="F3963" t="inlineStr">
        <is>
          <t>Bergvik skog öst AB</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24324-2023</t>
        </is>
      </c>
      <c r="B3964" s="1" t="n">
        <v>45080</v>
      </c>
      <c r="C3964" s="1" t="n">
        <v>45846</v>
      </c>
      <c r="D3964" t="inlineStr">
        <is>
          <t>UPPSALA LÄN</t>
        </is>
      </c>
      <c r="E3964" t="inlineStr">
        <is>
          <t>ÖSTHAMMAR</t>
        </is>
      </c>
      <c r="F3964" t="inlineStr">
        <is>
          <t>Bergvik skog öst AB</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25408-2023</t>
        </is>
      </c>
      <c r="B3965" s="1" t="n">
        <v>45080</v>
      </c>
      <c r="C3965" s="1" t="n">
        <v>45846</v>
      </c>
      <c r="D3965" t="inlineStr">
        <is>
          <t>UPPSALA LÄN</t>
        </is>
      </c>
      <c r="E3965" t="inlineStr">
        <is>
          <t>TIERP</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24421-2023</t>
        </is>
      </c>
      <c r="B3966" s="1" t="n">
        <v>45082</v>
      </c>
      <c r="C3966" s="1" t="n">
        <v>45846</v>
      </c>
      <c r="D3966" t="inlineStr">
        <is>
          <t>UPPSALA LÄN</t>
        </is>
      </c>
      <c r="E3966" t="inlineStr">
        <is>
          <t>HEBY</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24408-2023</t>
        </is>
      </c>
      <c r="B3967" s="1" t="n">
        <v>45082</v>
      </c>
      <c r="C3967" s="1" t="n">
        <v>45846</v>
      </c>
      <c r="D3967" t="inlineStr">
        <is>
          <t>UPPSALA LÄN</t>
        </is>
      </c>
      <c r="E3967" t="inlineStr">
        <is>
          <t>HEBY</t>
        </is>
      </c>
      <c r="G3967" t="n">
        <v>6.7</v>
      </c>
      <c r="H3967" t="n">
        <v>0</v>
      </c>
      <c r="I3967" t="n">
        <v>0</v>
      </c>
      <c r="J3967" t="n">
        <v>0</v>
      </c>
      <c r="K3967" t="n">
        <v>0</v>
      </c>
      <c r="L3967" t="n">
        <v>0</v>
      </c>
      <c r="M3967" t="n">
        <v>0</v>
      </c>
      <c r="N3967" t="n">
        <v>0</v>
      </c>
      <c r="O3967" t="n">
        <v>0</v>
      </c>
      <c r="P3967" t="n">
        <v>0</v>
      </c>
      <c r="Q3967" t="n">
        <v>0</v>
      </c>
      <c r="R3967" s="2" t="inlineStr"/>
    </row>
    <row r="3968" ht="15" customHeight="1">
      <c r="A3968" t="inlineStr">
        <is>
          <t>A 24419-2023</t>
        </is>
      </c>
      <c r="B3968" s="1" t="n">
        <v>45082</v>
      </c>
      <c r="C3968" s="1" t="n">
        <v>45846</v>
      </c>
      <c r="D3968" t="inlineStr">
        <is>
          <t>UPPSALA LÄN</t>
        </is>
      </c>
      <c r="E3968" t="inlineStr">
        <is>
          <t>HEBY</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24428-2023</t>
        </is>
      </c>
      <c r="B3969" s="1" t="n">
        <v>45082</v>
      </c>
      <c r="C3969" s="1" t="n">
        <v>45846</v>
      </c>
      <c r="D3969" t="inlineStr">
        <is>
          <t>UPPSALA LÄN</t>
        </is>
      </c>
      <c r="E3969" t="inlineStr">
        <is>
          <t>ÖSTHAMMAR</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24493-2023</t>
        </is>
      </c>
      <c r="B3970" s="1" t="n">
        <v>45082</v>
      </c>
      <c r="C3970" s="1" t="n">
        <v>45846</v>
      </c>
      <c r="D3970" t="inlineStr">
        <is>
          <t>UPPSALA LÄN</t>
        </is>
      </c>
      <c r="E3970" t="inlineStr">
        <is>
          <t>ÖSTHAMMAR</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24491-2023</t>
        </is>
      </c>
      <c r="B3971" s="1" t="n">
        <v>45082</v>
      </c>
      <c r="C3971" s="1" t="n">
        <v>45846</v>
      </c>
      <c r="D3971" t="inlineStr">
        <is>
          <t>UPPSALA LÄN</t>
        </is>
      </c>
      <c r="E3971" t="inlineStr">
        <is>
          <t>ÖSTHAMMAR</t>
        </is>
      </c>
      <c r="G3971" t="n">
        <v>5.3</v>
      </c>
      <c r="H3971" t="n">
        <v>0</v>
      </c>
      <c r="I3971" t="n">
        <v>0</v>
      </c>
      <c r="J3971" t="n">
        <v>0</v>
      </c>
      <c r="K3971" t="n">
        <v>0</v>
      </c>
      <c r="L3971" t="n">
        <v>0</v>
      </c>
      <c r="M3971" t="n">
        <v>0</v>
      </c>
      <c r="N3971" t="n">
        <v>0</v>
      </c>
      <c r="O3971" t="n">
        <v>0</v>
      </c>
      <c r="P3971" t="n">
        <v>0</v>
      </c>
      <c r="Q3971" t="n">
        <v>0</v>
      </c>
      <c r="R3971" s="2" t="inlineStr"/>
    </row>
    <row r="3972" ht="15" customHeight="1">
      <c r="A3972" t="inlineStr">
        <is>
          <t>A 24559-2023</t>
        </is>
      </c>
      <c r="B3972" s="1" t="n">
        <v>45083</v>
      </c>
      <c r="C3972" s="1" t="n">
        <v>45846</v>
      </c>
      <c r="D3972" t="inlineStr">
        <is>
          <t>UPPSALA LÄN</t>
        </is>
      </c>
      <c r="E3972" t="inlineStr">
        <is>
          <t>HEBY</t>
        </is>
      </c>
      <c r="G3972" t="n">
        <v>6.6</v>
      </c>
      <c r="H3972" t="n">
        <v>0</v>
      </c>
      <c r="I3972" t="n">
        <v>0</v>
      </c>
      <c r="J3972" t="n">
        <v>0</v>
      </c>
      <c r="K3972" t="n">
        <v>0</v>
      </c>
      <c r="L3972" t="n">
        <v>0</v>
      </c>
      <c r="M3972" t="n">
        <v>0</v>
      </c>
      <c r="N3972" t="n">
        <v>0</v>
      </c>
      <c r="O3972" t="n">
        <v>0</v>
      </c>
      <c r="P3972" t="n">
        <v>0</v>
      </c>
      <c r="Q3972" t="n">
        <v>0</v>
      </c>
      <c r="R3972" s="2" t="inlineStr"/>
    </row>
    <row r="3973" ht="15" customHeight="1">
      <c r="A3973" t="inlineStr">
        <is>
          <t>A 24558-2023</t>
        </is>
      </c>
      <c r="B3973" s="1" t="n">
        <v>45083</v>
      </c>
      <c r="C3973" s="1" t="n">
        <v>45846</v>
      </c>
      <c r="D3973" t="inlineStr">
        <is>
          <t>UPPSALA LÄN</t>
        </is>
      </c>
      <c r="E3973" t="inlineStr">
        <is>
          <t>HEBY</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24562-2023</t>
        </is>
      </c>
      <c r="B3974" s="1" t="n">
        <v>45083</v>
      </c>
      <c r="C3974" s="1" t="n">
        <v>45846</v>
      </c>
      <c r="D3974" t="inlineStr">
        <is>
          <t>UPPSALA LÄN</t>
        </is>
      </c>
      <c r="E3974" t="inlineStr">
        <is>
          <t>HEBY</t>
        </is>
      </c>
      <c r="G3974" t="n">
        <v>5.5</v>
      </c>
      <c r="H3974" t="n">
        <v>0</v>
      </c>
      <c r="I3974" t="n">
        <v>0</v>
      </c>
      <c r="J3974" t="n">
        <v>0</v>
      </c>
      <c r="K3974" t="n">
        <v>0</v>
      </c>
      <c r="L3974" t="n">
        <v>0</v>
      </c>
      <c r="M3974" t="n">
        <v>0</v>
      </c>
      <c r="N3974" t="n">
        <v>0</v>
      </c>
      <c r="O3974" t="n">
        <v>0</v>
      </c>
      <c r="P3974" t="n">
        <v>0</v>
      </c>
      <c r="Q3974" t="n">
        <v>0</v>
      </c>
      <c r="R3974" s="2" t="inlineStr"/>
    </row>
    <row r="3975" ht="15" customHeight="1">
      <c r="A3975" t="inlineStr">
        <is>
          <t>A 24587-2023</t>
        </is>
      </c>
      <c r="B3975" s="1" t="n">
        <v>45083</v>
      </c>
      <c r="C3975" s="1" t="n">
        <v>45846</v>
      </c>
      <c r="D3975" t="inlineStr">
        <is>
          <t>UPPSALA LÄN</t>
        </is>
      </c>
      <c r="E3975" t="inlineStr">
        <is>
          <t>ÖSTHAMMAR</t>
        </is>
      </c>
      <c r="F3975" t="inlineStr">
        <is>
          <t>Bergvik skog öst AB</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24560-2023</t>
        </is>
      </c>
      <c r="B3976" s="1" t="n">
        <v>45083</v>
      </c>
      <c r="C3976" s="1" t="n">
        <v>45846</v>
      </c>
      <c r="D3976" t="inlineStr">
        <is>
          <t>UPPSALA LÄN</t>
        </is>
      </c>
      <c r="E3976" t="inlineStr">
        <is>
          <t>HEBY</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25333-2023</t>
        </is>
      </c>
      <c r="B3977" s="1" t="n">
        <v>45083</v>
      </c>
      <c r="C3977" s="1" t="n">
        <v>45846</v>
      </c>
      <c r="D3977" t="inlineStr">
        <is>
          <t>UPPSALA LÄN</t>
        </is>
      </c>
      <c r="E3977" t="inlineStr">
        <is>
          <t>ENKÖPING</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25334-2023</t>
        </is>
      </c>
      <c r="B3978" s="1" t="n">
        <v>45083</v>
      </c>
      <c r="C3978" s="1" t="n">
        <v>45846</v>
      </c>
      <c r="D3978" t="inlineStr">
        <is>
          <t>UPPSALA LÄN</t>
        </is>
      </c>
      <c r="E3978" t="inlineStr">
        <is>
          <t>ENKÖPING</t>
        </is>
      </c>
      <c r="G3978" t="n">
        <v>0.2</v>
      </c>
      <c r="H3978" t="n">
        <v>0</v>
      </c>
      <c r="I3978" t="n">
        <v>0</v>
      </c>
      <c r="J3978" t="n">
        <v>0</v>
      </c>
      <c r="K3978" t="n">
        <v>0</v>
      </c>
      <c r="L3978" t="n">
        <v>0</v>
      </c>
      <c r="M3978" t="n">
        <v>0</v>
      </c>
      <c r="N3978" t="n">
        <v>0</v>
      </c>
      <c r="O3978" t="n">
        <v>0</v>
      </c>
      <c r="P3978" t="n">
        <v>0</v>
      </c>
      <c r="Q3978" t="n">
        <v>0</v>
      </c>
      <c r="R3978" s="2" t="inlineStr"/>
    </row>
    <row r="3979" ht="15" customHeight="1">
      <c r="A3979" t="inlineStr">
        <is>
          <t>A 24642-2023</t>
        </is>
      </c>
      <c r="B3979" s="1" t="n">
        <v>45084</v>
      </c>
      <c r="C3979" s="1" t="n">
        <v>45846</v>
      </c>
      <c r="D3979" t="inlineStr">
        <is>
          <t>UPPSALA LÄN</t>
        </is>
      </c>
      <c r="E3979" t="inlineStr">
        <is>
          <t>ÖSTHAMMAR</t>
        </is>
      </c>
      <c r="F3979" t="inlineStr">
        <is>
          <t>Bergvik skog öst AB</t>
        </is>
      </c>
      <c r="G3979" t="n">
        <v>7.2</v>
      </c>
      <c r="H3979" t="n">
        <v>0</v>
      </c>
      <c r="I3979" t="n">
        <v>0</v>
      </c>
      <c r="J3979" t="n">
        <v>0</v>
      </c>
      <c r="K3979" t="n">
        <v>0</v>
      </c>
      <c r="L3979" t="n">
        <v>0</v>
      </c>
      <c r="M3979" t="n">
        <v>0</v>
      </c>
      <c r="N3979" t="n">
        <v>0</v>
      </c>
      <c r="O3979" t="n">
        <v>0</v>
      </c>
      <c r="P3979" t="n">
        <v>0</v>
      </c>
      <c r="Q3979" t="n">
        <v>0</v>
      </c>
      <c r="R3979" s="2" t="inlineStr"/>
    </row>
    <row r="3980" ht="15" customHeight="1">
      <c r="A3980" t="inlineStr">
        <is>
          <t>A 24648-2023</t>
        </is>
      </c>
      <c r="B3980" s="1" t="n">
        <v>45084</v>
      </c>
      <c r="C3980" s="1" t="n">
        <v>45846</v>
      </c>
      <c r="D3980" t="inlineStr">
        <is>
          <t>UPPSALA LÄN</t>
        </is>
      </c>
      <c r="E3980" t="inlineStr">
        <is>
          <t>ÖSTHAMMAR</t>
        </is>
      </c>
      <c r="F3980" t="inlineStr">
        <is>
          <t>Bergvik skog öst AB</t>
        </is>
      </c>
      <c r="G3980" t="n">
        <v>12.5</v>
      </c>
      <c r="H3980" t="n">
        <v>0</v>
      </c>
      <c r="I3980" t="n">
        <v>0</v>
      </c>
      <c r="J3980" t="n">
        <v>0</v>
      </c>
      <c r="K3980" t="n">
        <v>0</v>
      </c>
      <c r="L3980" t="n">
        <v>0</v>
      </c>
      <c r="M3980" t="n">
        <v>0</v>
      </c>
      <c r="N3980" t="n">
        <v>0</v>
      </c>
      <c r="O3980" t="n">
        <v>0</v>
      </c>
      <c r="P3980" t="n">
        <v>0</v>
      </c>
      <c r="Q3980" t="n">
        <v>0</v>
      </c>
      <c r="R3980" s="2" t="inlineStr"/>
    </row>
    <row r="3981" ht="15" customHeight="1">
      <c r="A3981" t="inlineStr">
        <is>
          <t>A 24670-2023</t>
        </is>
      </c>
      <c r="B3981" s="1" t="n">
        <v>45084</v>
      </c>
      <c r="C3981" s="1" t="n">
        <v>45846</v>
      </c>
      <c r="D3981" t="inlineStr">
        <is>
          <t>UPPSALA LÄN</t>
        </is>
      </c>
      <c r="E3981" t="inlineStr">
        <is>
          <t>UPPSALA</t>
        </is>
      </c>
      <c r="F3981" t="inlineStr">
        <is>
          <t>Holmen skog AB</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24751-2023</t>
        </is>
      </c>
      <c r="B3982" s="1" t="n">
        <v>45084</v>
      </c>
      <c r="C3982" s="1" t="n">
        <v>45846</v>
      </c>
      <c r="D3982" t="inlineStr">
        <is>
          <t>UPPSALA LÄN</t>
        </is>
      </c>
      <c r="E3982" t="inlineStr">
        <is>
          <t>ÖSTHAMMAR</t>
        </is>
      </c>
      <c r="F3982" t="inlineStr">
        <is>
          <t>Bergvik skog öst AB</t>
        </is>
      </c>
      <c r="G3982" t="n">
        <v>6.2</v>
      </c>
      <c r="H3982" t="n">
        <v>0</v>
      </c>
      <c r="I3982" t="n">
        <v>0</v>
      </c>
      <c r="J3982" t="n">
        <v>0</v>
      </c>
      <c r="K3982" t="n">
        <v>0</v>
      </c>
      <c r="L3982" t="n">
        <v>0</v>
      </c>
      <c r="M3982" t="n">
        <v>0</v>
      </c>
      <c r="N3982" t="n">
        <v>0</v>
      </c>
      <c r="O3982" t="n">
        <v>0</v>
      </c>
      <c r="P3982" t="n">
        <v>0</v>
      </c>
      <c r="Q3982" t="n">
        <v>0</v>
      </c>
      <c r="R3982" s="2" t="inlineStr"/>
    </row>
    <row r="3983" ht="15" customHeight="1">
      <c r="A3983" t="inlineStr">
        <is>
          <t>A 24962-2023</t>
        </is>
      </c>
      <c r="B3983" s="1" t="n">
        <v>45085</v>
      </c>
      <c r="C3983" s="1" t="n">
        <v>45846</v>
      </c>
      <c r="D3983" t="inlineStr">
        <is>
          <t>UPPSALA LÄN</t>
        </is>
      </c>
      <c r="E3983" t="inlineStr">
        <is>
          <t>ENKÖPING</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24960-2023</t>
        </is>
      </c>
      <c r="B3984" s="1" t="n">
        <v>45085</v>
      </c>
      <c r="C3984" s="1" t="n">
        <v>45846</v>
      </c>
      <c r="D3984" t="inlineStr">
        <is>
          <t>UPPSALA LÄN</t>
        </is>
      </c>
      <c r="E3984" t="inlineStr">
        <is>
          <t>ENKÖPING</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24974-2023</t>
        </is>
      </c>
      <c r="B3985" s="1" t="n">
        <v>45085</v>
      </c>
      <c r="C3985" s="1" t="n">
        <v>45846</v>
      </c>
      <c r="D3985" t="inlineStr">
        <is>
          <t>UPPSALA LÄN</t>
        </is>
      </c>
      <c r="E3985" t="inlineStr">
        <is>
          <t>ENKÖPING</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24978-2023</t>
        </is>
      </c>
      <c r="B3986" s="1" t="n">
        <v>45085</v>
      </c>
      <c r="C3986" s="1" t="n">
        <v>45846</v>
      </c>
      <c r="D3986" t="inlineStr">
        <is>
          <t>UPPSALA LÄN</t>
        </is>
      </c>
      <c r="E3986" t="inlineStr">
        <is>
          <t>ENKÖPING</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25235-2023</t>
        </is>
      </c>
      <c r="B3987" s="1" t="n">
        <v>45086</v>
      </c>
      <c r="C3987" s="1" t="n">
        <v>45846</v>
      </c>
      <c r="D3987" t="inlineStr">
        <is>
          <t>UPPSALA LÄN</t>
        </is>
      </c>
      <c r="E3987" t="inlineStr">
        <is>
          <t>HEBY</t>
        </is>
      </c>
      <c r="G3987" t="n">
        <v>7.7</v>
      </c>
      <c r="H3987" t="n">
        <v>0</v>
      </c>
      <c r="I3987" t="n">
        <v>0</v>
      </c>
      <c r="J3987" t="n">
        <v>0</v>
      </c>
      <c r="K3987" t="n">
        <v>0</v>
      </c>
      <c r="L3987" t="n">
        <v>0</v>
      </c>
      <c r="M3987" t="n">
        <v>0</v>
      </c>
      <c r="N3987" t="n">
        <v>0</v>
      </c>
      <c r="O3987" t="n">
        <v>0</v>
      </c>
      <c r="P3987" t="n">
        <v>0</v>
      </c>
      <c r="Q3987" t="n">
        <v>0</v>
      </c>
      <c r="R3987" s="2" t="inlineStr"/>
    </row>
    <row r="3988" ht="15" customHeight="1">
      <c r="A3988" t="inlineStr">
        <is>
          <t>A 25194-2023</t>
        </is>
      </c>
      <c r="B3988" s="1" t="n">
        <v>45086</v>
      </c>
      <c r="C3988" s="1" t="n">
        <v>45846</v>
      </c>
      <c r="D3988" t="inlineStr">
        <is>
          <t>UPPSALA LÄN</t>
        </is>
      </c>
      <c r="E3988" t="inlineStr">
        <is>
          <t>ÖSTHAMMAR</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25264-2023</t>
        </is>
      </c>
      <c r="B3989" s="1" t="n">
        <v>45086</v>
      </c>
      <c r="C3989" s="1" t="n">
        <v>45846</v>
      </c>
      <c r="D3989" t="inlineStr">
        <is>
          <t>UPPSALA LÄN</t>
        </is>
      </c>
      <c r="E3989" t="inlineStr">
        <is>
          <t>UPPSALA</t>
        </is>
      </c>
      <c r="F3989" t="inlineStr">
        <is>
          <t>Holmen skog AB</t>
        </is>
      </c>
      <c r="G3989" t="n">
        <v>5.9</v>
      </c>
      <c r="H3989" t="n">
        <v>0</v>
      </c>
      <c r="I3989" t="n">
        <v>0</v>
      </c>
      <c r="J3989" t="n">
        <v>0</v>
      </c>
      <c r="K3989" t="n">
        <v>0</v>
      </c>
      <c r="L3989" t="n">
        <v>0</v>
      </c>
      <c r="M3989" t="n">
        <v>0</v>
      </c>
      <c r="N3989" t="n">
        <v>0</v>
      </c>
      <c r="O3989" t="n">
        <v>0</v>
      </c>
      <c r="P3989" t="n">
        <v>0</v>
      </c>
      <c r="Q3989" t="n">
        <v>0</v>
      </c>
      <c r="R3989" s="2" t="inlineStr"/>
    </row>
    <row r="3990" ht="15" customHeight="1">
      <c r="A3990" t="inlineStr">
        <is>
          <t>A 25280-2023</t>
        </is>
      </c>
      <c r="B3990" s="1" t="n">
        <v>45086</v>
      </c>
      <c r="C3990" s="1" t="n">
        <v>45846</v>
      </c>
      <c r="D3990" t="inlineStr">
        <is>
          <t>UPPSALA LÄN</t>
        </is>
      </c>
      <c r="E3990" t="inlineStr">
        <is>
          <t>UPPSALA</t>
        </is>
      </c>
      <c r="F3990" t="inlineStr">
        <is>
          <t>Holmen skog AB</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25249-2023</t>
        </is>
      </c>
      <c r="B3991" s="1" t="n">
        <v>45086</v>
      </c>
      <c r="C3991" s="1" t="n">
        <v>45846</v>
      </c>
      <c r="D3991" t="inlineStr">
        <is>
          <t>UPPSALA LÄN</t>
        </is>
      </c>
      <c r="E3991" t="inlineStr">
        <is>
          <t>HEBY</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25380-2023</t>
        </is>
      </c>
      <c r="B3992" s="1" t="n">
        <v>45089</v>
      </c>
      <c r="C3992" s="1" t="n">
        <v>45846</v>
      </c>
      <c r="D3992" t="inlineStr">
        <is>
          <t>UPPSALA LÄN</t>
        </is>
      </c>
      <c r="E3992" t="inlineStr">
        <is>
          <t>UPPSALA</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25529-2023</t>
        </is>
      </c>
      <c r="B3993" s="1" t="n">
        <v>45089</v>
      </c>
      <c r="C3993" s="1" t="n">
        <v>45846</v>
      </c>
      <c r="D3993" t="inlineStr">
        <is>
          <t>UPPSALA LÄN</t>
        </is>
      </c>
      <c r="E3993" t="inlineStr">
        <is>
          <t>HEBY</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25381-2023</t>
        </is>
      </c>
      <c r="B3994" s="1" t="n">
        <v>45089</v>
      </c>
      <c r="C3994" s="1" t="n">
        <v>45846</v>
      </c>
      <c r="D3994" t="inlineStr">
        <is>
          <t>UPPSALA LÄN</t>
        </is>
      </c>
      <c r="E3994" t="inlineStr">
        <is>
          <t>UPPSALA</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25446-2023</t>
        </is>
      </c>
      <c r="B3995" s="1" t="n">
        <v>45089</v>
      </c>
      <c r="C3995" s="1" t="n">
        <v>45846</v>
      </c>
      <c r="D3995" t="inlineStr">
        <is>
          <t>UPPSALA LÄN</t>
        </is>
      </c>
      <c r="E3995" t="inlineStr">
        <is>
          <t>UPPSALA</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25525-2023</t>
        </is>
      </c>
      <c r="B3996" s="1" t="n">
        <v>45089</v>
      </c>
      <c r="C3996" s="1" t="n">
        <v>45846</v>
      </c>
      <c r="D3996" t="inlineStr">
        <is>
          <t>UPPSALA LÄN</t>
        </is>
      </c>
      <c r="E3996" t="inlineStr">
        <is>
          <t>HEBY</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25462-2023</t>
        </is>
      </c>
      <c r="B3997" s="1" t="n">
        <v>45089</v>
      </c>
      <c r="C3997" s="1" t="n">
        <v>45846</v>
      </c>
      <c r="D3997" t="inlineStr">
        <is>
          <t>UPPSALA LÄN</t>
        </is>
      </c>
      <c r="E3997" t="inlineStr">
        <is>
          <t>UPPSALA</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26612-2023</t>
        </is>
      </c>
      <c r="B3998" s="1" t="n">
        <v>45089</v>
      </c>
      <c r="C3998" s="1" t="n">
        <v>45846</v>
      </c>
      <c r="D3998" t="inlineStr">
        <is>
          <t>UPPSALA LÄN</t>
        </is>
      </c>
      <c r="E3998" t="inlineStr">
        <is>
          <t>ÖSTHAMMAR</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26610-2023</t>
        </is>
      </c>
      <c r="B3999" s="1" t="n">
        <v>45089</v>
      </c>
      <c r="C3999" s="1" t="n">
        <v>45846</v>
      </c>
      <c r="D3999" t="inlineStr">
        <is>
          <t>UPPSALA LÄN</t>
        </is>
      </c>
      <c r="E3999" t="inlineStr">
        <is>
          <t>ÖSTHAMMAR</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25784-2023</t>
        </is>
      </c>
      <c r="B4000" s="1" t="n">
        <v>45090</v>
      </c>
      <c r="C4000" s="1" t="n">
        <v>45846</v>
      </c>
      <c r="D4000" t="inlineStr">
        <is>
          <t>UPPSALA LÄN</t>
        </is>
      </c>
      <c r="E4000" t="inlineStr">
        <is>
          <t>TIERP</t>
        </is>
      </c>
      <c r="F4000" t="inlineStr">
        <is>
          <t>Bergvik skog väst AB</t>
        </is>
      </c>
      <c r="G4000" t="n">
        <v>6.9</v>
      </c>
      <c r="H4000" t="n">
        <v>0</v>
      </c>
      <c r="I4000" t="n">
        <v>0</v>
      </c>
      <c r="J4000" t="n">
        <v>0</v>
      </c>
      <c r="K4000" t="n">
        <v>0</v>
      </c>
      <c r="L4000" t="n">
        <v>0</v>
      </c>
      <c r="M4000" t="n">
        <v>0</v>
      </c>
      <c r="N4000" t="n">
        <v>0</v>
      </c>
      <c r="O4000" t="n">
        <v>0</v>
      </c>
      <c r="P4000" t="n">
        <v>0</v>
      </c>
      <c r="Q4000" t="n">
        <v>0</v>
      </c>
      <c r="R4000" s="2" t="inlineStr"/>
    </row>
    <row r="4001" ht="15" customHeight="1">
      <c r="A4001" t="inlineStr">
        <is>
          <t>A 25897-2023</t>
        </is>
      </c>
      <c r="B4001" s="1" t="n">
        <v>45090</v>
      </c>
      <c r="C4001" s="1" t="n">
        <v>45846</v>
      </c>
      <c r="D4001" t="inlineStr">
        <is>
          <t>UPPSALA LÄN</t>
        </is>
      </c>
      <c r="E4001" t="inlineStr">
        <is>
          <t>ÖSTHAMMAR</t>
        </is>
      </c>
      <c r="F4001" t="inlineStr">
        <is>
          <t>Bergvik skog öst AB</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25939-2023</t>
        </is>
      </c>
      <c r="B4002" s="1" t="n">
        <v>45090</v>
      </c>
      <c r="C4002" s="1" t="n">
        <v>45846</v>
      </c>
      <c r="D4002" t="inlineStr">
        <is>
          <t>UPPSALA LÄN</t>
        </is>
      </c>
      <c r="E4002" t="inlineStr">
        <is>
          <t>UPPSALA</t>
        </is>
      </c>
      <c r="F4002" t="inlineStr">
        <is>
          <t>Holmen skog AB</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25903-2023</t>
        </is>
      </c>
      <c r="B4003" s="1" t="n">
        <v>45090</v>
      </c>
      <c r="C4003" s="1" t="n">
        <v>45846</v>
      </c>
      <c r="D4003" t="inlineStr">
        <is>
          <t>UPPSALA LÄN</t>
        </is>
      </c>
      <c r="E4003" t="inlineStr">
        <is>
          <t>ÖSTHAMMAR</t>
        </is>
      </c>
      <c r="F4003" t="inlineStr">
        <is>
          <t>Bergvik skog öst AB</t>
        </is>
      </c>
      <c r="G4003" t="n">
        <v>29.2</v>
      </c>
      <c r="H4003" t="n">
        <v>0</v>
      </c>
      <c r="I4003" t="n">
        <v>0</v>
      </c>
      <c r="J4003" t="n">
        <v>0</v>
      </c>
      <c r="K4003" t="n">
        <v>0</v>
      </c>
      <c r="L4003" t="n">
        <v>0</v>
      </c>
      <c r="M4003" t="n">
        <v>0</v>
      </c>
      <c r="N4003" t="n">
        <v>0</v>
      </c>
      <c r="O4003" t="n">
        <v>0</v>
      </c>
      <c r="P4003" t="n">
        <v>0</v>
      </c>
      <c r="Q4003" t="n">
        <v>0</v>
      </c>
      <c r="R4003" s="2" t="inlineStr"/>
    </row>
    <row r="4004" ht="15" customHeight="1">
      <c r="A4004" t="inlineStr">
        <is>
          <t>A 25970-2023</t>
        </is>
      </c>
      <c r="B4004" s="1" t="n">
        <v>45090</v>
      </c>
      <c r="C4004" s="1" t="n">
        <v>45846</v>
      </c>
      <c r="D4004" t="inlineStr">
        <is>
          <t>UPPSALA LÄN</t>
        </is>
      </c>
      <c r="E4004" t="inlineStr">
        <is>
          <t>ÖSTHAMMAR</t>
        </is>
      </c>
      <c r="F4004" t="inlineStr">
        <is>
          <t>Sveaskog</t>
        </is>
      </c>
      <c r="G4004" t="n">
        <v>5.2</v>
      </c>
      <c r="H4004" t="n">
        <v>0</v>
      </c>
      <c r="I4004" t="n">
        <v>0</v>
      </c>
      <c r="J4004" t="n">
        <v>0</v>
      </c>
      <c r="K4004" t="n">
        <v>0</v>
      </c>
      <c r="L4004" t="n">
        <v>0</v>
      </c>
      <c r="M4004" t="n">
        <v>0</v>
      </c>
      <c r="N4004" t="n">
        <v>0</v>
      </c>
      <c r="O4004" t="n">
        <v>0</v>
      </c>
      <c r="P4004" t="n">
        <v>0</v>
      </c>
      <c r="Q4004" t="n">
        <v>0</v>
      </c>
      <c r="R4004" s="2" t="inlineStr"/>
    </row>
    <row r="4005" ht="15" customHeight="1">
      <c r="A4005" t="inlineStr">
        <is>
          <t>A 25971-2023</t>
        </is>
      </c>
      <c r="B4005" s="1" t="n">
        <v>45090</v>
      </c>
      <c r="C4005" s="1" t="n">
        <v>45846</v>
      </c>
      <c r="D4005" t="inlineStr">
        <is>
          <t>UPPSALA LÄN</t>
        </is>
      </c>
      <c r="E4005" t="inlineStr">
        <is>
          <t>HEBY</t>
        </is>
      </c>
      <c r="F4005" t="inlineStr">
        <is>
          <t>Övriga Aktiebolag</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25968-2023</t>
        </is>
      </c>
      <c r="B4006" s="1" t="n">
        <v>45090</v>
      </c>
      <c r="C4006" s="1" t="n">
        <v>45846</v>
      </c>
      <c r="D4006" t="inlineStr">
        <is>
          <t>UPPSALA LÄN</t>
        </is>
      </c>
      <c r="E4006" t="inlineStr">
        <is>
          <t>ÖSTHAMMAR</t>
        </is>
      </c>
      <c r="F4006" t="inlineStr">
        <is>
          <t>Sveaskog</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25969-2023</t>
        </is>
      </c>
      <c r="B4007" s="1" t="n">
        <v>45090</v>
      </c>
      <c r="C4007" s="1" t="n">
        <v>45846</v>
      </c>
      <c r="D4007" t="inlineStr">
        <is>
          <t>UPPSALA LÄN</t>
        </is>
      </c>
      <c r="E4007" t="inlineStr">
        <is>
          <t>ÖSTHAMMAR</t>
        </is>
      </c>
      <c r="F4007" t="inlineStr">
        <is>
          <t>Sveaskog</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25972-2023</t>
        </is>
      </c>
      <c r="B4008" s="1" t="n">
        <v>45090</v>
      </c>
      <c r="C4008" s="1" t="n">
        <v>45846</v>
      </c>
      <c r="D4008" t="inlineStr">
        <is>
          <t>UPPSALA LÄN</t>
        </is>
      </c>
      <c r="E4008" t="inlineStr">
        <is>
          <t>HEBY</t>
        </is>
      </c>
      <c r="F4008" t="inlineStr">
        <is>
          <t>Övriga Aktiebolag</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26332-2023</t>
        </is>
      </c>
      <c r="B4009" s="1" t="n">
        <v>45091</v>
      </c>
      <c r="C4009" s="1" t="n">
        <v>45846</v>
      </c>
      <c r="D4009" t="inlineStr">
        <is>
          <t>UPPSALA LÄN</t>
        </is>
      </c>
      <c r="E4009" t="inlineStr">
        <is>
          <t>HEBY</t>
        </is>
      </c>
      <c r="F4009" t="inlineStr">
        <is>
          <t>Övriga Aktiebolag</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26208-2023</t>
        </is>
      </c>
      <c r="B4010" s="1" t="n">
        <v>45091</v>
      </c>
      <c r="C4010" s="1" t="n">
        <v>45846</v>
      </c>
      <c r="D4010" t="inlineStr">
        <is>
          <t>UPPSALA LÄN</t>
        </is>
      </c>
      <c r="E4010" t="inlineStr">
        <is>
          <t>UPPSALA</t>
        </is>
      </c>
      <c r="F4010" t="inlineStr">
        <is>
          <t>Holmen skog AB</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26275-2023</t>
        </is>
      </c>
      <c r="B4011" s="1" t="n">
        <v>45091</v>
      </c>
      <c r="C4011" s="1" t="n">
        <v>45846</v>
      </c>
      <c r="D4011" t="inlineStr">
        <is>
          <t>UPPSALA LÄN</t>
        </is>
      </c>
      <c r="E4011" t="inlineStr">
        <is>
          <t>TIERP</t>
        </is>
      </c>
      <c r="F4011" t="inlineStr">
        <is>
          <t>Bergvik skog väst AB</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26298-2023</t>
        </is>
      </c>
      <c r="B4012" s="1" t="n">
        <v>45091</v>
      </c>
      <c r="C4012" s="1" t="n">
        <v>45846</v>
      </c>
      <c r="D4012" t="inlineStr">
        <is>
          <t>UPPSALA LÄN</t>
        </is>
      </c>
      <c r="E4012" t="inlineStr">
        <is>
          <t>UPPSALA</t>
        </is>
      </c>
      <c r="G4012" t="n">
        <v>10.8</v>
      </c>
      <c r="H4012" t="n">
        <v>0</v>
      </c>
      <c r="I4012" t="n">
        <v>0</v>
      </c>
      <c r="J4012" t="n">
        <v>0</v>
      </c>
      <c r="K4012" t="n">
        <v>0</v>
      </c>
      <c r="L4012" t="n">
        <v>0</v>
      </c>
      <c r="M4012" t="n">
        <v>0</v>
      </c>
      <c r="N4012" t="n">
        <v>0</v>
      </c>
      <c r="O4012" t="n">
        <v>0</v>
      </c>
      <c r="P4012" t="n">
        <v>0</v>
      </c>
      <c r="Q4012" t="n">
        <v>0</v>
      </c>
      <c r="R4012" s="2" t="inlineStr"/>
    </row>
    <row r="4013" ht="15" customHeight="1">
      <c r="A4013" t="inlineStr">
        <is>
          <t>A 26331-2023</t>
        </is>
      </c>
      <c r="B4013" s="1" t="n">
        <v>45091</v>
      </c>
      <c r="C4013" s="1" t="n">
        <v>45846</v>
      </c>
      <c r="D4013" t="inlineStr">
        <is>
          <t>UPPSALA LÄN</t>
        </is>
      </c>
      <c r="E4013" t="inlineStr">
        <is>
          <t>HEBY</t>
        </is>
      </c>
      <c r="F4013" t="inlineStr">
        <is>
          <t>Övriga Aktiebolag</t>
        </is>
      </c>
      <c r="G4013" t="n">
        <v>5.1</v>
      </c>
      <c r="H4013" t="n">
        <v>0</v>
      </c>
      <c r="I4013" t="n">
        <v>0</v>
      </c>
      <c r="J4013" t="n">
        <v>0</v>
      </c>
      <c r="K4013" t="n">
        <v>0</v>
      </c>
      <c r="L4013" t="n">
        <v>0</v>
      </c>
      <c r="M4013" t="n">
        <v>0</v>
      </c>
      <c r="N4013" t="n">
        <v>0</v>
      </c>
      <c r="O4013" t="n">
        <v>0</v>
      </c>
      <c r="P4013" t="n">
        <v>0</v>
      </c>
      <c r="Q4013" t="n">
        <v>0</v>
      </c>
      <c r="R4013" s="2" t="inlineStr"/>
    </row>
    <row r="4014" ht="15" customHeight="1">
      <c r="A4014" t="inlineStr">
        <is>
          <t>A 26323-2023</t>
        </is>
      </c>
      <c r="B4014" s="1" t="n">
        <v>45091</v>
      </c>
      <c r="C4014" s="1" t="n">
        <v>45846</v>
      </c>
      <c r="D4014" t="inlineStr">
        <is>
          <t>UPPSALA LÄN</t>
        </is>
      </c>
      <c r="E4014" t="inlineStr">
        <is>
          <t>UPPSALA</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26333-2023</t>
        </is>
      </c>
      <c r="B4015" s="1" t="n">
        <v>45091</v>
      </c>
      <c r="C4015" s="1" t="n">
        <v>45846</v>
      </c>
      <c r="D4015" t="inlineStr">
        <is>
          <t>UPPSALA LÄN</t>
        </is>
      </c>
      <c r="E4015" t="inlineStr">
        <is>
          <t>HEBY</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26081-2023</t>
        </is>
      </c>
      <c r="B4016" s="1" t="n">
        <v>45091</v>
      </c>
      <c r="C4016" s="1" t="n">
        <v>45846</v>
      </c>
      <c r="D4016" t="inlineStr">
        <is>
          <t>UPPSALA LÄN</t>
        </is>
      </c>
      <c r="E4016" t="inlineStr">
        <is>
          <t>UPPSALA</t>
        </is>
      </c>
      <c r="F4016" t="inlineStr">
        <is>
          <t>Holmen skog AB</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26143-2023</t>
        </is>
      </c>
      <c r="B4017" s="1" t="n">
        <v>45091</v>
      </c>
      <c r="C4017" s="1" t="n">
        <v>45846</v>
      </c>
      <c r="D4017" t="inlineStr">
        <is>
          <t>UPPSALA LÄN</t>
        </is>
      </c>
      <c r="E4017" t="inlineStr">
        <is>
          <t>UPPSALA</t>
        </is>
      </c>
      <c r="F4017" t="inlineStr">
        <is>
          <t>Holmen skog AB</t>
        </is>
      </c>
      <c r="G4017" t="n">
        <v>4.7</v>
      </c>
      <c r="H4017" t="n">
        <v>0</v>
      </c>
      <c r="I4017" t="n">
        <v>0</v>
      </c>
      <c r="J4017" t="n">
        <v>0</v>
      </c>
      <c r="K4017" t="n">
        <v>0</v>
      </c>
      <c r="L4017" t="n">
        <v>0</v>
      </c>
      <c r="M4017" t="n">
        <v>0</v>
      </c>
      <c r="N4017" t="n">
        <v>0</v>
      </c>
      <c r="O4017" t="n">
        <v>0</v>
      </c>
      <c r="P4017" t="n">
        <v>0</v>
      </c>
      <c r="Q4017" t="n">
        <v>0</v>
      </c>
      <c r="R4017" s="2" t="inlineStr"/>
    </row>
    <row r="4018" ht="15" customHeight="1">
      <c r="A4018" t="inlineStr">
        <is>
          <t>A 26134-2023</t>
        </is>
      </c>
      <c r="B4018" s="1" t="n">
        <v>45091</v>
      </c>
      <c r="C4018" s="1" t="n">
        <v>45846</v>
      </c>
      <c r="D4018" t="inlineStr">
        <is>
          <t>UPPSALA LÄN</t>
        </is>
      </c>
      <c r="E4018" t="inlineStr">
        <is>
          <t>UPPSALA</t>
        </is>
      </c>
      <c r="G4018" t="n">
        <v>4.4</v>
      </c>
      <c r="H4018" t="n">
        <v>0</v>
      </c>
      <c r="I4018" t="n">
        <v>0</v>
      </c>
      <c r="J4018" t="n">
        <v>0</v>
      </c>
      <c r="K4018" t="n">
        <v>0</v>
      </c>
      <c r="L4018" t="n">
        <v>0</v>
      </c>
      <c r="M4018" t="n">
        <v>0</v>
      </c>
      <c r="N4018" t="n">
        <v>0</v>
      </c>
      <c r="O4018" t="n">
        <v>0</v>
      </c>
      <c r="P4018" t="n">
        <v>0</v>
      </c>
      <c r="Q4018" t="n">
        <v>0</v>
      </c>
      <c r="R4018" s="2" t="inlineStr"/>
    </row>
    <row r="4019" ht="15" customHeight="1">
      <c r="A4019" t="inlineStr">
        <is>
          <t>A 26380-2023</t>
        </is>
      </c>
      <c r="B4019" s="1" t="n">
        <v>45092</v>
      </c>
      <c r="C4019" s="1" t="n">
        <v>45846</v>
      </c>
      <c r="D4019" t="inlineStr">
        <is>
          <t>UPPSALA LÄN</t>
        </is>
      </c>
      <c r="E4019" t="inlineStr">
        <is>
          <t>TIERP</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26546-2023</t>
        </is>
      </c>
      <c r="B4020" s="1" t="n">
        <v>45092</v>
      </c>
      <c r="C4020" s="1" t="n">
        <v>45846</v>
      </c>
      <c r="D4020" t="inlineStr">
        <is>
          <t>UPPSALA LÄN</t>
        </is>
      </c>
      <c r="E4020" t="inlineStr">
        <is>
          <t>TIERP</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26421-2023</t>
        </is>
      </c>
      <c r="B4021" s="1" t="n">
        <v>45092</v>
      </c>
      <c r="C4021" s="1" t="n">
        <v>45846</v>
      </c>
      <c r="D4021" t="inlineStr">
        <is>
          <t>UPPSALA LÄN</t>
        </is>
      </c>
      <c r="E4021" t="inlineStr">
        <is>
          <t>HEBY</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26449-2023</t>
        </is>
      </c>
      <c r="B4022" s="1" t="n">
        <v>45092</v>
      </c>
      <c r="C4022" s="1" t="n">
        <v>45846</v>
      </c>
      <c r="D4022" t="inlineStr">
        <is>
          <t>UPPSALA LÄN</t>
        </is>
      </c>
      <c r="E4022" t="inlineStr">
        <is>
          <t>HEBY</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26511-2023</t>
        </is>
      </c>
      <c r="B4023" s="1" t="n">
        <v>45092</v>
      </c>
      <c r="C4023" s="1" t="n">
        <v>45846</v>
      </c>
      <c r="D4023" t="inlineStr">
        <is>
          <t>UPPSALA LÄN</t>
        </is>
      </c>
      <c r="E4023" t="inlineStr">
        <is>
          <t>HEBY</t>
        </is>
      </c>
      <c r="F4023" t="inlineStr">
        <is>
          <t>Sveaskog</t>
        </is>
      </c>
      <c r="G4023" t="n">
        <v>6.4</v>
      </c>
      <c r="H4023" t="n">
        <v>0</v>
      </c>
      <c r="I4023" t="n">
        <v>0</v>
      </c>
      <c r="J4023" t="n">
        <v>0</v>
      </c>
      <c r="K4023" t="n">
        <v>0</v>
      </c>
      <c r="L4023" t="n">
        <v>0</v>
      </c>
      <c r="M4023" t="n">
        <v>0</v>
      </c>
      <c r="N4023" t="n">
        <v>0</v>
      </c>
      <c r="O4023" t="n">
        <v>0</v>
      </c>
      <c r="P4023" t="n">
        <v>0</v>
      </c>
      <c r="Q4023" t="n">
        <v>0</v>
      </c>
      <c r="R4023" s="2" t="inlineStr"/>
    </row>
    <row r="4024" ht="15" customHeight="1">
      <c r="A4024" t="inlineStr">
        <is>
          <t>A 26541-2023</t>
        </is>
      </c>
      <c r="B4024" s="1" t="n">
        <v>45092</v>
      </c>
      <c r="C4024" s="1" t="n">
        <v>45846</v>
      </c>
      <c r="D4024" t="inlineStr">
        <is>
          <t>UPPSALA LÄN</t>
        </is>
      </c>
      <c r="E4024" t="inlineStr">
        <is>
          <t>TIERP</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26559-2023</t>
        </is>
      </c>
      <c r="B4025" s="1" t="n">
        <v>45092</v>
      </c>
      <c r="C4025" s="1" t="n">
        <v>45846</v>
      </c>
      <c r="D4025" t="inlineStr">
        <is>
          <t>UPPSALA LÄN</t>
        </is>
      </c>
      <c r="E4025" t="inlineStr">
        <is>
          <t>HEBY</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26550-2023</t>
        </is>
      </c>
      <c r="B4026" s="1" t="n">
        <v>45092</v>
      </c>
      <c r="C4026" s="1" t="n">
        <v>45846</v>
      </c>
      <c r="D4026" t="inlineStr">
        <is>
          <t>UPPSALA LÄN</t>
        </is>
      </c>
      <c r="E4026" t="inlineStr">
        <is>
          <t>HEBY</t>
        </is>
      </c>
      <c r="G4026" t="n">
        <v>10.4</v>
      </c>
      <c r="H4026" t="n">
        <v>0</v>
      </c>
      <c r="I4026" t="n">
        <v>0</v>
      </c>
      <c r="J4026" t="n">
        <v>0</v>
      </c>
      <c r="K4026" t="n">
        <v>0</v>
      </c>
      <c r="L4026" t="n">
        <v>0</v>
      </c>
      <c r="M4026" t="n">
        <v>0</v>
      </c>
      <c r="N4026" t="n">
        <v>0</v>
      </c>
      <c r="O4026" t="n">
        <v>0</v>
      </c>
      <c r="P4026" t="n">
        <v>0</v>
      </c>
      <c r="Q4026" t="n">
        <v>0</v>
      </c>
      <c r="R4026" s="2" t="inlineStr"/>
    </row>
    <row r="4027" ht="15" customHeight="1">
      <c r="A4027" t="inlineStr">
        <is>
          <t>A 26571-2023</t>
        </is>
      </c>
      <c r="B4027" s="1" t="n">
        <v>45092</v>
      </c>
      <c r="C4027" s="1" t="n">
        <v>45846</v>
      </c>
      <c r="D4027" t="inlineStr">
        <is>
          <t>UPPSALA LÄN</t>
        </is>
      </c>
      <c r="E4027" t="inlineStr">
        <is>
          <t>HEBY</t>
        </is>
      </c>
      <c r="G4027" t="n">
        <v>5.6</v>
      </c>
      <c r="H4027" t="n">
        <v>0</v>
      </c>
      <c r="I4027" t="n">
        <v>0</v>
      </c>
      <c r="J4027" t="n">
        <v>0</v>
      </c>
      <c r="K4027" t="n">
        <v>0</v>
      </c>
      <c r="L4027" t="n">
        <v>0</v>
      </c>
      <c r="M4027" t="n">
        <v>0</v>
      </c>
      <c r="N4027" t="n">
        <v>0</v>
      </c>
      <c r="O4027" t="n">
        <v>0</v>
      </c>
      <c r="P4027" t="n">
        <v>0</v>
      </c>
      <c r="Q4027" t="n">
        <v>0</v>
      </c>
      <c r="R4027" s="2" t="inlineStr"/>
    </row>
    <row r="4028" ht="15" customHeight="1">
      <c r="A4028" t="inlineStr">
        <is>
          <t>A 26577-2023</t>
        </is>
      </c>
      <c r="B4028" s="1" t="n">
        <v>45092</v>
      </c>
      <c r="C4028" s="1" t="n">
        <v>45846</v>
      </c>
      <c r="D4028" t="inlineStr">
        <is>
          <t>UPPSALA LÄN</t>
        </is>
      </c>
      <c r="E4028" t="inlineStr">
        <is>
          <t>ENKÖPING</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26759-2023</t>
        </is>
      </c>
      <c r="B4029" s="1" t="n">
        <v>45093</v>
      </c>
      <c r="C4029" s="1" t="n">
        <v>45846</v>
      </c>
      <c r="D4029" t="inlineStr">
        <is>
          <t>UPPSALA LÄN</t>
        </is>
      </c>
      <c r="E4029" t="inlineStr">
        <is>
          <t>UPPSALA</t>
        </is>
      </c>
      <c r="F4029" t="inlineStr">
        <is>
          <t>Sveaskog</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26774-2023</t>
        </is>
      </c>
      <c r="B4030" s="1" t="n">
        <v>45093</v>
      </c>
      <c r="C4030" s="1" t="n">
        <v>45846</v>
      </c>
      <c r="D4030" t="inlineStr">
        <is>
          <t>UPPSALA LÄN</t>
        </is>
      </c>
      <c r="E4030" t="inlineStr">
        <is>
          <t>ÖSTHAMMAR</t>
        </is>
      </c>
      <c r="F4030" t="inlineStr">
        <is>
          <t>Bergvik skog öst AB</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26762-2023</t>
        </is>
      </c>
      <c r="B4031" s="1" t="n">
        <v>45093</v>
      </c>
      <c r="C4031" s="1" t="n">
        <v>45846</v>
      </c>
      <c r="D4031" t="inlineStr">
        <is>
          <t>UPPSALA LÄN</t>
        </is>
      </c>
      <c r="E4031" t="inlineStr">
        <is>
          <t>UPPSALA</t>
        </is>
      </c>
      <c r="F4031" t="inlineStr">
        <is>
          <t>Sveaskog</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26734-2023</t>
        </is>
      </c>
      <c r="B4032" s="1" t="n">
        <v>45093</v>
      </c>
      <c r="C4032" s="1" t="n">
        <v>45846</v>
      </c>
      <c r="D4032" t="inlineStr">
        <is>
          <t>UPPSALA LÄN</t>
        </is>
      </c>
      <c r="E4032" t="inlineStr">
        <is>
          <t>ÖSTHAMMAR</t>
        </is>
      </c>
      <c r="F4032" t="inlineStr">
        <is>
          <t>Bergvik skog öst AB</t>
        </is>
      </c>
      <c r="G4032" t="n">
        <v>25.5</v>
      </c>
      <c r="H4032" t="n">
        <v>0</v>
      </c>
      <c r="I4032" t="n">
        <v>0</v>
      </c>
      <c r="J4032" t="n">
        <v>0</v>
      </c>
      <c r="K4032" t="n">
        <v>0</v>
      </c>
      <c r="L4032" t="n">
        <v>0</v>
      </c>
      <c r="M4032" t="n">
        <v>0</v>
      </c>
      <c r="N4032" t="n">
        <v>0</v>
      </c>
      <c r="O4032" t="n">
        <v>0</v>
      </c>
      <c r="P4032" t="n">
        <v>0</v>
      </c>
      <c r="Q4032" t="n">
        <v>0</v>
      </c>
      <c r="R4032" s="2" t="inlineStr"/>
    </row>
    <row r="4033" ht="15" customHeight="1">
      <c r="A4033" t="inlineStr">
        <is>
          <t>A 28170-2023</t>
        </is>
      </c>
      <c r="B4033" s="1" t="n">
        <v>45093</v>
      </c>
      <c r="C4033" s="1" t="n">
        <v>45846</v>
      </c>
      <c r="D4033" t="inlineStr">
        <is>
          <t>UPPSALA LÄN</t>
        </is>
      </c>
      <c r="E4033" t="inlineStr">
        <is>
          <t>ÖSTHAMMAR</t>
        </is>
      </c>
      <c r="G4033" t="n">
        <v>7.2</v>
      </c>
      <c r="H4033" t="n">
        <v>0</v>
      </c>
      <c r="I4033" t="n">
        <v>0</v>
      </c>
      <c r="J4033" t="n">
        <v>0</v>
      </c>
      <c r="K4033" t="n">
        <v>0</v>
      </c>
      <c r="L4033" t="n">
        <v>0</v>
      </c>
      <c r="M4033" t="n">
        <v>0</v>
      </c>
      <c r="N4033" t="n">
        <v>0</v>
      </c>
      <c r="O4033" t="n">
        <v>0</v>
      </c>
      <c r="P4033" t="n">
        <v>0</v>
      </c>
      <c r="Q4033" t="n">
        <v>0</v>
      </c>
      <c r="R4033" s="2" t="inlineStr"/>
    </row>
    <row r="4034" ht="15" customHeight="1">
      <c r="A4034" t="inlineStr">
        <is>
          <t>A 27128-2023</t>
        </is>
      </c>
      <c r="B4034" s="1" t="n">
        <v>45096</v>
      </c>
      <c r="C4034" s="1" t="n">
        <v>45846</v>
      </c>
      <c r="D4034" t="inlineStr">
        <is>
          <t>UPPSALA LÄN</t>
        </is>
      </c>
      <c r="E4034" t="inlineStr">
        <is>
          <t>UPPSALA</t>
        </is>
      </c>
      <c r="G4034" t="n">
        <v>3.8</v>
      </c>
      <c r="H4034" t="n">
        <v>0</v>
      </c>
      <c r="I4034" t="n">
        <v>0</v>
      </c>
      <c r="J4034" t="n">
        <v>0</v>
      </c>
      <c r="K4034" t="n">
        <v>0</v>
      </c>
      <c r="L4034" t="n">
        <v>0</v>
      </c>
      <c r="M4034" t="n">
        <v>0</v>
      </c>
      <c r="N4034" t="n">
        <v>0</v>
      </c>
      <c r="O4034" t="n">
        <v>0</v>
      </c>
      <c r="P4034" t="n">
        <v>0</v>
      </c>
      <c r="Q4034" t="n">
        <v>0</v>
      </c>
      <c r="R4034" s="2" t="inlineStr"/>
    </row>
    <row r="4035" ht="15" customHeight="1">
      <c r="A4035" t="inlineStr">
        <is>
          <t>A 27168-2023</t>
        </is>
      </c>
      <c r="B4035" s="1" t="n">
        <v>45096</v>
      </c>
      <c r="C4035" s="1" t="n">
        <v>45846</v>
      </c>
      <c r="D4035" t="inlineStr">
        <is>
          <t>UPPSALA LÄN</t>
        </is>
      </c>
      <c r="E4035" t="inlineStr">
        <is>
          <t>TIERP</t>
        </is>
      </c>
      <c r="F4035" t="inlineStr">
        <is>
          <t>Bergvik skog öst AB</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27068-2023</t>
        </is>
      </c>
      <c r="B4036" s="1" t="n">
        <v>45096</v>
      </c>
      <c r="C4036" s="1" t="n">
        <v>45846</v>
      </c>
      <c r="D4036" t="inlineStr">
        <is>
          <t>UPPSALA LÄN</t>
        </is>
      </c>
      <c r="E4036" t="inlineStr">
        <is>
          <t>UPPSALA</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27074-2023</t>
        </is>
      </c>
      <c r="B4037" s="1" t="n">
        <v>45096</v>
      </c>
      <c r="C4037" s="1" t="n">
        <v>45846</v>
      </c>
      <c r="D4037" t="inlineStr">
        <is>
          <t>UPPSALA LÄN</t>
        </is>
      </c>
      <c r="E4037" t="inlineStr">
        <is>
          <t>TIERP</t>
        </is>
      </c>
      <c r="G4037" t="n">
        <v>7.7</v>
      </c>
      <c r="H4037" t="n">
        <v>0</v>
      </c>
      <c r="I4037" t="n">
        <v>0</v>
      </c>
      <c r="J4037" t="n">
        <v>0</v>
      </c>
      <c r="K4037" t="n">
        <v>0</v>
      </c>
      <c r="L4037" t="n">
        <v>0</v>
      </c>
      <c r="M4037" t="n">
        <v>0</v>
      </c>
      <c r="N4037" t="n">
        <v>0</v>
      </c>
      <c r="O4037" t="n">
        <v>0</v>
      </c>
      <c r="P4037" t="n">
        <v>0</v>
      </c>
      <c r="Q4037" t="n">
        <v>0</v>
      </c>
      <c r="R4037" s="2" t="inlineStr"/>
    </row>
    <row r="4038" ht="15" customHeight="1">
      <c r="A4038" t="inlineStr">
        <is>
          <t>A 27119-2023</t>
        </is>
      </c>
      <c r="B4038" s="1" t="n">
        <v>45096</v>
      </c>
      <c r="C4038" s="1" t="n">
        <v>45846</v>
      </c>
      <c r="D4038" t="inlineStr">
        <is>
          <t>UPPSALA LÄN</t>
        </is>
      </c>
      <c r="E4038" t="inlineStr">
        <is>
          <t>UPPSALA</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27123-2023</t>
        </is>
      </c>
      <c r="B4039" s="1" t="n">
        <v>45096</v>
      </c>
      <c r="C4039" s="1" t="n">
        <v>45846</v>
      </c>
      <c r="D4039" t="inlineStr">
        <is>
          <t>UPPSALA LÄN</t>
        </is>
      </c>
      <c r="E4039" t="inlineStr">
        <is>
          <t>UPPSALA</t>
        </is>
      </c>
      <c r="G4039" t="n">
        <v>5.7</v>
      </c>
      <c r="H4039" t="n">
        <v>0</v>
      </c>
      <c r="I4039" t="n">
        <v>0</v>
      </c>
      <c r="J4039" t="n">
        <v>0</v>
      </c>
      <c r="K4039" t="n">
        <v>0</v>
      </c>
      <c r="L4039" t="n">
        <v>0</v>
      </c>
      <c r="M4039" t="n">
        <v>0</v>
      </c>
      <c r="N4039" t="n">
        <v>0</v>
      </c>
      <c r="O4039" t="n">
        <v>0</v>
      </c>
      <c r="P4039" t="n">
        <v>0</v>
      </c>
      <c r="Q4039" t="n">
        <v>0</v>
      </c>
      <c r="R4039" s="2" t="inlineStr"/>
    </row>
    <row r="4040" ht="15" customHeight="1">
      <c r="A4040" t="inlineStr">
        <is>
          <t>A 27126-2023</t>
        </is>
      </c>
      <c r="B4040" s="1" t="n">
        <v>45096</v>
      </c>
      <c r="C4040" s="1" t="n">
        <v>45846</v>
      </c>
      <c r="D4040" t="inlineStr">
        <is>
          <t>UPPSALA LÄN</t>
        </is>
      </c>
      <c r="E4040" t="inlineStr">
        <is>
          <t>UPPSALA</t>
        </is>
      </c>
      <c r="G4040" t="n">
        <v>4.1</v>
      </c>
      <c r="H4040" t="n">
        <v>0</v>
      </c>
      <c r="I4040" t="n">
        <v>0</v>
      </c>
      <c r="J4040" t="n">
        <v>0</v>
      </c>
      <c r="K4040" t="n">
        <v>0</v>
      </c>
      <c r="L4040" t="n">
        <v>0</v>
      </c>
      <c r="M4040" t="n">
        <v>0</v>
      </c>
      <c r="N4040" t="n">
        <v>0</v>
      </c>
      <c r="O4040" t="n">
        <v>0</v>
      </c>
      <c r="P4040" t="n">
        <v>0</v>
      </c>
      <c r="Q4040" t="n">
        <v>0</v>
      </c>
      <c r="R4040" s="2" t="inlineStr"/>
    </row>
    <row r="4041" ht="15" customHeight="1">
      <c r="A4041" t="inlineStr">
        <is>
          <t>A 27150-2023</t>
        </is>
      </c>
      <c r="B4041" s="1" t="n">
        <v>45096</v>
      </c>
      <c r="C4041" s="1" t="n">
        <v>45846</v>
      </c>
      <c r="D4041" t="inlineStr">
        <is>
          <t>UPPSALA LÄN</t>
        </is>
      </c>
      <c r="E4041" t="inlineStr">
        <is>
          <t>ÖSTHAMMAR</t>
        </is>
      </c>
      <c r="F4041" t="inlineStr">
        <is>
          <t>Bergvik skog öst AB</t>
        </is>
      </c>
      <c r="G4041" t="n">
        <v>5</v>
      </c>
      <c r="H4041" t="n">
        <v>0</v>
      </c>
      <c r="I4041" t="n">
        <v>0</v>
      </c>
      <c r="J4041" t="n">
        <v>0</v>
      </c>
      <c r="K4041" t="n">
        <v>0</v>
      </c>
      <c r="L4041" t="n">
        <v>0</v>
      </c>
      <c r="M4041" t="n">
        <v>0</v>
      </c>
      <c r="N4041" t="n">
        <v>0</v>
      </c>
      <c r="O4041" t="n">
        <v>0</v>
      </c>
      <c r="P4041" t="n">
        <v>0</v>
      </c>
      <c r="Q4041" t="n">
        <v>0</v>
      </c>
      <c r="R4041" s="2" t="inlineStr"/>
    </row>
    <row r="4042" ht="15" customHeight="1">
      <c r="A4042" t="inlineStr">
        <is>
          <t>A 27154-2023</t>
        </is>
      </c>
      <c r="B4042" s="1" t="n">
        <v>45096</v>
      </c>
      <c r="C4042" s="1" t="n">
        <v>45846</v>
      </c>
      <c r="D4042" t="inlineStr">
        <is>
          <t>UPPSALA LÄN</t>
        </is>
      </c>
      <c r="E4042" t="inlineStr">
        <is>
          <t>ÖSTHAMMAR</t>
        </is>
      </c>
      <c r="F4042" t="inlineStr">
        <is>
          <t>Bergvik skog öst AB</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27212-2023</t>
        </is>
      </c>
      <c r="B4043" s="1" t="n">
        <v>45096</v>
      </c>
      <c r="C4043" s="1" t="n">
        <v>45846</v>
      </c>
      <c r="D4043" t="inlineStr">
        <is>
          <t>UPPSALA LÄN</t>
        </is>
      </c>
      <c r="E4043" t="inlineStr">
        <is>
          <t>HEBY</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27178-2023</t>
        </is>
      </c>
      <c r="B4044" s="1" t="n">
        <v>45096</v>
      </c>
      <c r="C4044" s="1" t="n">
        <v>45846</v>
      </c>
      <c r="D4044" t="inlineStr">
        <is>
          <t>UPPSALA LÄN</t>
        </is>
      </c>
      <c r="E4044" t="inlineStr">
        <is>
          <t>ENKÖPING</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27266-2023</t>
        </is>
      </c>
      <c r="B4045" s="1" t="n">
        <v>45096</v>
      </c>
      <c r="C4045" s="1" t="n">
        <v>45846</v>
      </c>
      <c r="D4045" t="inlineStr">
        <is>
          <t>UPPSALA LÄN</t>
        </is>
      </c>
      <c r="E4045" t="inlineStr">
        <is>
          <t>TIERP</t>
        </is>
      </c>
      <c r="F4045" t="inlineStr">
        <is>
          <t>Bergvik skog öst AB</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27104-2023</t>
        </is>
      </c>
      <c r="B4046" s="1" t="n">
        <v>45096</v>
      </c>
      <c r="C4046" s="1" t="n">
        <v>45846</v>
      </c>
      <c r="D4046" t="inlineStr">
        <is>
          <t>UPPSALA LÄN</t>
        </is>
      </c>
      <c r="E4046" t="inlineStr">
        <is>
          <t>UPPSALA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27121-2023</t>
        </is>
      </c>
      <c r="B4047" s="1" t="n">
        <v>45096</v>
      </c>
      <c r="C4047" s="1" t="n">
        <v>45846</v>
      </c>
      <c r="D4047" t="inlineStr">
        <is>
          <t>UPPSALA LÄN</t>
        </is>
      </c>
      <c r="E4047" t="inlineStr">
        <is>
          <t>UPPSALA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27125-2023</t>
        </is>
      </c>
      <c r="B4048" s="1" t="n">
        <v>45096</v>
      </c>
      <c r="C4048" s="1" t="n">
        <v>45846</v>
      </c>
      <c r="D4048" t="inlineStr">
        <is>
          <t>UPPSALA LÄN</t>
        </is>
      </c>
      <c r="E4048" t="inlineStr">
        <is>
          <t>UPPSALA</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27254-2023</t>
        </is>
      </c>
      <c r="B4049" s="1" t="n">
        <v>45096</v>
      </c>
      <c r="C4049" s="1" t="n">
        <v>45846</v>
      </c>
      <c r="D4049" t="inlineStr">
        <is>
          <t>UPPSALA LÄN</t>
        </is>
      </c>
      <c r="E4049" t="inlineStr">
        <is>
          <t>UPPSALA</t>
        </is>
      </c>
      <c r="G4049" t="n">
        <v>6.1</v>
      </c>
      <c r="H4049" t="n">
        <v>0</v>
      </c>
      <c r="I4049" t="n">
        <v>0</v>
      </c>
      <c r="J4049" t="n">
        <v>0</v>
      </c>
      <c r="K4049" t="n">
        <v>0</v>
      </c>
      <c r="L4049" t="n">
        <v>0</v>
      </c>
      <c r="M4049" t="n">
        <v>0</v>
      </c>
      <c r="N4049" t="n">
        <v>0</v>
      </c>
      <c r="O4049" t="n">
        <v>0</v>
      </c>
      <c r="P4049" t="n">
        <v>0</v>
      </c>
      <c r="Q4049" t="n">
        <v>0</v>
      </c>
      <c r="R4049" s="2" t="inlineStr"/>
    </row>
    <row r="4050" ht="15" customHeight="1">
      <c r="A4050" t="inlineStr">
        <is>
          <t>A 27308-2023</t>
        </is>
      </c>
      <c r="B4050" s="1" t="n">
        <v>45096</v>
      </c>
      <c r="C4050" s="1" t="n">
        <v>45846</v>
      </c>
      <c r="D4050" t="inlineStr">
        <is>
          <t>UPPSALA LÄN</t>
        </is>
      </c>
      <c r="E4050" t="inlineStr">
        <is>
          <t>ÖSTHAMMAR</t>
        </is>
      </c>
      <c r="F4050" t="inlineStr">
        <is>
          <t>Bergvik skog öst AB</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27467-2023</t>
        </is>
      </c>
      <c r="B4051" s="1" t="n">
        <v>45097</v>
      </c>
      <c r="C4051" s="1" t="n">
        <v>45846</v>
      </c>
      <c r="D4051" t="inlineStr">
        <is>
          <t>UPPSALA LÄN</t>
        </is>
      </c>
      <c r="E4051" t="inlineStr">
        <is>
          <t>UPPSALA</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27617-2023</t>
        </is>
      </c>
      <c r="B4052" s="1" t="n">
        <v>45097</v>
      </c>
      <c r="C4052" s="1" t="n">
        <v>45846</v>
      </c>
      <c r="D4052" t="inlineStr">
        <is>
          <t>UPPSALA LÄN</t>
        </is>
      </c>
      <c r="E4052" t="inlineStr">
        <is>
          <t>UPPSALA</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27622-2023</t>
        </is>
      </c>
      <c r="B4053" s="1" t="n">
        <v>45097</v>
      </c>
      <c r="C4053" s="1" t="n">
        <v>45846</v>
      </c>
      <c r="D4053" t="inlineStr">
        <is>
          <t>UPPSALA LÄN</t>
        </is>
      </c>
      <c r="E4053" t="inlineStr">
        <is>
          <t>UPPSALA</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27538-2023</t>
        </is>
      </c>
      <c r="B4054" s="1" t="n">
        <v>45097</v>
      </c>
      <c r="C4054" s="1" t="n">
        <v>45846</v>
      </c>
      <c r="D4054" t="inlineStr">
        <is>
          <t>UPPSALA LÄN</t>
        </is>
      </c>
      <c r="E4054" t="inlineStr">
        <is>
          <t>ENKÖPING</t>
        </is>
      </c>
      <c r="G4054" t="n">
        <v>5.8</v>
      </c>
      <c r="H4054" t="n">
        <v>0</v>
      </c>
      <c r="I4054" t="n">
        <v>0</v>
      </c>
      <c r="J4054" t="n">
        <v>0</v>
      </c>
      <c r="K4054" t="n">
        <v>0</v>
      </c>
      <c r="L4054" t="n">
        <v>0</v>
      </c>
      <c r="M4054" t="n">
        <v>0</v>
      </c>
      <c r="N4054" t="n">
        <v>0</v>
      </c>
      <c r="O4054" t="n">
        <v>0</v>
      </c>
      <c r="P4054" t="n">
        <v>0</v>
      </c>
      <c r="Q4054" t="n">
        <v>0</v>
      </c>
      <c r="R4054" s="2" t="inlineStr"/>
    </row>
    <row r="4055" ht="15" customHeight="1">
      <c r="A4055" t="inlineStr">
        <is>
          <t>A 27599-2023</t>
        </is>
      </c>
      <c r="B4055" s="1" t="n">
        <v>45097</v>
      </c>
      <c r="C4055" s="1" t="n">
        <v>45846</v>
      </c>
      <c r="D4055" t="inlineStr">
        <is>
          <t>UPPSALA LÄN</t>
        </is>
      </c>
      <c r="E4055" t="inlineStr">
        <is>
          <t>UPPSALA</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27620-2023</t>
        </is>
      </c>
      <c r="B4056" s="1" t="n">
        <v>45097</v>
      </c>
      <c r="C4056" s="1" t="n">
        <v>45846</v>
      </c>
      <c r="D4056" t="inlineStr">
        <is>
          <t>UPPSALA LÄN</t>
        </is>
      </c>
      <c r="E4056" t="inlineStr">
        <is>
          <t>UPPSALA</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27660-2023</t>
        </is>
      </c>
      <c r="B4057" s="1" t="n">
        <v>45097</v>
      </c>
      <c r="C4057" s="1" t="n">
        <v>45846</v>
      </c>
      <c r="D4057" t="inlineStr">
        <is>
          <t>UPPSALA LÄN</t>
        </is>
      </c>
      <c r="E4057" t="inlineStr">
        <is>
          <t>ÖSTHAMMAR</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27659-2023</t>
        </is>
      </c>
      <c r="B4058" s="1" t="n">
        <v>45097</v>
      </c>
      <c r="C4058" s="1" t="n">
        <v>45846</v>
      </c>
      <c r="D4058" t="inlineStr">
        <is>
          <t>UPPSALA LÄN</t>
        </is>
      </c>
      <c r="E4058" t="inlineStr">
        <is>
          <t>ÖSTHAMMAR</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27730-2023</t>
        </is>
      </c>
      <c r="B4059" s="1" t="n">
        <v>45097</v>
      </c>
      <c r="C4059" s="1" t="n">
        <v>45846</v>
      </c>
      <c r="D4059" t="inlineStr">
        <is>
          <t>UPPSALA LÄN</t>
        </is>
      </c>
      <c r="E4059" t="inlineStr">
        <is>
          <t>ENKÖPING</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29220-2023</t>
        </is>
      </c>
      <c r="B4060" s="1" t="n">
        <v>45097</v>
      </c>
      <c r="C4060" s="1" t="n">
        <v>45846</v>
      </c>
      <c r="D4060" t="inlineStr">
        <is>
          <t>UPPSALA LÄN</t>
        </is>
      </c>
      <c r="E4060" t="inlineStr">
        <is>
          <t>KNIVSTA</t>
        </is>
      </c>
      <c r="G4060" t="n">
        <v>21.3</v>
      </c>
      <c r="H4060" t="n">
        <v>0</v>
      </c>
      <c r="I4060" t="n">
        <v>0</v>
      </c>
      <c r="J4060" t="n">
        <v>0</v>
      </c>
      <c r="K4060" t="n">
        <v>0</v>
      </c>
      <c r="L4060" t="n">
        <v>0</v>
      </c>
      <c r="M4060" t="n">
        <v>0</v>
      </c>
      <c r="N4060" t="n">
        <v>0</v>
      </c>
      <c r="O4060" t="n">
        <v>0</v>
      </c>
      <c r="P4060" t="n">
        <v>0</v>
      </c>
      <c r="Q4060" t="n">
        <v>0</v>
      </c>
      <c r="R4060" s="2" t="inlineStr"/>
    </row>
    <row r="4061" ht="15" customHeight="1">
      <c r="A4061" t="inlineStr">
        <is>
          <t>A 27801-2023</t>
        </is>
      </c>
      <c r="B4061" s="1" t="n">
        <v>45098</v>
      </c>
      <c r="C4061" s="1" t="n">
        <v>45846</v>
      </c>
      <c r="D4061" t="inlineStr">
        <is>
          <t>UPPSALA LÄN</t>
        </is>
      </c>
      <c r="E4061" t="inlineStr">
        <is>
          <t>ÖSTHAMMAR</t>
        </is>
      </c>
      <c r="F4061" t="inlineStr">
        <is>
          <t>Kyrkan</t>
        </is>
      </c>
      <c r="G4061" t="n">
        <v>8.199999999999999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27805-2023</t>
        </is>
      </c>
      <c r="B4062" s="1" t="n">
        <v>45098</v>
      </c>
      <c r="C4062" s="1" t="n">
        <v>45846</v>
      </c>
      <c r="D4062" t="inlineStr">
        <is>
          <t>UPPSALA LÄN</t>
        </is>
      </c>
      <c r="E4062" t="inlineStr">
        <is>
          <t>ENKÖPING</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27840-2023</t>
        </is>
      </c>
      <c r="B4063" s="1" t="n">
        <v>45098</v>
      </c>
      <c r="C4063" s="1" t="n">
        <v>45846</v>
      </c>
      <c r="D4063" t="inlineStr">
        <is>
          <t>UPPSALA LÄN</t>
        </is>
      </c>
      <c r="E4063" t="inlineStr">
        <is>
          <t>HEBY</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27839-2023</t>
        </is>
      </c>
      <c r="B4064" s="1" t="n">
        <v>45098</v>
      </c>
      <c r="C4064" s="1" t="n">
        <v>45846</v>
      </c>
      <c r="D4064" t="inlineStr">
        <is>
          <t>UPPSALA LÄN</t>
        </is>
      </c>
      <c r="E4064" t="inlineStr">
        <is>
          <t>ENKÖPING</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27856-2023</t>
        </is>
      </c>
      <c r="B4065" s="1" t="n">
        <v>45098</v>
      </c>
      <c r="C4065" s="1" t="n">
        <v>45846</v>
      </c>
      <c r="D4065" t="inlineStr">
        <is>
          <t>UPPSALA LÄN</t>
        </is>
      </c>
      <c r="E4065" t="inlineStr">
        <is>
          <t>TIERP</t>
        </is>
      </c>
      <c r="F4065" t="inlineStr">
        <is>
          <t>Bergvik skog öst AB</t>
        </is>
      </c>
      <c r="G4065" t="n">
        <v>7.2</v>
      </c>
      <c r="H4065" t="n">
        <v>0</v>
      </c>
      <c r="I4065" t="n">
        <v>0</v>
      </c>
      <c r="J4065" t="n">
        <v>0</v>
      </c>
      <c r="K4065" t="n">
        <v>0</v>
      </c>
      <c r="L4065" t="n">
        <v>0</v>
      </c>
      <c r="M4065" t="n">
        <v>0</v>
      </c>
      <c r="N4065" t="n">
        <v>0</v>
      </c>
      <c r="O4065" t="n">
        <v>0</v>
      </c>
      <c r="P4065" t="n">
        <v>0</v>
      </c>
      <c r="Q4065" t="n">
        <v>0</v>
      </c>
      <c r="R4065" s="2" t="inlineStr"/>
    </row>
    <row r="4066" ht="15" customHeight="1">
      <c r="A4066" t="inlineStr">
        <is>
          <t>A 27912-2023</t>
        </is>
      </c>
      <c r="B4066" s="1" t="n">
        <v>45098</v>
      </c>
      <c r="C4066" s="1" t="n">
        <v>45846</v>
      </c>
      <c r="D4066" t="inlineStr">
        <is>
          <t>UPPSALA LÄN</t>
        </is>
      </c>
      <c r="E4066" t="inlineStr">
        <is>
          <t>UPPSALA</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27903-2023</t>
        </is>
      </c>
      <c r="B4067" s="1" t="n">
        <v>45098</v>
      </c>
      <c r="C4067" s="1" t="n">
        <v>45846</v>
      </c>
      <c r="D4067" t="inlineStr">
        <is>
          <t>UPPSALA LÄN</t>
        </is>
      </c>
      <c r="E4067" t="inlineStr">
        <is>
          <t>UPPSALA</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27786-2023</t>
        </is>
      </c>
      <c r="B4068" s="1" t="n">
        <v>45098</v>
      </c>
      <c r="C4068" s="1" t="n">
        <v>45846</v>
      </c>
      <c r="D4068" t="inlineStr">
        <is>
          <t>UPPSALA LÄN</t>
        </is>
      </c>
      <c r="E4068" t="inlineStr">
        <is>
          <t>ENKÖPING</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27855-2023</t>
        </is>
      </c>
      <c r="B4069" s="1" t="n">
        <v>45098</v>
      </c>
      <c r="C4069" s="1" t="n">
        <v>45846</v>
      </c>
      <c r="D4069" t="inlineStr">
        <is>
          <t>UPPSALA LÄN</t>
        </is>
      </c>
      <c r="E4069" t="inlineStr">
        <is>
          <t>ENKÖPING</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27879-2023</t>
        </is>
      </c>
      <c r="B4070" s="1" t="n">
        <v>45098</v>
      </c>
      <c r="C4070" s="1" t="n">
        <v>45846</v>
      </c>
      <c r="D4070" t="inlineStr">
        <is>
          <t>UPPSALA LÄN</t>
        </is>
      </c>
      <c r="E4070" t="inlineStr">
        <is>
          <t>HEBY</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27928-2023</t>
        </is>
      </c>
      <c r="B4071" s="1" t="n">
        <v>45098</v>
      </c>
      <c r="C4071" s="1" t="n">
        <v>45846</v>
      </c>
      <c r="D4071" t="inlineStr">
        <is>
          <t>UPPSALA LÄN</t>
        </is>
      </c>
      <c r="E4071" t="inlineStr">
        <is>
          <t>ENKÖPING</t>
        </is>
      </c>
      <c r="G4071" t="n">
        <v>11.5</v>
      </c>
      <c r="H4071" t="n">
        <v>0</v>
      </c>
      <c r="I4071" t="n">
        <v>0</v>
      </c>
      <c r="J4071" t="n">
        <v>0</v>
      </c>
      <c r="K4071" t="n">
        <v>0</v>
      </c>
      <c r="L4071" t="n">
        <v>0</v>
      </c>
      <c r="M4071" t="n">
        <v>0</v>
      </c>
      <c r="N4071" t="n">
        <v>0</v>
      </c>
      <c r="O4071" t="n">
        <v>0</v>
      </c>
      <c r="P4071" t="n">
        <v>0</v>
      </c>
      <c r="Q4071" t="n">
        <v>0</v>
      </c>
      <c r="R4071" s="2" t="inlineStr"/>
    </row>
    <row r="4072" ht="15" customHeight="1">
      <c r="A4072" t="inlineStr">
        <is>
          <t>A 27930-2023</t>
        </is>
      </c>
      <c r="B4072" s="1" t="n">
        <v>45098</v>
      </c>
      <c r="C4072" s="1" t="n">
        <v>45846</v>
      </c>
      <c r="D4072" t="inlineStr">
        <is>
          <t>UPPSALA LÄN</t>
        </is>
      </c>
      <c r="E4072" t="inlineStr">
        <is>
          <t>UPPSALA</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28207-2023</t>
        </is>
      </c>
      <c r="B4073" s="1" t="n">
        <v>45099</v>
      </c>
      <c r="C4073" s="1" t="n">
        <v>45846</v>
      </c>
      <c r="D4073" t="inlineStr">
        <is>
          <t>UPPSALA LÄN</t>
        </is>
      </c>
      <c r="E4073" t="inlineStr">
        <is>
          <t>HEBY</t>
        </is>
      </c>
      <c r="G4073" t="n">
        <v>6.5</v>
      </c>
      <c r="H4073" t="n">
        <v>0</v>
      </c>
      <c r="I4073" t="n">
        <v>0</v>
      </c>
      <c r="J4073" t="n">
        <v>0</v>
      </c>
      <c r="K4073" t="n">
        <v>0</v>
      </c>
      <c r="L4073" t="n">
        <v>0</v>
      </c>
      <c r="M4073" t="n">
        <v>0</v>
      </c>
      <c r="N4073" t="n">
        <v>0</v>
      </c>
      <c r="O4073" t="n">
        <v>0</v>
      </c>
      <c r="P4073" t="n">
        <v>0</v>
      </c>
      <c r="Q4073" t="n">
        <v>0</v>
      </c>
      <c r="R4073" s="2" t="inlineStr"/>
    </row>
    <row r="4074" ht="15" customHeight="1">
      <c r="A4074" t="inlineStr">
        <is>
          <t>A 28146-2023</t>
        </is>
      </c>
      <c r="B4074" s="1" t="n">
        <v>45099</v>
      </c>
      <c r="C4074" s="1" t="n">
        <v>45846</v>
      </c>
      <c r="D4074" t="inlineStr">
        <is>
          <t>UPPSALA LÄN</t>
        </is>
      </c>
      <c r="E4074" t="inlineStr">
        <is>
          <t>HEBY</t>
        </is>
      </c>
      <c r="G4074" t="n">
        <v>7</v>
      </c>
      <c r="H4074" t="n">
        <v>0</v>
      </c>
      <c r="I4074" t="n">
        <v>0</v>
      </c>
      <c r="J4074" t="n">
        <v>0</v>
      </c>
      <c r="K4074" t="n">
        <v>0</v>
      </c>
      <c r="L4074" t="n">
        <v>0</v>
      </c>
      <c r="M4074" t="n">
        <v>0</v>
      </c>
      <c r="N4074" t="n">
        <v>0</v>
      </c>
      <c r="O4074" t="n">
        <v>0</v>
      </c>
      <c r="P4074" t="n">
        <v>0</v>
      </c>
      <c r="Q4074" t="n">
        <v>0</v>
      </c>
      <c r="R4074" s="2" t="inlineStr"/>
    </row>
    <row r="4075" ht="15" customHeight="1">
      <c r="A4075" t="inlineStr">
        <is>
          <t>A 28186-2023</t>
        </is>
      </c>
      <c r="B4075" s="1" t="n">
        <v>45099</v>
      </c>
      <c r="C4075" s="1" t="n">
        <v>45846</v>
      </c>
      <c r="D4075" t="inlineStr">
        <is>
          <t>UPPSALA LÄN</t>
        </is>
      </c>
      <c r="E4075" t="inlineStr">
        <is>
          <t>UPPSALA</t>
        </is>
      </c>
      <c r="G4075" t="n">
        <v>7</v>
      </c>
      <c r="H4075" t="n">
        <v>0</v>
      </c>
      <c r="I4075" t="n">
        <v>0</v>
      </c>
      <c r="J4075" t="n">
        <v>0</v>
      </c>
      <c r="K4075" t="n">
        <v>0</v>
      </c>
      <c r="L4075" t="n">
        <v>0</v>
      </c>
      <c r="M4075" t="n">
        <v>0</v>
      </c>
      <c r="N4075" t="n">
        <v>0</v>
      </c>
      <c r="O4075" t="n">
        <v>0</v>
      </c>
      <c r="P4075" t="n">
        <v>0</v>
      </c>
      <c r="Q4075" t="n">
        <v>0</v>
      </c>
      <c r="R4075" s="2" t="inlineStr"/>
    </row>
    <row r="4076" ht="15" customHeight="1">
      <c r="A4076" t="inlineStr">
        <is>
          <t>A 28243-2023</t>
        </is>
      </c>
      <c r="B4076" s="1" t="n">
        <v>45099</v>
      </c>
      <c r="C4076" s="1" t="n">
        <v>45846</v>
      </c>
      <c r="D4076" t="inlineStr">
        <is>
          <t>UPPSALA LÄN</t>
        </is>
      </c>
      <c r="E4076" t="inlineStr">
        <is>
          <t>ENKÖPING</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28252-2023</t>
        </is>
      </c>
      <c r="B4077" s="1" t="n">
        <v>45099</v>
      </c>
      <c r="C4077" s="1" t="n">
        <v>45846</v>
      </c>
      <c r="D4077" t="inlineStr">
        <is>
          <t>UPPSALA LÄN</t>
        </is>
      </c>
      <c r="E4077" t="inlineStr">
        <is>
          <t>TIERP</t>
        </is>
      </c>
      <c r="F4077" t="inlineStr">
        <is>
          <t>Bergvik skog väst AB</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28226-2023</t>
        </is>
      </c>
      <c r="B4078" s="1" t="n">
        <v>45099</v>
      </c>
      <c r="C4078" s="1" t="n">
        <v>45846</v>
      </c>
      <c r="D4078" t="inlineStr">
        <is>
          <t>UPPSALA LÄN</t>
        </is>
      </c>
      <c r="E4078" t="inlineStr">
        <is>
          <t>HEBY</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29917-2023</t>
        </is>
      </c>
      <c r="B4079" s="1" t="n">
        <v>45099</v>
      </c>
      <c r="C4079" s="1" t="n">
        <v>45846</v>
      </c>
      <c r="D4079" t="inlineStr">
        <is>
          <t>UPPSALA LÄN</t>
        </is>
      </c>
      <c r="E4079" t="inlineStr">
        <is>
          <t>ENKÖPING</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29918-2023</t>
        </is>
      </c>
      <c r="B4080" s="1" t="n">
        <v>45099</v>
      </c>
      <c r="C4080" s="1" t="n">
        <v>45846</v>
      </c>
      <c r="D4080" t="inlineStr">
        <is>
          <t>UPPSALA LÄN</t>
        </is>
      </c>
      <c r="E4080" t="inlineStr">
        <is>
          <t>ENKÖPING</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28422-2023</t>
        </is>
      </c>
      <c r="B4081" s="1" t="n">
        <v>45102</v>
      </c>
      <c r="C4081" s="1" t="n">
        <v>45846</v>
      </c>
      <c r="D4081" t="inlineStr">
        <is>
          <t>UPPSALA LÄN</t>
        </is>
      </c>
      <c r="E4081" t="inlineStr">
        <is>
          <t>ÖSTHAMMAR</t>
        </is>
      </c>
      <c r="F4081" t="inlineStr">
        <is>
          <t>Bergvik skog öst AB</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28430-2023</t>
        </is>
      </c>
      <c r="B4082" s="1" t="n">
        <v>45102</v>
      </c>
      <c r="C4082" s="1" t="n">
        <v>45846</v>
      </c>
      <c r="D4082" t="inlineStr">
        <is>
          <t>UPPSALA LÄN</t>
        </is>
      </c>
      <c r="E4082" t="inlineStr">
        <is>
          <t>ÖSTHAMMAR</t>
        </is>
      </c>
      <c r="F4082" t="inlineStr">
        <is>
          <t>Bergvik skog öst AB</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28434-2023</t>
        </is>
      </c>
      <c r="B4083" s="1" t="n">
        <v>45102</v>
      </c>
      <c r="C4083" s="1" t="n">
        <v>45846</v>
      </c>
      <c r="D4083" t="inlineStr">
        <is>
          <t>UPPSALA LÄN</t>
        </is>
      </c>
      <c r="E4083" t="inlineStr">
        <is>
          <t>ÖSTHAMMAR</t>
        </is>
      </c>
      <c r="F4083" t="inlineStr">
        <is>
          <t>Bergvik skog öst AB</t>
        </is>
      </c>
      <c r="G4083" t="n">
        <v>8.9</v>
      </c>
      <c r="H4083" t="n">
        <v>0</v>
      </c>
      <c r="I4083" t="n">
        <v>0</v>
      </c>
      <c r="J4083" t="n">
        <v>0</v>
      </c>
      <c r="K4083" t="n">
        <v>0</v>
      </c>
      <c r="L4083" t="n">
        <v>0</v>
      </c>
      <c r="M4083" t="n">
        <v>0</v>
      </c>
      <c r="N4083" t="n">
        <v>0</v>
      </c>
      <c r="O4083" t="n">
        <v>0</v>
      </c>
      <c r="P4083" t="n">
        <v>0</v>
      </c>
      <c r="Q4083" t="n">
        <v>0</v>
      </c>
      <c r="R4083" s="2" t="inlineStr"/>
    </row>
    <row r="4084" ht="15" customHeight="1">
      <c r="A4084" t="inlineStr">
        <is>
          <t>A 28420-2023</t>
        </is>
      </c>
      <c r="B4084" s="1" t="n">
        <v>45102</v>
      </c>
      <c r="C4084" s="1" t="n">
        <v>45846</v>
      </c>
      <c r="D4084" t="inlineStr">
        <is>
          <t>UPPSALA LÄN</t>
        </is>
      </c>
      <c r="E4084" t="inlineStr">
        <is>
          <t>ÖSTHAMMAR</t>
        </is>
      </c>
      <c r="F4084" t="inlineStr">
        <is>
          <t>Bergvik skog öst AB</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28432-2023</t>
        </is>
      </c>
      <c r="B4085" s="1" t="n">
        <v>45102</v>
      </c>
      <c r="C4085" s="1" t="n">
        <v>45846</v>
      </c>
      <c r="D4085" t="inlineStr">
        <is>
          <t>UPPSALA LÄN</t>
        </is>
      </c>
      <c r="E4085" t="inlineStr">
        <is>
          <t>ÖSTHAMMAR</t>
        </is>
      </c>
      <c r="F4085" t="inlineStr">
        <is>
          <t>Bergvik skog öst AB</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28421-2023</t>
        </is>
      </c>
      <c r="B4086" s="1" t="n">
        <v>45102</v>
      </c>
      <c r="C4086" s="1" t="n">
        <v>45846</v>
      </c>
      <c r="D4086" t="inlineStr">
        <is>
          <t>UPPSALA LÄN</t>
        </is>
      </c>
      <c r="E4086" t="inlineStr">
        <is>
          <t>ÖSTHAMMAR</t>
        </is>
      </c>
      <c r="F4086" t="inlineStr">
        <is>
          <t>Bergvik skog öst AB</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28429-2023</t>
        </is>
      </c>
      <c r="B4087" s="1" t="n">
        <v>45102</v>
      </c>
      <c r="C4087" s="1" t="n">
        <v>45846</v>
      </c>
      <c r="D4087" t="inlineStr">
        <is>
          <t>UPPSALA LÄN</t>
        </is>
      </c>
      <c r="E4087" t="inlineStr">
        <is>
          <t>ÖSTHAMMAR</t>
        </is>
      </c>
      <c r="F4087" t="inlineStr">
        <is>
          <t>Bergvik skog öst AB</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28482-2023</t>
        </is>
      </c>
      <c r="B4088" s="1" t="n">
        <v>45103</v>
      </c>
      <c r="C4088" s="1" t="n">
        <v>45846</v>
      </c>
      <c r="D4088" t="inlineStr">
        <is>
          <t>UPPSALA LÄN</t>
        </is>
      </c>
      <c r="E4088" t="inlineStr">
        <is>
          <t>ÖSTHAMMAR</t>
        </is>
      </c>
      <c r="F4088" t="inlineStr">
        <is>
          <t>Naturvårdsverket</t>
        </is>
      </c>
      <c r="G4088" t="n">
        <v>8.9</v>
      </c>
      <c r="H4088" t="n">
        <v>0</v>
      </c>
      <c r="I4088" t="n">
        <v>0</v>
      </c>
      <c r="J4088" t="n">
        <v>0</v>
      </c>
      <c r="K4088" t="n">
        <v>0</v>
      </c>
      <c r="L4088" t="n">
        <v>0</v>
      </c>
      <c r="M4088" t="n">
        <v>0</v>
      </c>
      <c r="N4088" t="n">
        <v>0</v>
      </c>
      <c r="O4088" t="n">
        <v>0</v>
      </c>
      <c r="P4088" t="n">
        <v>0</v>
      </c>
      <c r="Q4088" t="n">
        <v>0</v>
      </c>
      <c r="R4088" s="2" t="inlineStr"/>
    </row>
    <row r="4089" ht="15" customHeight="1">
      <c r="A4089" t="inlineStr">
        <is>
          <t>A 28564-2023</t>
        </is>
      </c>
      <c r="B4089" s="1" t="n">
        <v>45103</v>
      </c>
      <c r="C4089" s="1" t="n">
        <v>45846</v>
      </c>
      <c r="D4089" t="inlineStr">
        <is>
          <t>UPPSALA LÄN</t>
        </is>
      </c>
      <c r="E4089" t="inlineStr">
        <is>
          <t>TIERP</t>
        </is>
      </c>
      <c r="G4089" t="n">
        <v>7.8</v>
      </c>
      <c r="H4089" t="n">
        <v>0</v>
      </c>
      <c r="I4089" t="n">
        <v>0</v>
      </c>
      <c r="J4089" t="n">
        <v>0</v>
      </c>
      <c r="K4089" t="n">
        <v>0</v>
      </c>
      <c r="L4089" t="n">
        <v>0</v>
      </c>
      <c r="M4089" t="n">
        <v>0</v>
      </c>
      <c r="N4089" t="n">
        <v>0</v>
      </c>
      <c r="O4089" t="n">
        <v>0</v>
      </c>
      <c r="P4089" t="n">
        <v>0</v>
      </c>
      <c r="Q4089" t="n">
        <v>0</v>
      </c>
      <c r="R4089" s="2" t="inlineStr"/>
    </row>
    <row r="4090" ht="15" customHeight="1">
      <c r="A4090" t="inlineStr">
        <is>
          <t>A 28577-2023</t>
        </is>
      </c>
      <c r="B4090" s="1" t="n">
        <v>45103</v>
      </c>
      <c r="C4090" s="1" t="n">
        <v>45846</v>
      </c>
      <c r="D4090" t="inlineStr">
        <is>
          <t>UPPSALA LÄN</t>
        </is>
      </c>
      <c r="E4090" t="inlineStr">
        <is>
          <t>UPPSALA</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28701-2023</t>
        </is>
      </c>
      <c r="B4091" s="1" t="n">
        <v>45103</v>
      </c>
      <c r="C4091" s="1" t="n">
        <v>45846</v>
      </c>
      <c r="D4091" t="inlineStr">
        <is>
          <t>UPPSALA LÄN</t>
        </is>
      </c>
      <c r="E4091" t="inlineStr">
        <is>
          <t>UPPSALA</t>
        </is>
      </c>
      <c r="G4091" t="n">
        <v>12.4</v>
      </c>
      <c r="H4091" t="n">
        <v>0</v>
      </c>
      <c r="I4091" t="n">
        <v>0</v>
      </c>
      <c r="J4091" t="n">
        <v>0</v>
      </c>
      <c r="K4091" t="n">
        <v>0</v>
      </c>
      <c r="L4091" t="n">
        <v>0</v>
      </c>
      <c r="M4091" t="n">
        <v>0</v>
      </c>
      <c r="N4091" t="n">
        <v>0</v>
      </c>
      <c r="O4091" t="n">
        <v>0</v>
      </c>
      <c r="P4091" t="n">
        <v>0</v>
      </c>
      <c r="Q4091" t="n">
        <v>0</v>
      </c>
      <c r="R4091" s="2" t="inlineStr"/>
    </row>
    <row r="4092" ht="15" customHeight="1">
      <c r="A4092" t="inlineStr">
        <is>
          <t>A 31131-2023</t>
        </is>
      </c>
      <c r="B4092" s="1" t="n">
        <v>45103</v>
      </c>
      <c r="C4092" s="1" t="n">
        <v>45846</v>
      </c>
      <c r="D4092" t="inlineStr">
        <is>
          <t>UPPSALA LÄN</t>
        </is>
      </c>
      <c r="E4092" t="inlineStr">
        <is>
          <t>HEBY</t>
        </is>
      </c>
      <c r="F4092" t="inlineStr">
        <is>
          <t>Bergvik skog väst AB</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31139-2023</t>
        </is>
      </c>
      <c r="B4093" s="1" t="n">
        <v>45103</v>
      </c>
      <c r="C4093" s="1" t="n">
        <v>45846</v>
      </c>
      <c r="D4093" t="inlineStr">
        <is>
          <t>UPPSALA LÄN</t>
        </is>
      </c>
      <c r="E4093" t="inlineStr">
        <is>
          <t>HEBY</t>
        </is>
      </c>
      <c r="G4093" t="n">
        <v>7.3</v>
      </c>
      <c r="H4093" t="n">
        <v>0</v>
      </c>
      <c r="I4093" t="n">
        <v>0</v>
      </c>
      <c r="J4093" t="n">
        <v>0</v>
      </c>
      <c r="K4093" t="n">
        <v>0</v>
      </c>
      <c r="L4093" t="n">
        <v>0</v>
      </c>
      <c r="M4093" t="n">
        <v>0</v>
      </c>
      <c r="N4093" t="n">
        <v>0</v>
      </c>
      <c r="O4093" t="n">
        <v>0</v>
      </c>
      <c r="P4093" t="n">
        <v>0</v>
      </c>
      <c r="Q4093" t="n">
        <v>0</v>
      </c>
      <c r="R4093" s="2" t="inlineStr"/>
    </row>
    <row r="4094" ht="15" customHeight="1">
      <c r="A4094" t="inlineStr">
        <is>
          <t>A 31143-2023</t>
        </is>
      </c>
      <c r="B4094" s="1" t="n">
        <v>45103</v>
      </c>
      <c r="C4094" s="1" t="n">
        <v>45846</v>
      </c>
      <c r="D4094" t="inlineStr">
        <is>
          <t>UPPSALA LÄN</t>
        </is>
      </c>
      <c r="E4094" t="inlineStr">
        <is>
          <t>HEBY</t>
        </is>
      </c>
      <c r="F4094" t="inlineStr">
        <is>
          <t>Bergvik skog väst AB</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28912-2023</t>
        </is>
      </c>
      <c r="B4095" s="1" t="n">
        <v>45104</v>
      </c>
      <c r="C4095" s="1" t="n">
        <v>45846</v>
      </c>
      <c r="D4095" t="inlineStr">
        <is>
          <t>UPPSALA LÄN</t>
        </is>
      </c>
      <c r="E4095" t="inlineStr">
        <is>
          <t>TIERP</t>
        </is>
      </c>
      <c r="F4095" t="inlineStr">
        <is>
          <t>Bergvik skog öst AB</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29019-2023</t>
        </is>
      </c>
      <c r="B4096" s="1" t="n">
        <v>45104</v>
      </c>
      <c r="C4096" s="1" t="n">
        <v>45846</v>
      </c>
      <c r="D4096" t="inlineStr">
        <is>
          <t>UPPSALA LÄN</t>
        </is>
      </c>
      <c r="E4096" t="inlineStr">
        <is>
          <t>UPPSALA</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28909-2023</t>
        </is>
      </c>
      <c r="B4097" s="1" t="n">
        <v>45104</v>
      </c>
      <c r="C4097" s="1" t="n">
        <v>45846</v>
      </c>
      <c r="D4097" t="inlineStr">
        <is>
          <t>UPPSALA LÄN</t>
        </is>
      </c>
      <c r="E4097" t="inlineStr">
        <is>
          <t>TIERP</t>
        </is>
      </c>
      <c r="F4097" t="inlineStr">
        <is>
          <t>Bergvik skog öst AB</t>
        </is>
      </c>
      <c r="G4097" t="n">
        <v>6.4</v>
      </c>
      <c r="H4097" t="n">
        <v>0</v>
      </c>
      <c r="I4097" t="n">
        <v>0</v>
      </c>
      <c r="J4097" t="n">
        <v>0</v>
      </c>
      <c r="K4097" t="n">
        <v>0</v>
      </c>
      <c r="L4097" t="n">
        <v>0</v>
      </c>
      <c r="M4097" t="n">
        <v>0</v>
      </c>
      <c r="N4097" t="n">
        <v>0</v>
      </c>
      <c r="O4097" t="n">
        <v>0</v>
      </c>
      <c r="P4097" t="n">
        <v>0</v>
      </c>
      <c r="Q4097" t="n">
        <v>0</v>
      </c>
      <c r="R4097" s="2" t="inlineStr"/>
    </row>
    <row r="4098" ht="15" customHeight="1">
      <c r="A4098" t="inlineStr">
        <is>
          <t>A 31573-2023</t>
        </is>
      </c>
      <c r="B4098" s="1" t="n">
        <v>45104</v>
      </c>
      <c r="C4098" s="1" t="n">
        <v>45846</v>
      </c>
      <c r="D4098" t="inlineStr">
        <is>
          <t>UPPSALA LÄN</t>
        </is>
      </c>
      <c r="E4098" t="inlineStr">
        <is>
          <t>ENKÖPING</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29109-2023</t>
        </is>
      </c>
      <c r="B4099" s="1" t="n">
        <v>45105</v>
      </c>
      <c r="C4099" s="1" t="n">
        <v>45846</v>
      </c>
      <c r="D4099" t="inlineStr">
        <is>
          <t>UPPSALA LÄN</t>
        </is>
      </c>
      <c r="E4099" t="inlineStr">
        <is>
          <t>TIERP</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29113-2023</t>
        </is>
      </c>
      <c r="B4100" s="1" t="n">
        <v>45105</v>
      </c>
      <c r="C4100" s="1" t="n">
        <v>45846</v>
      </c>
      <c r="D4100" t="inlineStr">
        <is>
          <t>UPPSALA LÄN</t>
        </is>
      </c>
      <c r="E4100" t="inlineStr">
        <is>
          <t>TIERP</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29110-2023</t>
        </is>
      </c>
      <c r="B4101" s="1" t="n">
        <v>45105</v>
      </c>
      <c r="C4101" s="1" t="n">
        <v>45846</v>
      </c>
      <c r="D4101" t="inlineStr">
        <is>
          <t>UPPSALA LÄN</t>
        </is>
      </c>
      <c r="E4101" t="inlineStr">
        <is>
          <t>TIERP</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29115-2023</t>
        </is>
      </c>
      <c r="B4102" s="1" t="n">
        <v>45105</v>
      </c>
      <c r="C4102" s="1" t="n">
        <v>45846</v>
      </c>
      <c r="D4102" t="inlineStr">
        <is>
          <t>UPPSALA LÄN</t>
        </is>
      </c>
      <c r="E4102" t="inlineStr">
        <is>
          <t>TIERP</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29085-2023</t>
        </is>
      </c>
      <c r="B4103" s="1" t="n">
        <v>45105</v>
      </c>
      <c r="C4103" s="1" t="n">
        <v>45846</v>
      </c>
      <c r="D4103" t="inlineStr">
        <is>
          <t>UPPSALA LÄN</t>
        </is>
      </c>
      <c r="E4103" t="inlineStr">
        <is>
          <t>HEBY</t>
        </is>
      </c>
      <c r="G4103" t="n">
        <v>14.6</v>
      </c>
      <c r="H4103" t="n">
        <v>0</v>
      </c>
      <c r="I4103" t="n">
        <v>0</v>
      </c>
      <c r="J4103" t="n">
        <v>0</v>
      </c>
      <c r="K4103" t="n">
        <v>0</v>
      </c>
      <c r="L4103" t="n">
        <v>0</v>
      </c>
      <c r="M4103" t="n">
        <v>0</v>
      </c>
      <c r="N4103" t="n">
        <v>0</v>
      </c>
      <c r="O4103" t="n">
        <v>0</v>
      </c>
      <c r="P4103" t="n">
        <v>0</v>
      </c>
      <c r="Q4103" t="n">
        <v>0</v>
      </c>
      <c r="R4103" s="2" t="inlineStr"/>
    </row>
    <row r="4104" ht="15" customHeight="1">
      <c r="A4104" t="inlineStr">
        <is>
          <t>A 29099-2023</t>
        </is>
      </c>
      <c r="B4104" s="1" t="n">
        <v>45105</v>
      </c>
      <c r="C4104" s="1" t="n">
        <v>45846</v>
      </c>
      <c r="D4104" t="inlineStr">
        <is>
          <t>UPPSALA LÄN</t>
        </is>
      </c>
      <c r="E4104" t="inlineStr">
        <is>
          <t>TIERP</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31599-2023</t>
        </is>
      </c>
      <c r="B4105" s="1" t="n">
        <v>45105</v>
      </c>
      <c r="C4105" s="1" t="n">
        <v>45846</v>
      </c>
      <c r="D4105" t="inlineStr">
        <is>
          <t>UPPSALA LÄN</t>
        </is>
      </c>
      <c r="E4105" t="inlineStr">
        <is>
          <t>UPPSALA</t>
        </is>
      </c>
      <c r="G4105" t="n">
        <v>4.6</v>
      </c>
      <c r="H4105" t="n">
        <v>0</v>
      </c>
      <c r="I4105" t="n">
        <v>0</v>
      </c>
      <c r="J4105" t="n">
        <v>0</v>
      </c>
      <c r="K4105" t="n">
        <v>0</v>
      </c>
      <c r="L4105" t="n">
        <v>0</v>
      </c>
      <c r="M4105" t="n">
        <v>0</v>
      </c>
      <c r="N4105" t="n">
        <v>0</v>
      </c>
      <c r="O4105" t="n">
        <v>0</v>
      </c>
      <c r="P4105" t="n">
        <v>0</v>
      </c>
      <c r="Q4105" t="n">
        <v>0</v>
      </c>
      <c r="R4105" s="2" t="inlineStr"/>
    </row>
    <row r="4106" ht="15" customHeight="1">
      <c r="A4106" t="inlineStr">
        <is>
          <t>A 29282-2023</t>
        </is>
      </c>
      <c r="B4106" s="1" t="n">
        <v>45105</v>
      </c>
      <c r="C4106" s="1" t="n">
        <v>45846</v>
      </c>
      <c r="D4106" t="inlineStr">
        <is>
          <t>UPPSALA LÄN</t>
        </is>
      </c>
      <c r="E4106" t="inlineStr">
        <is>
          <t>UPPSALA</t>
        </is>
      </c>
      <c r="G4106" t="n">
        <v>4.4</v>
      </c>
      <c r="H4106" t="n">
        <v>0</v>
      </c>
      <c r="I4106" t="n">
        <v>0</v>
      </c>
      <c r="J4106" t="n">
        <v>0</v>
      </c>
      <c r="K4106" t="n">
        <v>0</v>
      </c>
      <c r="L4106" t="n">
        <v>0</v>
      </c>
      <c r="M4106" t="n">
        <v>0</v>
      </c>
      <c r="N4106" t="n">
        <v>0</v>
      </c>
      <c r="O4106" t="n">
        <v>0</v>
      </c>
      <c r="P4106" t="n">
        <v>0</v>
      </c>
      <c r="Q4106" t="n">
        <v>0</v>
      </c>
      <c r="R4106" s="2" t="inlineStr"/>
    </row>
    <row r="4107" ht="15" customHeight="1">
      <c r="A4107" t="inlineStr">
        <is>
          <t>A 29098-2023</t>
        </is>
      </c>
      <c r="B4107" s="1" t="n">
        <v>45105</v>
      </c>
      <c r="C4107" s="1" t="n">
        <v>45846</v>
      </c>
      <c r="D4107" t="inlineStr">
        <is>
          <t>UPPSALA LÄN</t>
        </is>
      </c>
      <c r="E4107" t="inlineStr">
        <is>
          <t>TIERP</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29107-2023</t>
        </is>
      </c>
      <c r="B4108" s="1" t="n">
        <v>45105</v>
      </c>
      <c r="C4108" s="1" t="n">
        <v>45846</v>
      </c>
      <c r="D4108" t="inlineStr">
        <is>
          <t>UPPSALA LÄN</t>
        </is>
      </c>
      <c r="E4108" t="inlineStr">
        <is>
          <t>TIERP</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31630-2023</t>
        </is>
      </c>
      <c r="B4109" s="1" t="n">
        <v>45105</v>
      </c>
      <c r="C4109" s="1" t="n">
        <v>45846</v>
      </c>
      <c r="D4109" t="inlineStr">
        <is>
          <t>UPPSALA LÄN</t>
        </is>
      </c>
      <c r="E4109" t="inlineStr">
        <is>
          <t>UPPSALA</t>
        </is>
      </c>
      <c r="G4109" t="n">
        <v>3.4</v>
      </c>
      <c r="H4109" t="n">
        <v>0</v>
      </c>
      <c r="I4109" t="n">
        <v>0</v>
      </c>
      <c r="J4109" t="n">
        <v>0</v>
      </c>
      <c r="K4109" t="n">
        <v>0</v>
      </c>
      <c r="L4109" t="n">
        <v>0</v>
      </c>
      <c r="M4109" t="n">
        <v>0</v>
      </c>
      <c r="N4109" t="n">
        <v>0</v>
      </c>
      <c r="O4109" t="n">
        <v>0</v>
      </c>
      <c r="P4109" t="n">
        <v>0</v>
      </c>
      <c r="Q4109" t="n">
        <v>0</v>
      </c>
      <c r="R4109" s="2" t="inlineStr"/>
    </row>
    <row r="4110" ht="15" customHeight="1">
      <c r="A4110" t="inlineStr">
        <is>
          <t>A 29536-2023</t>
        </is>
      </c>
      <c r="B4110" s="1" t="n">
        <v>45106</v>
      </c>
      <c r="C4110" s="1" t="n">
        <v>45846</v>
      </c>
      <c r="D4110" t="inlineStr">
        <is>
          <t>UPPSALA LÄN</t>
        </is>
      </c>
      <c r="E4110" t="inlineStr">
        <is>
          <t>HEBY</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29480-2023</t>
        </is>
      </c>
      <c r="B4111" s="1" t="n">
        <v>45106</v>
      </c>
      <c r="C4111" s="1" t="n">
        <v>45846</v>
      </c>
      <c r="D4111" t="inlineStr">
        <is>
          <t>UPPSALA LÄN</t>
        </is>
      </c>
      <c r="E4111" t="inlineStr">
        <is>
          <t>TIERP</t>
        </is>
      </c>
      <c r="G4111" t="n">
        <v>10.3</v>
      </c>
      <c r="H4111" t="n">
        <v>0</v>
      </c>
      <c r="I4111" t="n">
        <v>0</v>
      </c>
      <c r="J4111" t="n">
        <v>0</v>
      </c>
      <c r="K4111" t="n">
        <v>0</v>
      </c>
      <c r="L4111" t="n">
        <v>0</v>
      </c>
      <c r="M4111" t="n">
        <v>0</v>
      </c>
      <c r="N4111" t="n">
        <v>0</v>
      </c>
      <c r="O4111" t="n">
        <v>0</v>
      </c>
      <c r="P4111" t="n">
        <v>0</v>
      </c>
      <c r="Q4111" t="n">
        <v>0</v>
      </c>
      <c r="R4111" s="2" t="inlineStr"/>
    </row>
    <row r="4112" ht="15" customHeight="1">
      <c r="A4112" t="inlineStr">
        <is>
          <t>A 29529-2023</t>
        </is>
      </c>
      <c r="B4112" s="1" t="n">
        <v>45106</v>
      </c>
      <c r="C4112" s="1" t="n">
        <v>45846</v>
      </c>
      <c r="D4112" t="inlineStr">
        <is>
          <t>UPPSALA LÄN</t>
        </is>
      </c>
      <c r="E4112" t="inlineStr">
        <is>
          <t>HEBY</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29579-2023</t>
        </is>
      </c>
      <c r="B4113" s="1" t="n">
        <v>45106</v>
      </c>
      <c r="C4113" s="1" t="n">
        <v>45846</v>
      </c>
      <c r="D4113" t="inlineStr">
        <is>
          <t>UPPSALA LÄN</t>
        </is>
      </c>
      <c r="E4113" t="inlineStr">
        <is>
          <t>UPPSALA</t>
        </is>
      </c>
      <c r="F4113" t="inlineStr">
        <is>
          <t>Kyrkan</t>
        </is>
      </c>
      <c r="G4113" t="n">
        <v>2.7</v>
      </c>
      <c r="H4113" t="n">
        <v>0</v>
      </c>
      <c r="I4113" t="n">
        <v>0</v>
      </c>
      <c r="J4113" t="n">
        <v>0</v>
      </c>
      <c r="K4113" t="n">
        <v>0</v>
      </c>
      <c r="L4113" t="n">
        <v>0</v>
      </c>
      <c r="M4113" t="n">
        <v>0</v>
      </c>
      <c r="N4113" t="n">
        <v>0</v>
      </c>
      <c r="O4113" t="n">
        <v>0</v>
      </c>
      <c r="P4113" t="n">
        <v>0</v>
      </c>
      <c r="Q4113" t="n">
        <v>0</v>
      </c>
      <c r="R4113" s="2" t="inlineStr"/>
      <c r="U4113">
        <f>HYPERLINK("https://klasma.github.io/Logging_0380/knärot/A 29579-2023 karta knärot.png", "A 29579-2023")</f>
        <v/>
      </c>
      <c r="V4113">
        <f>HYPERLINK("https://klasma.github.io/Logging_0380/klagomål/A 29579-2023 FSC-klagomål.docx", "A 29579-2023")</f>
        <v/>
      </c>
      <c r="W4113">
        <f>HYPERLINK("https://klasma.github.io/Logging_0380/klagomålsmail/A 29579-2023 FSC-klagomål mail.docx", "A 29579-2023")</f>
        <v/>
      </c>
      <c r="X4113">
        <f>HYPERLINK("https://klasma.github.io/Logging_0380/tillsyn/A 29579-2023 tillsynsbegäran.docx", "A 29579-2023")</f>
        <v/>
      </c>
      <c r="Y4113">
        <f>HYPERLINK("https://klasma.github.io/Logging_0380/tillsynsmail/A 29579-2023 tillsynsbegäran mail.docx", "A 29579-2023")</f>
        <v/>
      </c>
    </row>
    <row r="4114" ht="15" customHeight="1">
      <c r="A4114" t="inlineStr">
        <is>
          <t>A 29591-2023</t>
        </is>
      </c>
      <c r="B4114" s="1" t="n">
        <v>45106</v>
      </c>
      <c r="C4114" s="1" t="n">
        <v>45846</v>
      </c>
      <c r="D4114" t="inlineStr">
        <is>
          <t>UPPSALA LÄN</t>
        </is>
      </c>
      <c r="E4114" t="inlineStr">
        <is>
          <t>HEBY</t>
        </is>
      </c>
      <c r="F4114" t="inlineStr">
        <is>
          <t>Bergvik skog öst AB</t>
        </is>
      </c>
      <c r="G4114" t="n">
        <v>6.6</v>
      </c>
      <c r="H4114" t="n">
        <v>0</v>
      </c>
      <c r="I4114" t="n">
        <v>0</v>
      </c>
      <c r="J4114" t="n">
        <v>0</v>
      </c>
      <c r="K4114" t="n">
        <v>0</v>
      </c>
      <c r="L4114" t="n">
        <v>0</v>
      </c>
      <c r="M4114" t="n">
        <v>0</v>
      </c>
      <c r="N4114" t="n">
        <v>0</v>
      </c>
      <c r="O4114" t="n">
        <v>0</v>
      </c>
      <c r="P4114" t="n">
        <v>0</v>
      </c>
      <c r="Q4114" t="n">
        <v>0</v>
      </c>
      <c r="R4114" s="2" t="inlineStr"/>
    </row>
    <row r="4115" ht="15" customHeight="1">
      <c r="A4115" t="inlineStr">
        <is>
          <t>A 29533-2023</t>
        </is>
      </c>
      <c r="B4115" s="1" t="n">
        <v>45106</v>
      </c>
      <c r="C4115" s="1" t="n">
        <v>45846</v>
      </c>
      <c r="D4115" t="inlineStr">
        <is>
          <t>UPPSALA LÄN</t>
        </is>
      </c>
      <c r="E4115" t="inlineStr">
        <is>
          <t>HEBY</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29815-2023</t>
        </is>
      </c>
      <c r="B4116" s="1" t="n">
        <v>45107</v>
      </c>
      <c r="C4116" s="1" t="n">
        <v>45846</v>
      </c>
      <c r="D4116" t="inlineStr">
        <is>
          <t>UPPSALA LÄN</t>
        </is>
      </c>
      <c r="E4116" t="inlineStr">
        <is>
          <t>UPPSALA</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29873-2023</t>
        </is>
      </c>
      <c r="B4117" s="1" t="n">
        <v>45107</v>
      </c>
      <c r="C4117" s="1" t="n">
        <v>45846</v>
      </c>
      <c r="D4117" t="inlineStr">
        <is>
          <t>UPPSALA LÄN</t>
        </is>
      </c>
      <c r="E4117" t="inlineStr">
        <is>
          <t>ÖSTHAMMAR</t>
        </is>
      </c>
      <c r="F4117" t="inlineStr">
        <is>
          <t>Naturvårdsverket</t>
        </is>
      </c>
      <c r="G4117" t="n">
        <v>7.8</v>
      </c>
      <c r="H4117" t="n">
        <v>0</v>
      </c>
      <c r="I4117" t="n">
        <v>0</v>
      </c>
      <c r="J4117" t="n">
        <v>0</v>
      </c>
      <c r="K4117" t="n">
        <v>0</v>
      </c>
      <c r="L4117" t="n">
        <v>0</v>
      </c>
      <c r="M4117" t="n">
        <v>0</v>
      </c>
      <c r="N4117" t="n">
        <v>0</v>
      </c>
      <c r="O4117" t="n">
        <v>0</v>
      </c>
      <c r="P4117" t="n">
        <v>0</v>
      </c>
      <c r="Q4117" t="n">
        <v>0</v>
      </c>
      <c r="R4117" s="2" t="inlineStr"/>
    </row>
    <row r="4118" ht="15" customHeight="1">
      <c r="A4118" t="inlineStr">
        <is>
          <t>A 29901-2023</t>
        </is>
      </c>
      <c r="B4118" s="1" t="n">
        <v>45107</v>
      </c>
      <c r="C4118" s="1" t="n">
        <v>45846</v>
      </c>
      <c r="D4118" t="inlineStr">
        <is>
          <t>UPPSALA LÄN</t>
        </is>
      </c>
      <c r="E4118" t="inlineStr">
        <is>
          <t>UPPSALA</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29868-2023</t>
        </is>
      </c>
      <c r="B4119" s="1" t="n">
        <v>45107</v>
      </c>
      <c r="C4119" s="1" t="n">
        <v>45846</v>
      </c>
      <c r="D4119" t="inlineStr">
        <is>
          <t>UPPSALA LÄN</t>
        </is>
      </c>
      <c r="E4119" t="inlineStr">
        <is>
          <t>UPPSALA</t>
        </is>
      </c>
      <c r="G4119" t="n">
        <v>8.699999999999999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29799-2023</t>
        </is>
      </c>
      <c r="B4120" s="1" t="n">
        <v>45107</v>
      </c>
      <c r="C4120" s="1" t="n">
        <v>45846</v>
      </c>
      <c r="D4120" t="inlineStr">
        <is>
          <t>UPPSALA LÄN</t>
        </is>
      </c>
      <c r="E4120" t="inlineStr">
        <is>
          <t>UPPSALA</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29808-2023</t>
        </is>
      </c>
      <c r="B4121" s="1" t="n">
        <v>45107</v>
      </c>
      <c r="C4121" s="1" t="n">
        <v>45846</v>
      </c>
      <c r="D4121" t="inlineStr">
        <is>
          <t>UPPSALA LÄN</t>
        </is>
      </c>
      <c r="E4121" t="inlineStr">
        <is>
          <t>UPPSALA</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29824-2023</t>
        </is>
      </c>
      <c r="B4122" s="1" t="n">
        <v>45107</v>
      </c>
      <c r="C4122" s="1" t="n">
        <v>45846</v>
      </c>
      <c r="D4122" t="inlineStr">
        <is>
          <t>UPPSALA LÄN</t>
        </is>
      </c>
      <c r="E4122" t="inlineStr">
        <is>
          <t>ÖSTHAMMAR</t>
        </is>
      </c>
      <c r="F4122" t="inlineStr">
        <is>
          <t>Naturvårdsverket</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29926-2023</t>
        </is>
      </c>
      <c r="B4123" s="1" t="n">
        <v>45107</v>
      </c>
      <c r="C4123" s="1" t="n">
        <v>45846</v>
      </c>
      <c r="D4123" t="inlineStr">
        <is>
          <t>UPPSALA LÄN</t>
        </is>
      </c>
      <c r="E4123" t="inlineStr">
        <is>
          <t>UPPSALA</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29927-2023</t>
        </is>
      </c>
      <c r="B4124" s="1" t="n">
        <v>45107</v>
      </c>
      <c r="C4124" s="1" t="n">
        <v>45846</v>
      </c>
      <c r="D4124" t="inlineStr">
        <is>
          <t>UPPSALA LÄN</t>
        </is>
      </c>
      <c r="E4124" t="inlineStr">
        <is>
          <t>UPPSALA</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30058-2023</t>
        </is>
      </c>
      <c r="B4125" s="1" t="n">
        <v>45110</v>
      </c>
      <c r="C4125" s="1" t="n">
        <v>45846</v>
      </c>
      <c r="D4125" t="inlineStr">
        <is>
          <t>UPPSALA LÄN</t>
        </is>
      </c>
      <c r="E4125" t="inlineStr">
        <is>
          <t>HEBY</t>
        </is>
      </c>
      <c r="G4125" t="n">
        <v>6.4</v>
      </c>
      <c r="H4125" t="n">
        <v>0</v>
      </c>
      <c r="I4125" t="n">
        <v>0</v>
      </c>
      <c r="J4125" t="n">
        <v>0</v>
      </c>
      <c r="K4125" t="n">
        <v>0</v>
      </c>
      <c r="L4125" t="n">
        <v>0</v>
      </c>
      <c r="M4125" t="n">
        <v>0</v>
      </c>
      <c r="N4125" t="n">
        <v>0</v>
      </c>
      <c r="O4125" t="n">
        <v>0</v>
      </c>
      <c r="P4125" t="n">
        <v>0</v>
      </c>
      <c r="Q4125" t="n">
        <v>0</v>
      </c>
      <c r="R4125" s="2" t="inlineStr"/>
    </row>
    <row r="4126" ht="15" customHeight="1">
      <c r="A4126" t="inlineStr">
        <is>
          <t>A 30086-2023</t>
        </is>
      </c>
      <c r="B4126" s="1" t="n">
        <v>45110</v>
      </c>
      <c r="C4126" s="1" t="n">
        <v>45846</v>
      </c>
      <c r="D4126" t="inlineStr">
        <is>
          <t>UPPSALA LÄN</t>
        </is>
      </c>
      <c r="E4126" t="inlineStr">
        <is>
          <t>ÖSTHAMMAR</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30111-2023</t>
        </is>
      </c>
      <c r="B4127" s="1" t="n">
        <v>45110</v>
      </c>
      <c r="C4127" s="1" t="n">
        <v>45846</v>
      </c>
      <c r="D4127" t="inlineStr">
        <is>
          <t>UPPSALA LÄN</t>
        </is>
      </c>
      <c r="E4127" t="inlineStr">
        <is>
          <t>KNIVSTA</t>
        </is>
      </c>
      <c r="F4127" t="inlineStr">
        <is>
          <t>Holmen skog AB</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30128-2023</t>
        </is>
      </c>
      <c r="B4128" s="1" t="n">
        <v>45110</v>
      </c>
      <c r="C4128" s="1" t="n">
        <v>45846</v>
      </c>
      <c r="D4128" t="inlineStr">
        <is>
          <t>UPPSALA LÄN</t>
        </is>
      </c>
      <c r="E4128" t="inlineStr">
        <is>
          <t>KNIVSTA</t>
        </is>
      </c>
      <c r="F4128" t="inlineStr">
        <is>
          <t>Holmen skog AB</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30167-2023</t>
        </is>
      </c>
      <c r="B4129" s="1" t="n">
        <v>45110</v>
      </c>
      <c r="C4129" s="1" t="n">
        <v>45846</v>
      </c>
      <c r="D4129" t="inlineStr">
        <is>
          <t>UPPSALA LÄN</t>
        </is>
      </c>
      <c r="E4129" t="inlineStr">
        <is>
          <t>KNIVSTA</t>
        </is>
      </c>
      <c r="F4129" t="inlineStr">
        <is>
          <t>Holmen skog AB</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30178-2023</t>
        </is>
      </c>
      <c r="B4130" s="1" t="n">
        <v>45110</v>
      </c>
      <c r="C4130" s="1" t="n">
        <v>45846</v>
      </c>
      <c r="D4130" t="inlineStr">
        <is>
          <t>UPPSALA LÄN</t>
        </is>
      </c>
      <c r="E4130" t="inlineStr">
        <is>
          <t>KNIVSTA</t>
        </is>
      </c>
      <c r="F4130" t="inlineStr">
        <is>
          <t>Holmen skog AB</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32428-2023</t>
        </is>
      </c>
      <c r="B4131" s="1" t="n">
        <v>45110</v>
      </c>
      <c r="C4131" s="1" t="n">
        <v>45846</v>
      </c>
      <c r="D4131" t="inlineStr">
        <is>
          <t>UPPSALA LÄN</t>
        </is>
      </c>
      <c r="E4131" t="inlineStr">
        <is>
          <t>UPPSALA</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30470-2023</t>
        </is>
      </c>
      <c r="B4132" s="1" t="n">
        <v>45111</v>
      </c>
      <c r="C4132" s="1" t="n">
        <v>45846</v>
      </c>
      <c r="D4132" t="inlineStr">
        <is>
          <t>UPPSALA LÄN</t>
        </is>
      </c>
      <c r="E4132" t="inlineStr">
        <is>
          <t>ÖSTHAMMAR</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30498-2023</t>
        </is>
      </c>
      <c r="B4133" s="1" t="n">
        <v>45111</v>
      </c>
      <c r="C4133" s="1" t="n">
        <v>45846</v>
      </c>
      <c r="D4133" t="inlineStr">
        <is>
          <t>UPPSALA LÄN</t>
        </is>
      </c>
      <c r="E4133" t="inlineStr">
        <is>
          <t>ÖSTHAMMAR</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30433-2023</t>
        </is>
      </c>
      <c r="B4134" s="1" t="n">
        <v>45111</v>
      </c>
      <c r="C4134" s="1" t="n">
        <v>45846</v>
      </c>
      <c r="D4134" t="inlineStr">
        <is>
          <t>UPPSALA LÄN</t>
        </is>
      </c>
      <c r="E4134" t="inlineStr">
        <is>
          <t>HEBY</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30693-2023</t>
        </is>
      </c>
      <c r="B4135" s="1" t="n">
        <v>45112</v>
      </c>
      <c r="C4135" s="1" t="n">
        <v>45846</v>
      </c>
      <c r="D4135" t="inlineStr">
        <is>
          <t>UPPSALA LÄN</t>
        </is>
      </c>
      <c r="E4135" t="inlineStr">
        <is>
          <t>KNIVSTA</t>
        </is>
      </c>
      <c r="F4135" t="inlineStr">
        <is>
          <t>Holmen skog AB</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30719-2023</t>
        </is>
      </c>
      <c r="B4136" s="1" t="n">
        <v>45112</v>
      </c>
      <c r="C4136" s="1" t="n">
        <v>45846</v>
      </c>
      <c r="D4136" t="inlineStr">
        <is>
          <t>UPPSALA LÄN</t>
        </is>
      </c>
      <c r="E4136" t="inlineStr">
        <is>
          <t>KNIVSTA</t>
        </is>
      </c>
      <c r="F4136" t="inlineStr">
        <is>
          <t>Holmen skog AB</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30629-2023</t>
        </is>
      </c>
      <c r="B4137" s="1" t="n">
        <v>45112</v>
      </c>
      <c r="C4137" s="1" t="n">
        <v>45846</v>
      </c>
      <c r="D4137" t="inlineStr">
        <is>
          <t>UPPSALA LÄN</t>
        </is>
      </c>
      <c r="E4137" t="inlineStr">
        <is>
          <t>UPPSALA</t>
        </is>
      </c>
      <c r="G4137" t="n">
        <v>6</v>
      </c>
      <c r="H4137" t="n">
        <v>0</v>
      </c>
      <c r="I4137" t="n">
        <v>0</v>
      </c>
      <c r="J4137" t="n">
        <v>0</v>
      </c>
      <c r="K4137" t="n">
        <v>0</v>
      </c>
      <c r="L4137" t="n">
        <v>0</v>
      </c>
      <c r="M4137" t="n">
        <v>0</v>
      </c>
      <c r="N4137" t="n">
        <v>0</v>
      </c>
      <c r="O4137" t="n">
        <v>0</v>
      </c>
      <c r="P4137" t="n">
        <v>0</v>
      </c>
      <c r="Q4137" t="n">
        <v>0</v>
      </c>
      <c r="R4137" s="2" t="inlineStr"/>
    </row>
    <row r="4138" ht="15" customHeight="1">
      <c r="A4138" t="inlineStr">
        <is>
          <t>A 30809-2023</t>
        </is>
      </c>
      <c r="B4138" s="1" t="n">
        <v>45112</v>
      </c>
      <c r="C4138" s="1" t="n">
        <v>45846</v>
      </c>
      <c r="D4138" t="inlineStr">
        <is>
          <t>UPPSALA LÄN</t>
        </is>
      </c>
      <c r="E4138" t="inlineStr">
        <is>
          <t>ÖSTHAMMAR</t>
        </is>
      </c>
      <c r="F4138" t="inlineStr">
        <is>
          <t>Bergvik skog öst AB</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30808-2023</t>
        </is>
      </c>
      <c r="B4139" s="1" t="n">
        <v>45112</v>
      </c>
      <c r="C4139" s="1" t="n">
        <v>45846</v>
      </c>
      <c r="D4139" t="inlineStr">
        <is>
          <t>UPPSALA LÄN</t>
        </is>
      </c>
      <c r="E4139" t="inlineStr">
        <is>
          <t>ÖSTHAMMAR</t>
        </is>
      </c>
      <c r="F4139" t="inlineStr">
        <is>
          <t>Bergvik skog öst AB</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30812-2023</t>
        </is>
      </c>
      <c r="B4140" s="1" t="n">
        <v>45112</v>
      </c>
      <c r="C4140" s="1" t="n">
        <v>45846</v>
      </c>
      <c r="D4140" t="inlineStr">
        <is>
          <t>UPPSALA LÄN</t>
        </is>
      </c>
      <c r="E4140" t="inlineStr">
        <is>
          <t>ÖSTHAMMAR</t>
        </is>
      </c>
      <c r="F4140" t="inlineStr">
        <is>
          <t>Bergvik skog öst AB</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30627-2023</t>
        </is>
      </c>
      <c r="B4141" s="1" t="n">
        <v>45112</v>
      </c>
      <c r="C4141" s="1" t="n">
        <v>45846</v>
      </c>
      <c r="D4141" t="inlineStr">
        <is>
          <t>UPPSALA LÄN</t>
        </is>
      </c>
      <c r="E4141" t="inlineStr">
        <is>
          <t>KNIVSTA</t>
        </is>
      </c>
      <c r="F4141" t="inlineStr">
        <is>
          <t>Holmen skog AB</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30764-2023</t>
        </is>
      </c>
      <c r="B4142" s="1" t="n">
        <v>45112</v>
      </c>
      <c r="C4142" s="1" t="n">
        <v>45846</v>
      </c>
      <c r="D4142" t="inlineStr">
        <is>
          <t>UPPSALA LÄN</t>
        </is>
      </c>
      <c r="E4142" t="inlineStr">
        <is>
          <t>KNIVSTA</t>
        </is>
      </c>
      <c r="F4142" t="inlineStr">
        <is>
          <t>Holmen skog AB</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30810-2023</t>
        </is>
      </c>
      <c r="B4143" s="1" t="n">
        <v>45112</v>
      </c>
      <c r="C4143" s="1" t="n">
        <v>45846</v>
      </c>
      <c r="D4143" t="inlineStr">
        <is>
          <t>UPPSALA LÄN</t>
        </is>
      </c>
      <c r="E4143" t="inlineStr">
        <is>
          <t>ÖSTHAMMAR</t>
        </is>
      </c>
      <c r="F4143" t="inlineStr">
        <is>
          <t>Bergvik skog öst AB</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30811-2023</t>
        </is>
      </c>
      <c r="B4144" s="1" t="n">
        <v>45112</v>
      </c>
      <c r="C4144" s="1" t="n">
        <v>45846</v>
      </c>
      <c r="D4144" t="inlineStr">
        <is>
          <t>UPPSALA LÄN</t>
        </is>
      </c>
      <c r="E4144" t="inlineStr">
        <is>
          <t>ÖSTHAMMAR</t>
        </is>
      </c>
      <c r="F4144" t="inlineStr">
        <is>
          <t>Bergvik skog öst AB</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32689-2023</t>
        </is>
      </c>
      <c r="B4145" s="1" t="n">
        <v>45112</v>
      </c>
      <c r="C4145" s="1" t="n">
        <v>45846</v>
      </c>
      <c r="D4145" t="inlineStr">
        <is>
          <t>UPPSALA LÄN</t>
        </is>
      </c>
      <c r="E4145" t="inlineStr">
        <is>
          <t>UPPSALA</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32867-2023</t>
        </is>
      </c>
      <c r="B4146" s="1" t="n">
        <v>45112</v>
      </c>
      <c r="C4146" s="1" t="n">
        <v>45846</v>
      </c>
      <c r="D4146" t="inlineStr">
        <is>
          <t>UPPSALA LÄN</t>
        </is>
      </c>
      <c r="E4146" t="inlineStr">
        <is>
          <t>HEBY</t>
        </is>
      </c>
      <c r="F4146" t="inlineStr">
        <is>
          <t>Bergvik skog väst AB</t>
        </is>
      </c>
      <c r="G4146" t="n">
        <v>12.3</v>
      </c>
      <c r="H4146" t="n">
        <v>0</v>
      </c>
      <c r="I4146" t="n">
        <v>0</v>
      </c>
      <c r="J4146" t="n">
        <v>0</v>
      </c>
      <c r="K4146" t="n">
        <v>0</v>
      </c>
      <c r="L4146" t="n">
        <v>0</v>
      </c>
      <c r="M4146" t="n">
        <v>0</v>
      </c>
      <c r="N4146" t="n">
        <v>0</v>
      </c>
      <c r="O4146" t="n">
        <v>0</v>
      </c>
      <c r="P4146" t="n">
        <v>0</v>
      </c>
      <c r="Q4146" t="n">
        <v>0</v>
      </c>
      <c r="R4146" s="2" t="inlineStr"/>
    </row>
    <row r="4147" ht="15" customHeight="1">
      <c r="A4147" t="inlineStr">
        <is>
          <t>A 30891-2023</t>
        </is>
      </c>
      <c r="B4147" s="1" t="n">
        <v>45113</v>
      </c>
      <c r="C4147" s="1" t="n">
        <v>45846</v>
      </c>
      <c r="D4147" t="inlineStr">
        <is>
          <t>UPPSALA LÄN</t>
        </is>
      </c>
      <c r="E4147" t="inlineStr">
        <is>
          <t>HEBY</t>
        </is>
      </c>
      <c r="F4147" t="inlineStr">
        <is>
          <t>Övriga Aktiebolag</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30950-2023</t>
        </is>
      </c>
      <c r="B4148" s="1" t="n">
        <v>45113</v>
      </c>
      <c r="C4148" s="1" t="n">
        <v>45846</v>
      </c>
      <c r="D4148" t="inlineStr">
        <is>
          <t>UPPSALA LÄN</t>
        </is>
      </c>
      <c r="E4148" t="inlineStr">
        <is>
          <t>ENKÖPING</t>
        </is>
      </c>
      <c r="G4148" t="n">
        <v>6.8</v>
      </c>
      <c r="H4148" t="n">
        <v>0</v>
      </c>
      <c r="I4148" t="n">
        <v>0</v>
      </c>
      <c r="J4148" t="n">
        <v>0</v>
      </c>
      <c r="K4148" t="n">
        <v>0</v>
      </c>
      <c r="L4148" t="n">
        <v>0</v>
      </c>
      <c r="M4148" t="n">
        <v>0</v>
      </c>
      <c r="N4148" t="n">
        <v>0</v>
      </c>
      <c r="O4148" t="n">
        <v>0</v>
      </c>
      <c r="P4148" t="n">
        <v>0</v>
      </c>
      <c r="Q4148" t="n">
        <v>0</v>
      </c>
      <c r="R4148" s="2" t="inlineStr"/>
    </row>
    <row r="4149" ht="15" customHeight="1">
      <c r="A4149" t="inlineStr">
        <is>
          <t>A 30897-2023</t>
        </is>
      </c>
      <c r="B4149" s="1" t="n">
        <v>45113</v>
      </c>
      <c r="C4149" s="1" t="n">
        <v>45846</v>
      </c>
      <c r="D4149" t="inlineStr">
        <is>
          <t>UPPSALA LÄN</t>
        </is>
      </c>
      <c r="E4149" t="inlineStr">
        <is>
          <t>HEBY</t>
        </is>
      </c>
      <c r="F4149" t="inlineStr">
        <is>
          <t>Övriga Aktiebolag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30901-2023</t>
        </is>
      </c>
      <c r="B4150" s="1" t="n">
        <v>45113</v>
      </c>
      <c r="C4150" s="1" t="n">
        <v>45846</v>
      </c>
      <c r="D4150" t="inlineStr">
        <is>
          <t>UPPSALA LÄN</t>
        </is>
      </c>
      <c r="E4150" t="inlineStr">
        <is>
          <t>HEBY</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31157-2023</t>
        </is>
      </c>
      <c r="B4151" s="1" t="n">
        <v>45113</v>
      </c>
      <c r="C4151" s="1" t="n">
        <v>45846</v>
      </c>
      <c r="D4151" t="inlineStr">
        <is>
          <t>UPPSALA LÄN</t>
        </is>
      </c>
      <c r="E4151" t="inlineStr">
        <is>
          <t>UPPSALA</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31163-2023</t>
        </is>
      </c>
      <c r="B4152" s="1" t="n">
        <v>45113</v>
      </c>
      <c r="C4152" s="1" t="n">
        <v>45846</v>
      </c>
      <c r="D4152" t="inlineStr">
        <is>
          <t>UPPSALA LÄN</t>
        </is>
      </c>
      <c r="E4152" t="inlineStr">
        <is>
          <t>ENKÖPING</t>
        </is>
      </c>
      <c r="G4152" t="n">
        <v>5.6</v>
      </c>
      <c r="H4152" t="n">
        <v>0</v>
      </c>
      <c r="I4152" t="n">
        <v>0</v>
      </c>
      <c r="J4152" t="n">
        <v>0</v>
      </c>
      <c r="K4152" t="n">
        <v>0</v>
      </c>
      <c r="L4152" t="n">
        <v>0</v>
      </c>
      <c r="M4152" t="n">
        <v>0</v>
      </c>
      <c r="N4152" t="n">
        <v>0</v>
      </c>
      <c r="O4152" t="n">
        <v>0</v>
      </c>
      <c r="P4152" t="n">
        <v>0</v>
      </c>
      <c r="Q4152" t="n">
        <v>0</v>
      </c>
      <c r="R4152" s="2" t="inlineStr"/>
    </row>
    <row r="4153" ht="15" customHeight="1">
      <c r="A4153" t="inlineStr">
        <is>
          <t>A 31161-2023</t>
        </is>
      </c>
      <c r="B4153" s="1" t="n">
        <v>45113</v>
      </c>
      <c r="C4153" s="1" t="n">
        <v>45846</v>
      </c>
      <c r="D4153" t="inlineStr">
        <is>
          <t>UPPSALA LÄN</t>
        </is>
      </c>
      <c r="E4153" t="inlineStr">
        <is>
          <t>UPPSALA</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31279-2023</t>
        </is>
      </c>
      <c r="B4154" s="1" t="n">
        <v>45114</v>
      </c>
      <c r="C4154" s="1" t="n">
        <v>45846</v>
      </c>
      <c r="D4154" t="inlineStr">
        <is>
          <t>UPPSALA LÄN</t>
        </is>
      </c>
      <c r="E4154" t="inlineStr">
        <is>
          <t>TIERP</t>
        </is>
      </c>
      <c r="G4154" t="n">
        <v>5.3</v>
      </c>
      <c r="H4154" t="n">
        <v>0</v>
      </c>
      <c r="I4154" t="n">
        <v>0</v>
      </c>
      <c r="J4154" t="n">
        <v>0</v>
      </c>
      <c r="K4154" t="n">
        <v>0</v>
      </c>
      <c r="L4154" t="n">
        <v>0</v>
      </c>
      <c r="M4154" t="n">
        <v>0</v>
      </c>
      <c r="N4154" t="n">
        <v>0</v>
      </c>
      <c r="O4154" t="n">
        <v>0</v>
      </c>
      <c r="P4154" t="n">
        <v>0</v>
      </c>
      <c r="Q4154" t="n">
        <v>0</v>
      </c>
      <c r="R4154" s="2" t="inlineStr"/>
    </row>
    <row r="4155" ht="15" customHeight="1">
      <c r="A4155" t="inlineStr">
        <is>
          <t>A 31407-2023</t>
        </is>
      </c>
      <c r="B4155" s="1" t="n">
        <v>45114</v>
      </c>
      <c r="C4155" s="1" t="n">
        <v>45846</v>
      </c>
      <c r="D4155" t="inlineStr">
        <is>
          <t>UPPSALA LÄN</t>
        </is>
      </c>
      <c r="E4155" t="inlineStr">
        <is>
          <t>HEBY</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31273-2023</t>
        </is>
      </c>
      <c r="B4156" s="1" t="n">
        <v>45114</v>
      </c>
      <c r="C4156" s="1" t="n">
        <v>45846</v>
      </c>
      <c r="D4156" t="inlineStr">
        <is>
          <t>UPPSALA LÄN</t>
        </is>
      </c>
      <c r="E4156" t="inlineStr">
        <is>
          <t>TIERP</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31480-2023</t>
        </is>
      </c>
      <c r="B4157" s="1" t="n">
        <v>45114</v>
      </c>
      <c r="C4157" s="1" t="n">
        <v>45846</v>
      </c>
      <c r="D4157" t="inlineStr">
        <is>
          <t>UPPSALA LÄN</t>
        </is>
      </c>
      <c r="E4157" t="inlineStr">
        <is>
          <t>ÖSTHAMMAR</t>
        </is>
      </c>
      <c r="F4157" t="inlineStr">
        <is>
          <t>Bergvik skog öst AB</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31484-2023</t>
        </is>
      </c>
      <c r="B4158" s="1" t="n">
        <v>45114</v>
      </c>
      <c r="C4158" s="1" t="n">
        <v>45846</v>
      </c>
      <c r="D4158" t="inlineStr">
        <is>
          <t>UPPSALA LÄN</t>
        </is>
      </c>
      <c r="E4158" t="inlineStr">
        <is>
          <t>ÖSTHAMMAR</t>
        </is>
      </c>
      <c r="F4158" t="inlineStr">
        <is>
          <t>Bergvik skog öst AB</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31479-2023</t>
        </is>
      </c>
      <c r="B4159" s="1" t="n">
        <v>45114</v>
      </c>
      <c r="C4159" s="1" t="n">
        <v>45846</v>
      </c>
      <c r="D4159" t="inlineStr">
        <is>
          <t>UPPSALA LÄN</t>
        </is>
      </c>
      <c r="E4159" t="inlineStr">
        <is>
          <t>ÖSTHAMMAR</t>
        </is>
      </c>
      <c r="F4159" t="inlineStr">
        <is>
          <t>Bergvik skog öst AB</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31483-2023</t>
        </is>
      </c>
      <c r="B4160" s="1" t="n">
        <v>45114</v>
      </c>
      <c r="C4160" s="1" t="n">
        <v>45846</v>
      </c>
      <c r="D4160" t="inlineStr">
        <is>
          <t>UPPSALA LÄN</t>
        </is>
      </c>
      <c r="E4160" t="inlineStr">
        <is>
          <t>ÖSTHAMMAR</t>
        </is>
      </c>
      <c r="F4160" t="inlineStr">
        <is>
          <t>Bergvik skog öst AB</t>
        </is>
      </c>
      <c r="G4160" t="n">
        <v>4.5</v>
      </c>
      <c r="H4160" t="n">
        <v>0</v>
      </c>
      <c r="I4160" t="n">
        <v>0</v>
      </c>
      <c r="J4160" t="n">
        <v>0</v>
      </c>
      <c r="K4160" t="n">
        <v>0</v>
      </c>
      <c r="L4160" t="n">
        <v>0</v>
      </c>
      <c r="M4160" t="n">
        <v>0</v>
      </c>
      <c r="N4160" t="n">
        <v>0</v>
      </c>
      <c r="O4160" t="n">
        <v>0</v>
      </c>
      <c r="P4160" t="n">
        <v>0</v>
      </c>
      <c r="Q4160" t="n">
        <v>0</v>
      </c>
      <c r="R4160" s="2" t="inlineStr"/>
    </row>
    <row r="4161" ht="15" customHeight="1">
      <c r="A4161" t="inlineStr">
        <is>
          <t>A 31482-2023</t>
        </is>
      </c>
      <c r="B4161" s="1" t="n">
        <v>45114</v>
      </c>
      <c r="C4161" s="1" t="n">
        <v>45846</v>
      </c>
      <c r="D4161" t="inlineStr">
        <is>
          <t>UPPSALA LÄN</t>
        </is>
      </c>
      <c r="E4161" t="inlineStr">
        <is>
          <t>ÖSTHAMMAR</t>
        </is>
      </c>
      <c r="F4161" t="inlineStr">
        <is>
          <t>Bergvik skog öst AB</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31486-2023</t>
        </is>
      </c>
      <c r="B4162" s="1" t="n">
        <v>45114</v>
      </c>
      <c r="C4162" s="1" t="n">
        <v>45846</v>
      </c>
      <c r="D4162" t="inlineStr">
        <is>
          <t>UPPSALA LÄN</t>
        </is>
      </c>
      <c r="E4162" t="inlineStr">
        <is>
          <t>ÖSTHAMMAR</t>
        </is>
      </c>
      <c r="F4162" t="inlineStr">
        <is>
          <t>Bergvik skog öst AB</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31481-2023</t>
        </is>
      </c>
      <c r="B4163" s="1" t="n">
        <v>45114</v>
      </c>
      <c r="C4163" s="1" t="n">
        <v>45846</v>
      </c>
      <c r="D4163" t="inlineStr">
        <is>
          <t>UPPSALA LÄN</t>
        </is>
      </c>
      <c r="E4163" t="inlineStr">
        <is>
          <t>ÖSTHAMMAR</t>
        </is>
      </c>
      <c r="F4163" t="inlineStr">
        <is>
          <t>Bergvik skog öst AB</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31485-2023</t>
        </is>
      </c>
      <c r="B4164" s="1" t="n">
        <v>45114</v>
      </c>
      <c r="C4164" s="1" t="n">
        <v>45846</v>
      </c>
      <c r="D4164" t="inlineStr">
        <is>
          <t>UPPSALA LÄN</t>
        </is>
      </c>
      <c r="E4164" t="inlineStr">
        <is>
          <t>ÖSTHAMMAR</t>
        </is>
      </c>
      <c r="F4164" t="inlineStr">
        <is>
          <t>Bergvik skog öst AB</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31557-2023</t>
        </is>
      </c>
      <c r="B4165" s="1" t="n">
        <v>45117</v>
      </c>
      <c r="C4165" s="1" t="n">
        <v>45846</v>
      </c>
      <c r="D4165" t="inlineStr">
        <is>
          <t>UPPSALA LÄN</t>
        </is>
      </c>
      <c r="E4165" t="inlineStr">
        <is>
          <t>ENKÖPING</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31567-2023</t>
        </is>
      </c>
      <c r="B4166" s="1" t="n">
        <v>45117</v>
      </c>
      <c r="C4166" s="1" t="n">
        <v>45846</v>
      </c>
      <c r="D4166" t="inlineStr">
        <is>
          <t>UPPSALA LÄN</t>
        </is>
      </c>
      <c r="E4166" t="inlineStr">
        <is>
          <t>HEBY</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31559-2023</t>
        </is>
      </c>
      <c r="B4167" s="1" t="n">
        <v>45117</v>
      </c>
      <c r="C4167" s="1" t="n">
        <v>45846</v>
      </c>
      <c r="D4167" t="inlineStr">
        <is>
          <t>UPPSALA LÄN</t>
        </is>
      </c>
      <c r="E4167" t="inlineStr">
        <is>
          <t>ENKÖPING</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31564-2023</t>
        </is>
      </c>
      <c r="B4168" s="1" t="n">
        <v>45117</v>
      </c>
      <c r="C4168" s="1" t="n">
        <v>45846</v>
      </c>
      <c r="D4168" t="inlineStr">
        <is>
          <t>UPPSALA LÄN</t>
        </is>
      </c>
      <c r="E4168" t="inlineStr">
        <is>
          <t>HEBY</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31586-2023</t>
        </is>
      </c>
      <c r="B4169" s="1" t="n">
        <v>45117</v>
      </c>
      <c r="C4169" s="1" t="n">
        <v>45846</v>
      </c>
      <c r="D4169" t="inlineStr">
        <is>
          <t>UPPSALA LÄN</t>
        </is>
      </c>
      <c r="E4169" t="inlineStr">
        <is>
          <t>HEBY</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31604-2023</t>
        </is>
      </c>
      <c r="B4170" s="1" t="n">
        <v>45117</v>
      </c>
      <c r="C4170" s="1" t="n">
        <v>45846</v>
      </c>
      <c r="D4170" t="inlineStr">
        <is>
          <t>UPPSALA LÄN</t>
        </is>
      </c>
      <c r="E4170" t="inlineStr">
        <is>
          <t>ENKÖPING</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31636-2023</t>
        </is>
      </c>
      <c r="B4171" s="1" t="n">
        <v>45117</v>
      </c>
      <c r="C4171" s="1" t="n">
        <v>45846</v>
      </c>
      <c r="D4171" t="inlineStr">
        <is>
          <t>UPPSALA LÄN</t>
        </is>
      </c>
      <c r="E4171" t="inlineStr">
        <is>
          <t>ENKÖPING</t>
        </is>
      </c>
      <c r="G4171" t="n">
        <v>22.1</v>
      </c>
      <c r="H4171" t="n">
        <v>0</v>
      </c>
      <c r="I4171" t="n">
        <v>0</v>
      </c>
      <c r="J4171" t="n">
        <v>0</v>
      </c>
      <c r="K4171" t="n">
        <v>0</v>
      </c>
      <c r="L4171" t="n">
        <v>0</v>
      </c>
      <c r="M4171" t="n">
        <v>0</v>
      </c>
      <c r="N4171" t="n">
        <v>0</v>
      </c>
      <c r="O4171" t="n">
        <v>0</v>
      </c>
      <c r="P4171" t="n">
        <v>0</v>
      </c>
      <c r="Q4171" t="n">
        <v>0</v>
      </c>
      <c r="R4171" s="2" t="inlineStr"/>
    </row>
    <row r="4172" ht="15" customHeight="1">
      <c r="A4172" t="inlineStr">
        <is>
          <t>A 31560-2023</t>
        </is>
      </c>
      <c r="B4172" s="1" t="n">
        <v>45117</v>
      </c>
      <c r="C4172" s="1" t="n">
        <v>45846</v>
      </c>
      <c r="D4172" t="inlineStr">
        <is>
          <t>UPPSALA LÄN</t>
        </is>
      </c>
      <c r="E4172" t="inlineStr">
        <is>
          <t>HEBY</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31569-2023</t>
        </is>
      </c>
      <c r="B4173" s="1" t="n">
        <v>45117</v>
      </c>
      <c r="C4173" s="1" t="n">
        <v>45846</v>
      </c>
      <c r="D4173" t="inlineStr">
        <is>
          <t>UPPSALA LÄN</t>
        </is>
      </c>
      <c r="E4173" t="inlineStr">
        <is>
          <t>HEBY</t>
        </is>
      </c>
      <c r="G4173" t="n">
        <v>2.5</v>
      </c>
      <c r="H4173" t="n">
        <v>0</v>
      </c>
      <c r="I4173" t="n">
        <v>0</v>
      </c>
      <c r="J4173" t="n">
        <v>0</v>
      </c>
      <c r="K4173" t="n">
        <v>0</v>
      </c>
      <c r="L4173" t="n">
        <v>0</v>
      </c>
      <c r="M4173" t="n">
        <v>0</v>
      </c>
      <c r="N4173" t="n">
        <v>0</v>
      </c>
      <c r="O4173" t="n">
        <v>0</v>
      </c>
      <c r="P4173" t="n">
        <v>0</v>
      </c>
      <c r="Q4173" t="n">
        <v>0</v>
      </c>
      <c r="R4173" s="2" t="inlineStr"/>
      <c r="U4173">
        <f>HYPERLINK("https://klasma.github.io/Logging_0331/knärot/A 31569-2023 karta knärot.png", "A 31569-2023")</f>
        <v/>
      </c>
      <c r="V4173">
        <f>HYPERLINK("https://klasma.github.io/Logging_0331/klagomål/A 31569-2023 FSC-klagomål.docx", "A 31569-2023")</f>
        <v/>
      </c>
      <c r="W4173">
        <f>HYPERLINK("https://klasma.github.io/Logging_0331/klagomålsmail/A 31569-2023 FSC-klagomål mail.docx", "A 31569-2023")</f>
        <v/>
      </c>
      <c r="X4173">
        <f>HYPERLINK("https://klasma.github.io/Logging_0331/tillsyn/A 31569-2023 tillsynsbegäran.docx", "A 31569-2023")</f>
        <v/>
      </c>
      <c r="Y4173">
        <f>HYPERLINK("https://klasma.github.io/Logging_0331/tillsynsmail/A 31569-2023 tillsynsbegäran mail.docx", "A 31569-2023")</f>
        <v/>
      </c>
    </row>
    <row r="4174" ht="15" customHeight="1">
      <c r="A4174" t="inlineStr">
        <is>
          <t>A 31575-2023</t>
        </is>
      </c>
      <c r="B4174" s="1" t="n">
        <v>45117</v>
      </c>
      <c r="C4174" s="1" t="n">
        <v>45846</v>
      </c>
      <c r="D4174" t="inlineStr">
        <is>
          <t>UPPSALA LÄN</t>
        </is>
      </c>
      <c r="E4174" t="inlineStr">
        <is>
          <t>HEBY</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31642-2023</t>
        </is>
      </c>
      <c r="B4175" s="1" t="n">
        <v>45117</v>
      </c>
      <c r="C4175" s="1" t="n">
        <v>45846</v>
      </c>
      <c r="D4175" t="inlineStr">
        <is>
          <t>UPPSALA LÄN</t>
        </is>
      </c>
      <c r="E4175" t="inlineStr">
        <is>
          <t>ENKÖPING</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31566-2023</t>
        </is>
      </c>
      <c r="B4176" s="1" t="n">
        <v>45117</v>
      </c>
      <c r="C4176" s="1" t="n">
        <v>45846</v>
      </c>
      <c r="D4176" t="inlineStr">
        <is>
          <t>UPPSALA LÄN</t>
        </is>
      </c>
      <c r="E4176" t="inlineStr">
        <is>
          <t>HEBY</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31648-2023</t>
        </is>
      </c>
      <c r="B4177" s="1" t="n">
        <v>45117</v>
      </c>
      <c r="C4177" s="1" t="n">
        <v>45846</v>
      </c>
      <c r="D4177" t="inlineStr">
        <is>
          <t>UPPSALA LÄN</t>
        </is>
      </c>
      <c r="E4177" t="inlineStr">
        <is>
          <t>ENKÖPING</t>
        </is>
      </c>
      <c r="G4177" t="n">
        <v>12.9</v>
      </c>
      <c r="H4177" t="n">
        <v>0</v>
      </c>
      <c r="I4177" t="n">
        <v>0</v>
      </c>
      <c r="J4177" t="n">
        <v>0</v>
      </c>
      <c r="K4177" t="n">
        <v>0</v>
      </c>
      <c r="L4177" t="n">
        <v>0</v>
      </c>
      <c r="M4177" t="n">
        <v>0</v>
      </c>
      <c r="N4177" t="n">
        <v>0</v>
      </c>
      <c r="O4177" t="n">
        <v>0</v>
      </c>
      <c r="P4177" t="n">
        <v>0</v>
      </c>
      <c r="Q4177" t="n">
        <v>0</v>
      </c>
      <c r="R4177" s="2" t="inlineStr"/>
    </row>
    <row r="4178" ht="15" customHeight="1">
      <c r="A4178" t="inlineStr">
        <is>
          <t>A 31688-2023</t>
        </is>
      </c>
      <c r="B4178" s="1" t="n">
        <v>45117</v>
      </c>
      <c r="C4178" s="1" t="n">
        <v>45846</v>
      </c>
      <c r="D4178" t="inlineStr">
        <is>
          <t>UPPSALA LÄN</t>
        </is>
      </c>
      <c r="E4178" t="inlineStr">
        <is>
          <t>ÖSTHAMMAR</t>
        </is>
      </c>
      <c r="F4178" t="inlineStr">
        <is>
          <t>Bergvik skog öst AB</t>
        </is>
      </c>
      <c r="G4178" t="n">
        <v>4.9</v>
      </c>
      <c r="H4178" t="n">
        <v>0</v>
      </c>
      <c r="I4178" t="n">
        <v>0</v>
      </c>
      <c r="J4178" t="n">
        <v>0</v>
      </c>
      <c r="K4178" t="n">
        <v>0</v>
      </c>
      <c r="L4178" t="n">
        <v>0</v>
      </c>
      <c r="M4178" t="n">
        <v>0</v>
      </c>
      <c r="N4178" t="n">
        <v>0</v>
      </c>
      <c r="O4178" t="n">
        <v>0</v>
      </c>
      <c r="P4178" t="n">
        <v>0</v>
      </c>
      <c r="Q4178" t="n">
        <v>0</v>
      </c>
      <c r="R4178" s="2" t="inlineStr"/>
    </row>
    <row r="4179" ht="15" customHeight="1">
      <c r="A4179" t="inlineStr">
        <is>
          <t>A 31903-2023</t>
        </is>
      </c>
      <c r="B4179" s="1" t="n">
        <v>45118</v>
      </c>
      <c r="C4179" s="1" t="n">
        <v>45846</v>
      </c>
      <c r="D4179" t="inlineStr">
        <is>
          <t>UPPSALA LÄN</t>
        </is>
      </c>
      <c r="E4179" t="inlineStr">
        <is>
          <t>HEBY</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32023-2023</t>
        </is>
      </c>
      <c r="B4180" s="1" t="n">
        <v>45119</v>
      </c>
      <c r="C4180" s="1" t="n">
        <v>45846</v>
      </c>
      <c r="D4180" t="inlineStr">
        <is>
          <t>UPPSALA LÄN</t>
        </is>
      </c>
      <c r="E4180" t="inlineStr">
        <is>
          <t>HÅBO</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32194-2023</t>
        </is>
      </c>
      <c r="B4181" s="1" t="n">
        <v>45119</v>
      </c>
      <c r="C4181" s="1" t="n">
        <v>45846</v>
      </c>
      <c r="D4181" t="inlineStr">
        <is>
          <t>UPPSALA LÄN</t>
        </is>
      </c>
      <c r="E4181" t="inlineStr">
        <is>
          <t>ÖSTHAMMAR</t>
        </is>
      </c>
      <c r="F4181" t="inlineStr">
        <is>
          <t>Bergvik skog öst AB</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32195-2023</t>
        </is>
      </c>
      <c r="B4182" s="1" t="n">
        <v>45119</v>
      </c>
      <c r="C4182" s="1" t="n">
        <v>45846</v>
      </c>
      <c r="D4182" t="inlineStr">
        <is>
          <t>UPPSALA LÄN</t>
        </is>
      </c>
      <c r="E4182" t="inlineStr">
        <is>
          <t>ÖSTHAMMAR</t>
        </is>
      </c>
      <c r="F4182" t="inlineStr">
        <is>
          <t>Bergvik skog öst AB</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32197-2023</t>
        </is>
      </c>
      <c r="B4183" s="1" t="n">
        <v>45119</v>
      </c>
      <c r="C4183" s="1" t="n">
        <v>45846</v>
      </c>
      <c r="D4183" t="inlineStr">
        <is>
          <t>UPPSALA LÄN</t>
        </is>
      </c>
      <c r="E4183" t="inlineStr">
        <is>
          <t>ÖSTHAMMAR</t>
        </is>
      </c>
      <c r="F4183" t="inlineStr">
        <is>
          <t>Bergvik skog öst AB</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32196-2023</t>
        </is>
      </c>
      <c r="B4184" s="1" t="n">
        <v>45119</v>
      </c>
      <c r="C4184" s="1" t="n">
        <v>45846</v>
      </c>
      <c r="D4184" t="inlineStr">
        <is>
          <t>UPPSALA LÄN</t>
        </is>
      </c>
      <c r="E4184" t="inlineStr">
        <is>
          <t>ÖSTHAMMAR</t>
        </is>
      </c>
      <c r="F4184" t="inlineStr">
        <is>
          <t>Bergvik skog öst AB</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33689-2023</t>
        </is>
      </c>
      <c r="B4185" s="1" t="n">
        <v>45119</v>
      </c>
      <c r="C4185" s="1" t="n">
        <v>45846</v>
      </c>
      <c r="D4185" t="inlineStr">
        <is>
          <t>UPPSALA LÄN</t>
        </is>
      </c>
      <c r="E4185" t="inlineStr">
        <is>
          <t>UPPSALA</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33677-2023</t>
        </is>
      </c>
      <c r="B4186" s="1" t="n">
        <v>45119</v>
      </c>
      <c r="C4186" s="1" t="n">
        <v>45846</v>
      </c>
      <c r="D4186" t="inlineStr">
        <is>
          <t>UPPSALA LÄN</t>
        </is>
      </c>
      <c r="E4186" t="inlineStr">
        <is>
          <t>TIERP</t>
        </is>
      </c>
      <c r="F4186" t="inlineStr">
        <is>
          <t>Bergvik skog väst AB</t>
        </is>
      </c>
      <c r="G4186" t="n">
        <v>57.7</v>
      </c>
      <c r="H4186" t="n">
        <v>0</v>
      </c>
      <c r="I4186" t="n">
        <v>0</v>
      </c>
      <c r="J4186" t="n">
        <v>0</v>
      </c>
      <c r="K4186" t="n">
        <v>0</v>
      </c>
      <c r="L4186" t="n">
        <v>0</v>
      </c>
      <c r="M4186" t="n">
        <v>0</v>
      </c>
      <c r="N4186" t="n">
        <v>0</v>
      </c>
      <c r="O4186" t="n">
        <v>0</v>
      </c>
      <c r="P4186" t="n">
        <v>0</v>
      </c>
      <c r="Q4186" t="n">
        <v>0</v>
      </c>
      <c r="R4186" s="2" t="inlineStr"/>
    </row>
    <row r="4187" ht="15" customHeight="1">
      <c r="A4187" t="inlineStr">
        <is>
          <t>A 33680-2023</t>
        </is>
      </c>
      <c r="B4187" s="1" t="n">
        <v>45119</v>
      </c>
      <c r="C4187" s="1" t="n">
        <v>45846</v>
      </c>
      <c r="D4187" t="inlineStr">
        <is>
          <t>UPPSALA LÄN</t>
        </is>
      </c>
      <c r="E4187" t="inlineStr">
        <is>
          <t>HEBY</t>
        </is>
      </c>
      <c r="F4187" t="inlineStr">
        <is>
          <t>Bergvik skog väst AB</t>
        </is>
      </c>
      <c r="G4187" t="n">
        <v>66.90000000000001</v>
      </c>
      <c r="H4187" t="n">
        <v>0</v>
      </c>
      <c r="I4187" t="n">
        <v>0</v>
      </c>
      <c r="J4187" t="n">
        <v>0</v>
      </c>
      <c r="K4187" t="n">
        <v>0</v>
      </c>
      <c r="L4187" t="n">
        <v>0</v>
      </c>
      <c r="M4187" t="n">
        <v>0</v>
      </c>
      <c r="N4187" t="n">
        <v>0</v>
      </c>
      <c r="O4187" t="n">
        <v>0</v>
      </c>
      <c r="P4187" t="n">
        <v>0</v>
      </c>
      <c r="Q4187" t="n">
        <v>0</v>
      </c>
      <c r="R4187" s="2" t="inlineStr"/>
    </row>
    <row r="4188" ht="15" customHeight="1">
      <c r="A4188" t="inlineStr">
        <is>
          <t>A 32295-2023</t>
        </is>
      </c>
      <c r="B4188" s="1" t="n">
        <v>45120</v>
      </c>
      <c r="C4188" s="1" t="n">
        <v>45846</v>
      </c>
      <c r="D4188" t="inlineStr">
        <is>
          <t>UPPSALA LÄN</t>
        </is>
      </c>
      <c r="E4188" t="inlineStr">
        <is>
          <t>HEBY</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32390-2023</t>
        </is>
      </c>
      <c r="B4189" s="1" t="n">
        <v>45120</v>
      </c>
      <c r="C4189" s="1" t="n">
        <v>45846</v>
      </c>
      <c r="D4189" t="inlineStr">
        <is>
          <t>UPPSALA LÄN</t>
        </is>
      </c>
      <c r="E4189" t="inlineStr">
        <is>
          <t>ÖSTHAMMAR</t>
        </is>
      </c>
      <c r="F4189" t="inlineStr">
        <is>
          <t>Övriga Aktiebolag</t>
        </is>
      </c>
      <c r="G4189" t="n">
        <v>3.9</v>
      </c>
      <c r="H4189" t="n">
        <v>0</v>
      </c>
      <c r="I4189" t="n">
        <v>0</v>
      </c>
      <c r="J4189" t="n">
        <v>0</v>
      </c>
      <c r="K4189" t="n">
        <v>0</v>
      </c>
      <c r="L4189" t="n">
        <v>0</v>
      </c>
      <c r="M4189" t="n">
        <v>0</v>
      </c>
      <c r="N4189" t="n">
        <v>0</v>
      </c>
      <c r="O4189" t="n">
        <v>0</v>
      </c>
      <c r="P4189" t="n">
        <v>0</v>
      </c>
      <c r="Q4189" t="n">
        <v>0</v>
      </c>
      <c r="R4189" s="2" t="inlineStr"/>
    </row>
    <row r="4190" ht="15" customHeight="1">
      <c r="A4190" t="inlineStr">
        <is>
          <t>A 32399-2023</t>
        </is>
      </c>
      <c r="B4190" s="1" t="n">
        <v>45120</v>
      </c>
      <c r="C4190" s="1" t="n">
        <v>45846</v>
      </c>
      <c r="D4190" t="inlineStr">
        <is>
          <t>UPPSALA LÄN</t>
        </is>
      </c>
      <c r="E4190" t="inlineStr">
        <is>
          <t>HEBY</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32290-2023</t>
        </is>
      </c>
      <c r="B4191" s="1" t="n">
        <v>45120</v>
      </c>
      <c r="C4191" s="1" t="n">
        <v>45846</v>
      </c>
      <c r="D4191" t="inlineStr">
        <is>
          <t>UPPSALA LÄN</t>
        </is>
      </c>
      <c r="E4191" t="inlineStr">
        <is>
          <t>HEBY</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32413-2023</t>
        </is>
      </c>
      <c r="B4192" s="1" t="n">
        <v>45120</v>
      </c>
      <c r="C4192" s="1" t="n">
        <v>45846</v>
      </c>
      <c r="D4192" t="inlineStr">
        <is>
          <t>UPPSALA LÄN</t>
        </is>
      </c>
      <c r="E4192" t="inlineStr">
        <is>
          <t>UPPSALA</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32640-2023</t>
        </is>
      </c>
      <c r="B4193" s="1" t="n">
        <v>45121</v>
      </c>
      <c r="C4193" s="1" t="n">
        <v>45846</v>
      </c>
      <c r="D4193" t="inlineStr">
        <is>
          <t>UPPSALA LÄN</t>
        </is>
      </c>
      <c r="E4193" t="inlineStr">
        <is>
          <t>UPPSALA</t>
        </is>
      </c>
      <c r="F4193" t="inlineStr">
        <is>
          <t>Holmen skog AB</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32665-2023</t>
        </is>
      </c>
      <c r="B4194" s="1" t="n">
        <v>45121</v>
      </c>
      <c r="C4194" s="1" t="n">
        <v>45846</v>
      </c>
      <c r="D4194" t="inlineStr">
        <is>
          <t>UPPSALA LÄN</t>
        </is>
      </c>
      <c r="E4194" t="inlineStr">
        <is>
          <t>TIERP</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32674-2023</t>
        </is>
      </c>
      <c r="B4195" s="1" t="n">
        <v>45121</v>
      </c>
      <c r="C4195" s="1" t="n">
        <v>45846</v>
      </c>
      <c r="D4195" t="inlineStr">
        <is>
          <t>UPPSALA LÄN</t>
        </is>
      </c>
      <c r="E4195" t="inlineStr">
        <is>
          <t>UPPSALA</t>
        </is>
      </c>
      <c r="F4195" t="inlineStr">
        <is>
          <t>Holmen skog AB</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32688-2023</t>
        </is>
      </c>
      <c r="B4196" s="1" t="n">
        <v>45121</v>
      </c>
      <c r="C4196" s="1" t="n">
        <v>45846</v>
      </c>
      <c r="D4196" t="inlineStr">
        <is>
          <t>UPPSALA LÄN</t>
        </is>
      </c>
      <c r="E4196" t="inlineStr">
        <is>
          <t>UPPSALA</t>
        </is>
      </c>
      <c r="F4196" t="inlineStr">
        <is>
          <t>Holmen skog AB</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32693-2023</t>
        </is>
      </c>
      <c r="B4197" s="1" t="n">
        <v>45121</v>
      </c>
      <c r="C4197" s="1" t="n">
        <v>45846</v>
      </c>
      <c r="D4197" t="inlineStr">
        <is>
          <t>UPPSALA LÄN</t>
        </is>
      </c>
      <c r="E4197" t="inlineStr">
        <is>
          <t>ÖSTHAMMAR</t>
        </is>
      </c>
      <c r="F4197" t="inlineStr">
        <is>
          <t>Bergvik skog öst AB</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32654-2023</t>
        </is>
      </c>
      <c r="B4198" s="1" t="n">
        <v>45121</v>
      </c>
      <c r="C4198" s="1" t="n">
        <v>45846</v>
      </c>
      <c r="D4198" t="inlineStr">
        <is>
          <t>UPPSALA LÄN</t>
        </is>
      </c>
      <c r="E4198" t="inlineStr">
        <is>
          <t>KNIVSTA</t>
        </is>
      </c>
      <c r="F4198" t="inlineStr">
        <is>
          <t>Holmen skog AB</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32658-2023</t>
        </is>
      </c>
      <c r="B4199" s="1" t="n">
        <v>45121</v>
      </c>
      <c r="C4199" s="1" t="n">
        <v>45846</v>
      </c>
      <c r="D4199" t="inlineStr">
        <is>
          <t>UPPSALA LÄN</t>
        </is>
      </c>
      <c r="E4199" t="inlineStr">
        <is>
          <t>KNIVSTA</t>
        </is>
      </c>
      <c r="F4199" t="inlineStr">
        <is>
          <t>Holmen skog AB</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32663-2023</t>
        </is>
      </c>
      <c r="B4200" s="1" t="n">
        <v>45121</v>
      </c>
      <c r="C4200" s="1" t="n">
        <v>45846</v>
      </c>
      <c r="D4200" t="inlineStr">
        <is>
          <t>UPPSALA LÄN</t>
        </is>
      </c>
      <c r="E4200" t="inlineStr">
        <is>
          <t>KNIVSTA</t>
        </is>
      </c>
      <c r="F4200" t="inlineStr">
        <is>
          <t>Holmen skog AB</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32691-2023</t>
        </is>
      </c>
      <c r="B4201" s="1" t="n">
        <v>45121</v>
      </c>
      <c r="C4201" s="1" t="n">
        <v>45846</v>
      </c>
      <c r="D4201" t="inlineStr">
        <is>
          <t>UPPSALA LÄN</t>
        </is>
      </c>
      <c r="E4201" t="inlineStr">
        <is>
          <t>ÖSTHAMMAR</t>
        </is>
      </c>
      <c r="F4201" t="inlineStr">
        <is>
          <t>Bergvik skog öst AB</t>
        </is>
      </c>
      <c r="G4201" t="n">
        <v>20.2</v>
      </c>
      <c r="H4201" t="n">
        <v>0</v>
      </c>
      <c r="I4201" t="n">
        <v>0</v>
      </c>
      <c r="J4201" t="n">
        <v>0</v>
      </c>
      <c r="K4201" t="n">
        <v>0</v>
      </c>
      <c r="L4201" t="n">
        <v>0</v>
      </c>
      <c r="M4201" t="n">
        <v>0</v>
      </c>
      <c r="N4201" t="n">
        <v>0</v>
      </c>
      <c r="O4201" t="n">
        <v>0</v>
      </c>
      <c r="P4201" t="n">
        <v>0</v>
      </c>
      <c r="Q4201" t="n">
        <v>0</v>
      </c>
      <c r="R4201" s="2" t="inlineStr"/>
    </row>
    <row r="4202" ht="15" customHeight="1">
      <c r="A4202" t="inlineStr">
        <is>
          <t>A 32752-2023</t>
        </is>
      </c>
      <c r="B4202" s="1" t="n">
        <v>45122</v>
      </c>
      <c r="C4202" s="1" t="n">
        <v>45846</v>
      </c>
      <c r="D4202" t="inlineStr">
        <is>
          <t>UPPSALA LÄN</t>
        </is>
      </c>
      <c r="E4202" t="inlineStr">
        <is>
          <t>ÖSTHAMMAR</t>
        </is>
      </c>
      <c r="F4202" t="inlineStr">
        <is>
          <t>Bergvik skog öst AB</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32779-2023</t>
        </is>
      </c>
      <c r="B4203" s="1" t="n">
        <v>45123</v>
      </c>
      <c r="C4203" s="1" t="n">
        <v>45846</v>
      </c>
      <c r="D4203" t="inlineStr">
        <is>
          <t>UPPSALA LÄN</t>
        </is>
      </c>
      <c r="E4203" t="inlineStr">
        <is>
          <t>ÖSTHAMMAR</t>
        </is>
      </c>
      <c r="F4203" t="inlineStr">
        <is>
          <t>Bergvik skog öst AB</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32778-2023</t>
        </is>
      </c>
      <c r="B4204" s="1" t="n">
        <v>45123</v>
      </c>
      <c r="C4204" s="1" t="n">
        <v>45846</v>
      </c>
      <c r="D4204" t="inlineStr">
        <is>
          <t>UPPSALA LÄN</t>
        </is>
      </c>
      <c r="E4204" t="inlineStr">
        <is>
          <t>ÖSTHAMMAR</t>
        </is>
      </c>
      <c r="F4204" t="inlineStr">
        <is>
          <t>Bergvik skog öst AB</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32895-2023</t>
        </is>
      </c>
      <c r="B4205" s="1" t="n">
        <v>45124</v>
      </c>
      <c r="C4205" s="1" t="n">
        <v>45846</v>
      </c>
      <c r="D4205" t="inlineStr">
        <is>
          <t>UPPSALA LÄN</t>
        </is>
      </c>
      <c r="E4205" t="inlineStr">
        <is>
          <t>ÖSTHAMMAR</t>
        </is>
      </c>
      <c r="F4205" t="inlineStr">
        <is>
          <t>Bergvik skog öst AB</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33162-2023</t>
        </is>
      </c>
      <c r="B4206" s="1" t="n">
        <v>45126</v>
      </c>
      <c r="C4206" s="1" t="n">
        <v>45846</v>
      </c>
      <c r="D4206" t="inlineStr">
        <is>
          <t>UPPSALA LÄN</t>
        </is>
      </c>
      <c r="E4206" t="inlineStr">
        <is>
          <t>HEBY</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33191-2023</t>
        </is>
      </c>
      <c r="B4207" s="1" t="n">
        <v>45127</v>
      </c>
      <c r="C4207" s="1" t="n">
        <v>45846</v>
      </c>
      <c r="D4207" t="inlineStr">
        <is>
          <t>UPPSALA LÄN</t>
        </is>
      </c>
      <c r="E4207" t="inlineStr">
        <is>
          <t>UPPSALA</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33189-2023</t>
        </is>
      </c>
      <c r="B4208" s="1" t="n">
        <v>45127</v>
      </c>
      <c r="C4208" s="1" t="n">
        <v>45846</v>
      </c>
      <c r="D4208" t="inlineStr">
        <is>
          <t>UPPSALA LÄN</t>
        </is>
      </c>
      <c r="E4208" t="inlineStr">
        <is>
          <t>UPPSALA</t>
        </is>
      </c>
      <c r="G4208" t="n">
        <v>5</v>
      </c>
      <c r="H4208" t="n">
        <v>0</v>
      </c>
      <c r="I4208" t="n">
        <v>0</v>
      </c>
      <c r="J4208" t="n">
        <v>0</v>
      </c>
      <c r="K4208" t="n">
        <v>0</v>
      </c>
      <c r="L4208" t="n">
        <v>0</v>
      </c>
      <c r="M4208" t="n">
        <v>0</v>
      </c>
      <c r="N4208" t="n">
        <v>0</v>
      </c>
      <c r="O4208" t="n">
        <v>0</v>
      </c>
      <c r="P4208" t="n">
        <v>0</v>
      </c>
      <c r="Q4208" t="n">
        <v>0</v>
      </c>
      <c r="R4208" s="2" t="inlineStr"/>
    </row>
    <row r="4209" ht="15" customHeight="1">
      <c r="A4209" t="inlineStr">
        <is>
          <t>A 33307-2023</t>
        </is>
      </c>
      <c r="B4209" s="1" t="n">
        <v>45127</v>
      </c>
      <c r="C4209" s="1" t="n">
        <v>45846</v>
      </c>
      <c r="D4209" t="inlineStr">
        <is>
          <t>UPPSALA LÄN</t>
        </is>
      </c>
      <c r="E4209" t="inlineStr">
        <is>
          <t>TIERP</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33339-2023</t>
        </is>
      </c>
      <c r="B4210" s="1" t="n">
        <v>45128</v>
      </c>
      <c r="C4210" s="1" t="n">
        <v>45846</v>
      </c>
      <c r="D4210" t="inlineStr">
        <is>
          <t>UPPSALA LÄN</t>
        </is>
      </c>
      <c r="E4210" t="inlineStr">
        <is>
          <t>TIERP</t>
        </is>
      </c>
      <c r="F4210" t="inlineStr">
        <is>
          <t>Bergvik skog öst AB</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33389-2023</t>
        </is>
      </c>
      <c r="B4211" s="1" t="n">
        <v>45128</v>
      </c>
      <c r="C4211" s="1" t="n">
        <v>45846</v>
      </c>
      <c r="D4211" t="inlineStr">
        <is>
          <t>UPPSALA LÄN</t>
        </is>
      </c>
      <c r="E4211" t="inlineStr">
        <is>
          <t>HEBY</t>
        </is>
      </c>
      <c r="G4211" t="n">
        <v>5.9</v>
      </c>
      <c r="H4211" t="n">
        <v>0</v>
      </c>
      <c r="I4211" t="n">
        <v>0</v>
      </c>
      <c r="J4211" t="n">
        <v>0</v>
      </c>
      <c r="K4211" t="n">
        <v>0</v>
      </c>
      <c r="L4211" t="n">
        <v>0</v>
      </c>
      <c r="M4211" t="n">
        <v>0</v>
      </c>
      <c r="N4211" t="n">
        <v>0</v>
      </c>
      <c r="O4211" t="n">
        <v>0</v>
      </c>
      <c r="P4211" t="n">
        <v>0</v>
      </c>
      <c r="Q4211" t="n">
        <v>0</v>
      </c>
      <c r="R4211" s="2" t="inlineStr"/>
    </row>
    <row r="4212" ht="15" customHeight="1">
      <c r="A4212" t="inlineStr">
        <is>
          <t>A 33338-2023</t>
        </is>
      </c>
      <c r="B4212" s="1" t="n">
        <v>45128</v>
      </c>
      <c r="C4212" s="1" t="n">
        <v>45846</v>
      </c>
      <c r="D4212" t="inlineStr">
        <is>
          <t>UPPSALA LÄN</t>
        </is>
      </c>
      <c r="E4212" t="inlineStr">
        <is>
          <t>TIERP</t>
        </is>
      </c>
      <c r="F4212" t="inlineStr">
        <is>
          <t>Bergvik skog öst AB</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33385-2023</t>
        </is>
      </c>
      <c r="B4213" s="1" t="n">
        <v>45128</v>
      </c>
      <c r="C4213" s="1" t="n">
        <v>45846</v>
      </c>
      <c r="D4213" t="inlineStr">
        <is>
          <t>UPPSALA LÄN</t>
        </is>
      </c>
      <c r="E4213" t="inlineStr">
        <is>
          <t>HEBY</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34282-2023</t>
        </is>
      </c>
      <c r="B4214" s="1" t="n">
        <v>45128</v>
      </c>
      <c r="C4214" s="1" t="n">
        <v>45846</v>
      </c>
      <c r="D4214" t="inlineStr">
        <is>
          <t>UPPSALA LÄN</t>
        </is>
      </c>
      <c r="E4214" t="inlineStr">
        <is>
          <t>UPPSALA</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33451-2023</t>
        </is>
      </c>
      <c r="B4215" s="1" t="n">
        <v>45130</v>
      </c>
      <c r="C4215" s="1" t="n">
        <v>45846</v>
      </c>
      <c r="D4215" t="inlineStr">
        <is>
          <t>UPPSALA LÄN</t>
        </is>
      </c>
      <c r="E4215" t="inlineStr">
        <is>
          <t>TIERP</t>
        </is>
      </c>
      <c r="G4215" t="n">
        <v>5.3</v>
      </c>
      <c r="H4215" t="n">
        <v>0</v>
      </c>
      <c r="I4215" t="n">
        <v>0</v>
      </c>
      <c r="J4215" t="n">
        <v>0</v>
      </c>
      <c r="K4215" t="n">
        <v>0</v>
      </c>
      <c r="L4215" t="n">
        <v>0</v>
      </c>
      <c r="M4215" t="n">
        <v>0</v>
      </c>
      <c r="N4215" t="n">
        <v>0</v>
      </c>
      <c r="O4215" t="n">
        <v>0</v>
      </c>
      <c r="P4215" t="n">
        <v>0</v>
      </c>
      <c r="Q4215" t="n">
        <v>0</v>
      </c>
      <c r="R4215" s="2" t="inlineStr"/>
    </row>
    <row r="4216" ht="15" customHeight="1">
      <c r="A4216" t="inlineStr">
        <is>
          <t>A 33530-2023</t>
        </is>
      </c>
      <c r="B4216" s="1" t="n">
        <v>45131</v>
      </c>
      <c r="C4216" s="1" t="n">
        <v>45846</v>
      </c>
      <c r="D4216" t="inlineStr">
        <is>
          <t>UPPSALA LÄN</t>
        </is>
      </c>
      <c r="E4216" t="inlineStr">
        <is>
          <t>HEBY</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33562-2023</t>
        </is>
      </c>
      <c r="B4217" s="1" t="n">
        <v>45131</v>
      </c>
      <c r="C4217" s="1" t="n">
        <v>45846</v>
      </c>
      <c r="D4217" t="inlineStr">
        <is>
          <t>UPPSALA LÄN</t>
        </is>
      </c>
      <c r="E4217" t="inlineStr">
        <is>
          <t>UPPSALA</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33581-2023</t>
        </is>
      </c>
      <c r="B4218" s="1" t="n">
        <v>45131</v>
      </c>
      <c r="C4218" s="1" t="n">
        <v>45846</v>
      </c>
      <c r="D4218" t="inlineStr">
        <is>
          <t>UPPSALA LÄN</t>
        </is>
      </c>
      <c r="E4218" t="inlineStr">
        <is>
          <t>ENKÖPING</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33703-2023</t>
        </is>
      </c>
      <c r="B4219" s="1" t="n">
        <v>45132</v>
      </c>
      <c r="C4219" s="1" t="n">
        <v>45846</v>
      </c>
      <c r="D4219" t="inlineStr">
        <is>
          <t>UPPSALA LÄN</t>
        </is>
      </c>
      <c r="E4219" t="inlineStr">
        <is>
          <t>HEBY</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33707-2023</t>
        </is>
      </c>
      <c r="B4220" s="1" t="n">
        <v>45132</v>
      </c>
      <c r="C4220" s="1" t="n">
        <v>45846</v>
      </c>
      <c r="D4220" t="inlineStr">
        <is>
          <t>UPPSALA LÄN</t>
        </is>
      </c>
      <c r="E4220" t="inlineStr">
        <is>
          <t>HEBY</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33706-2023</t>
        </is>
      </c>
      <c r="B4221" s="1" t="n">
        <v>45132</v>
      </c>
      <c r="C4221" s="1" t="n">
        <v>45846</v>
      </c>
      <c r="D4221" t="inlineStr">
        <is>
          <t>UPPSALA LÄN</t>
        </is>
      </c>
      <c r="E4221" t="inlineStr">
        <is>
          <t>HEBY</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33700-2023</t>
        </is>
      </c>
      <c r="B4222" s="1" t="n">
        <v>45132</v>
      </c>
      <c r="C4222" s="1" t="n">
        <v>45846</v>
      </c>
      <c r="D4222" t="inlineStr">
        <is>
          <t>UPPSALA LÄN</t>
        </is>
      </c>
      <c r="E4222" t="inlineStr">
        <is>
          <t>UPPSALA</t>
        </is>
      </c>
      <c r="G4222" t="n">
        <v>6.5</v>
      </c>
      <c r="H4222" t="n">
        <v>0</v>
      </c>
      <c r="I4222" t="n">
        <v>0</v>
      </c>
      <c r="J4222" t="n">
        <v>0</v>
      </c>
      <c r="K4222" t="n">
        <v>0</v>
      </c>
      <c r="L4222" t="n">
        <v>0</v>
      </c>
      <c r="M4222" t="n">
        <v>0</v>
      </c>
      <c r="N4222" t="n">
        <v>0</v>
      </c>
      <c r="O4222" t="n">
        <v>0</v>
      </c>
      <c r="P4222" t="n">
        <v>0</v>
      </c>
      <c r="Q4222" t="n">
        <v>0</v>
      </c>
      <c r="R4222" s="2" t="inlineStr"/>
    </row>
    <row r="4223" ht="15" customHeight="1">
      <c r="A4223" t="inlineStr">
        <is>
          <t>A 33705-2023</t>
        </is>
      </c>
      <c r="B4223" s="1" t="n">
        <v>45132</v>
      </c>
      <c r="C4223" s="1" t="n">
        <v>45846</v>
      </c>
      <c r="D4223" t="inlineStr">
        <is>
          <t>UPPSALA LÄN</t>
        </is>
      </c>
      <c r="E4223" t="inlineStr">
        <is>
          <t>HEBY</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33797-2023</t>
        </is>
      </c>
      <c r="B4224" s="1" t="n">
        <v>45133</v>
      </c>
      <c r="C4224" s="1" t="n">
        <v>45846</v>
      </c>
      <c r="D4224" t="inlineStr">
        <is>
          <t>UPPSALA LÄN</t>
        </is>
      </c>
      <c r="E4224" t="inlineStr">
        <is>
          <t>TIERP</t>
        </is>
      </c>
      <c r="F4224" t="inlineStr">
        <is>
          <t>Bergvik skog öst AB</t>
        </is>
      </c>
      <c r="G4224" t="n">
        <v>0.4</v>
      </c>
      <c r="H4224" t="n">
        <v>0</v>
      </c>
      <c r="I4224" t="n">
        <v>0</v>
      </c>
      <c r="J4224" t="n">
        <v>0</v>
      </c>
      <c r="K4224" t="n">
        <v>0</v>
      </c>
      <c r="L4224" t="n">
        <v>0</v>
      </c>
      <c r="M4224" t="n">
        <v>0</v>
      </c>
      <c r="N4224" t="n">
        <v>0</v>
      </c>
      <c r="O4224" t="n">
        <v>0</v>
      </c>
      <c r="P4224" t="n">
        <v>0</v>
      </c>
      <c r="Q4224" t="n">
        <v>0</v>
      </c>
      <c r="R4224" s="2" t="inlineStr"/>
      <c r="U4224">
        <f>HYPERLINK("https://klasma.github.io/Logging_0360/knärot/A 33797-2023 karta knärot.png", "A 33797-2023")</f>
        <v/>
      </c>
      <c r="V4224">
        <f>HYPERLINK("https://klasma.github.io/Logging_0360/klagomål/A 33797-2023 FSC-klagomål.docx", "A 33797-2023")</f>
        <v/>
      </c>
      <c r="W4224">
        <f>HYPERLINK("https://klasma.github.io/Logging_0360/klagomålsmail/A 33797-2023 FSC-klagomål mail.docx", "A 33797-2023")</f>
        <v/>
      </c>
      <c r="X4224">
        <f>HYPERLINK("https://klasma.github.io/Logging_0360/tillsyn/A 33797-2023 tillsynsbegäran.docx", "A 33797-2023")</f>
        <v/>
      </c>
      <c r="Y4224">
        <f>HYPERLINK("https://klasma.github.io/Logging_0360/tillsynsmail/A 33797-2023 tillsynsbegäran mail.docx", "A 33797-2023")</f>
        <v/>
      </c>
    </row>
    <row r="4225" ht="15" customHeight="1">
      <c r="A4225" t="inlineStr">
        <is>
          <t>A 33860-2023</t>
        </is>
      </c>
      <c r="B4225" s="1" t="n">
        <v>45133</v>
      </c>
      <c r="C4225" s="1" t="n">
        <v>45846</v>
      </c>
      <c r="D4225" t="inlineStr">
        <is>
          <t>UPPSALA LÄN</t>
        </is>
      </c>
      <c r="E4225" t="inlineStr">
        <is>
          <t>HEBY</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33729-2023</t>
        </is>
      </c>
      <c r="B4226" s="1" t="n">
        <v>45133</v>
      </c>
      <c r="C4226" s="1" t="n">
        <v>45846</v>
      </c>
      <c r="D4226" t="inlineStr">
        <is>
          <t>UPPSALA LÄN</t>
        </is>
      </c>
      <c r="E4226" t="inlineStr">
        <is>
          <t>HEBY</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33807-2023</t>
        </is>
      </c>
      <c r="B4227" s="1" t="n">
        <v>45133</v>
      </c>
      <c r="C4227" s="1" t="n">
        <v>45846</v>
      </c>
      <c r="D4227" t="inlineStr">
        <is>
          <t>UPPSALA LÄN</t>
        </is>
      </c>
      <c r="E4227" t="inlineStr">
        <is>
          <t>HEBY</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33734-2023</t>
        </is>
      </c>
      <c r="B4228" s="1" t="n">
        <v>45133</v>
      </c>
      <c r="C4228" s="1" t="n">
        <v>45846</v>
      </c>
      <c r="D4228" t="inlineStr">
        <is>
          <t>UPPSALA LÄN</t>
        </is>
      </c>
      <c r="E4228" t="inlineStr">
        <is>
          <t>HEBY</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33776-2023</t>
        </is>
      </c>
      <c r="B4229" s="1" t="n">
        <v>45133</v>
      </c>
      <c r="C4229" s="1" t="n">
        <v>45846</v>
      </c>
      <c r="D4229" t="inlineStr">
        <is>
          <t>UPPSALA LÄN</t>
        </is>
      </c>
      <c r="E4229" t="inlineStr">
        <is>
          <t>KNIVSTA</t>
        </is>
      </c>
      <c r="F4229" t="inlineStr">
        <is>
          <t>Holmen skog AB</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33861-2023</t>
        </is>
      </c>
      <c r="B4230" s="1" t="n">
        <v>45133</v>
      </c>
      <c r="C4230" s="1" t="n">
        <v>45846</v>
      </c>
      <c r="D4230" t="inlineStr">
        <is>
          <t>UPPSALA LÄN</t>
        </is>
      </c>
      <c r="E4230" t="inlineStr">
        <is>
          <t>HEBY</t>
        </is>
      </c>
      <c r="G4230" t="n">
        <v>17.6</v>
      </c>
      <c r="H4230" t="n">
        <v>0</v>
      </c>
      <c r="I4230" t="n">
        <v>0</v>
      </c>
      <c r="J4230" t="n">
        <v>0</v>
      </c>
      <c r="K4230" t="n">
        <v>0</v>
      </c>
      <c r="L4230" t="n">
        <v>0</v>
      </c>
      <c r="M4230" t="n">
        <v>0</v>
      </c>
      <c r="N4230" t="n">
        <v>0</v>
      </c>
      <c r="O4230" t="n">
        <v>0</v>
      </c>
      <c r="P4230" t="n">
        <v>0</v>
      </c>
      <c r="Q4230" t="n">
        <v>0</v>
      </c>
      <c r="R4230" s="2" t="inlineStr"/>
    </row>
    <row r="4231" ht="15" customHeight="1">
      <c r="A4231" t="inlineStr">
        <is>
          <t>A 33859-2023</t>
        </is>
      </c>
      <c r="B4231" s="1" t="n">
        <v>45133</v>
      </c>
      <c r="C4231" s="1" t="n">
        <v>45846</v>
      </c>
      <c r="D4231" t="inlineStr">
        <is>
          <t>UPPSALA LÄN</t>
        </is>
      </c>
      <c r="E4231" t="inlineStr">
        <is>
          <t>HEBY</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33777-2023</t>
        </is>
      </c>
      <c r="B4232" s="1" t="n">
        <v>45133</v>
      </c>
      <c r="C4232" s="1" t="n">
        <v>45846</v>
      </c>
      <c r="D4232" t="inlineStr">
        <is>
          <t>UPPSALA LÄN</t>
        </is>
      </c>
      <c r="E4232" t="inlineStr">
        <is>
          <t>KNIVSTA</t>
        </is>
      </c>
      <c r="F4232" t="inlineStr">
        <is>
          <t>Holmen skog AB</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34509-2023</t>
        </is>
      </c>
      <c r="B4233" s="1" t="n">
        <v>45133</v>
      </c>
      <c r="C4233" s="1" t="n">
        <v>45846</v>
      </c>
      <c r="D4233" t="inlineStr">
        <is>
          <t>UPPSALA LÄN</t>
        </is>
      </c>
      <c r="E4233" t="inlineStr">
        <is>
          <t>UPPSALA</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33941-2023</t>
        </is>
      </c>
      <c r="B4234" s="1" t="n">
        <v>45134</v>
      </c>
      <c r="C4234" s="1" t="n">
        <v>45846</v>
      </c>
      <c r="D4234" t="inlineStr">
        <is>
          <t>UPPSALA LÄN</t>
        </is>
      </c>
      <c r="E4234" t="inlineStr">
        <is>
          <t>UPPSALA</t>
        </is>
      </c>
      <c r="F4234" t="inlineStr">
        <is>
          <t>Holmen skog AB</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33982-2023</t>
        </is>
      </c>
      <c r="B4235" s="1" t="n">
        <v>45134</v>
      </c>
      <c r="C4235" s="1" t="n">
        <v>45846</v>
      </c>
      <c r="D4235" t="inlineStr">
        <is>
          <t>UPPSALA LÄN</t>
        </is>
      </c>
      <c r="E4235" t="inlineStr">
        <is>
          <t>UPPSALA</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34082-2023</t>
        </is>
      </c>
      <c r="B4236" s="1" t="n">
        <v>45135</v>
      </c>
      <c r="C4236" s="1" t="n">
        <v>45846</v>
      </c>
      <c r="D4236" t="inlineStr">
        <is>
          <t>UPPSALA LÄN</t>
        </is>
      </c>
      <c r="E4236" t="inlineStr">
        <is>
          <t>TIERP</t>
        </is>
      </c>
      <c r="F4236" t="inlineStr">
        <is>
          <t>Bergvik skog öst AB</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34079-2023</t>
        </is>
      </c>
      <c r="B4237" s="1" t="n">
        <v>45135</v>
      </c>
      <c r="C4237" s="1" t="n">
        <v>45846</v>
      </c>
      <c r="D4237" t="inlineStr">
        <is>
          <t>UPPSALA LÄN</t>
        </is>
      </c>
      <c r="E4237" t="inlineStr">
        <is>
          <t>TIERP</t>
        </is>
      </c>
      <c r="F4237" t="inlineStr">
        <is>
          <t>Bergvik skog öst AB</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34140-2023</t>
        </is>
      </c>
      <c r="B4238" s="1" t="n">
        <v>45135</v>
      </c>
      <c r="C4238" s="1" t="n">
        <v>45846</v>
      </c>
      <c r="D4238" t="inlineStr">
        <is>
          <t>UPPSALA LÄN</t>
        </is>
      </c>
      <c r="E4238" t="inlineStr">
        <is>
          <t>HEBY</t>
        </is>
      </c>
      <c r="G4238" t="n">
        <v>5.4</v>
      </c>
      <c r="H4238" t="n">
        <v>0</v>
      </c>
      <c r="I4238" t="n">
        <v>0</v>
      </c>
      <c r="J4238" t="n">
        <v>0</v>
      </c>
      <c r="K4238" t="n">
        <v>0</v>
      </c>
      <c r="L4238" t="n">
        <v>0</v>
      </c>
      <c r="M4238" t="n">
        <v>0</v>
      </c>
      <c r="N4238" t="n">
        <v>0</v>
      </c>
      <c r="O4238" t="n">
        <v>0</v>
      </c>
      <c r="P4238" t="n">
        <v>0</v>
      </c>
      <c r="Q4238" t="n">
        <v>0</v>
      </c>
      <c r="R4238" s="2" t="inlineStr"/>
    </row>
    <row r="4239" ht="15" customHeight="1">
      <c r="A4239" t="inlineStr">
        <is>
          <t>A 34108-2023</t>
        </is>
      </c>
      <c r="B4239" s="1" t="n">
        <v>45135</v>
      </c>
      <c r="C4239" s="1" t="n">
        <v>45846</v>
      </c>
      <c r="D4239" t="inlineStr">
        <is>
          <t>UPPSALA LÄN</t>
        </is>
      </c>
      <c r="E4239" t="inlineStr">
        <is>
          <t>ÖSTHAMMAR</t>
        </is>
      </c>
      <c r="F4239" t="inlineStr">
        <is>
          <t>Bergvik skog öst AB</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34198-2023</t>
        </is>
      </c>
      <c r="B4240" s="1" t="n">
        <v>45138</v>
      </c>
      <c r="C4240" s="1" t="n">
        <v>45846</v>
      </c>
      <c r="D4240" t="inlineStr">
        <is>
          <t>UPPSALA LÄN</t>
        </is>
      </c>
      <c r="E4240" t="inlineStr">
        <is>
          <t>TIERP</t>
        </is>
      </c>
      <c r="F4240" t="inlineStr">
        <is>
          <t>Bergvik skog öst AB</t>
        </is>
      </c>
      <c r="G4240" t="n">
        <v>11.5</v>
      </c>
      <c r="H4240" t="n">
        <v>0</v>
      </c>
      <c r="I4240" t="n">
        <v>0</v>
      </c>
      <c r="J4240" t="n">
        <v>0</v>
      </c>
      <c r="K4240" t="n">
        <v>0</v>
      </c>
      <c r="L4240" t="n">
        <v>0</v>
      </c>
      <c r="M4240" t="n">
        <v>0</v>
      </c>
      <c r="N4240" t="n">
        <v>0</v>
      </c>
      <c r="O4240" t="n">
        <v>0</v>
      </c>
      <c r="P4240" t="n">
        <v>0</v>
      </c>
      <c r="Q4240" t="n">
        <v>0</v>
      </c>
      <c r="R4240" s="2" t="inlineStr"/>
    </row>
    <row r="4241" ht="15" customHeight="1">
      <c r="A4241" t="inlineStr">
        <is>
          <t>A 34607-2023</t>
        </is>
      </c>
      <c r="B4241" s="1" t="n">
        <v>45138</v>
      </c>
      <c r="C4241" s="1" t="n">
        <v>45846</v>
      </c>
      <c r="D4241" t="inlineStr">
        <is>
          <t>UPPSALA LÄN</t>
        </is>
      </c>
      <c r="E4241" t="inlineStr">
        <is>
          <t>ÖSTHAMMAR</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34593-2023</t>
        </is>
      </c>
      <c r="B4242" s="1" t="n">
        <v>45138</v>
      </c>
      <c r="C4242" s="1" t="n">
        <v>45846</v>
      </c>
      <c r="D4242" t="inlineStr">
        <is>
          <t>UPPSALA LÄN</t>
        </is>
      </c>
      <c r="E4242" t="inlineStr">
        <is>
          <t>HEBY</t>
        </is>
      </c>
      <c r="G4242" t="n">
        <v>0.2</v>
      </c>
      <c r="H4242" t="n">
        <v>0</v>
      </c>
      <c r="I4242" t="n">
        <v>0</v>
      </c>
      <c r="J4242" t="n">
        <v>0</v>
      </c>
      <c r="K4242" t="n">
        <v>0</v>
      </c>
      <c r="L4242" t="n">
        <v>0</v>
      </c>
      <c r="M4242" t="n">
        <v>0</v>
      </c>
      <c r="N4242" t="n">
        <v>0</v>
      </c>
      <c r="O4242" t="n">
        <v>0</v>
      </c>
      <c r="P4242" t="n">
        <v>0</v>
      </c>
      <c r="Q4242" t="n">
        <v>0</v>
      </c>
      <c r="R4242" s="2" t="inlineStr"/>
    </row>
    <row r="4243" ht="15" customHeight="1">
      <c r="A4243" t="inlineStr">
        <is>
          <t>A 34412-2023</t>
        </is>
      </c>
      <c r="B4243" s="1" t="n">
        <v>45139</v>
      </c>
      <c r="C4243" s="1" t="n">
        <v>45846</v>
      </c>
      <c r="D4243" t="inlineStr">
        <is>
          <t>UPPSALA LÄN</t>
        </is>
      </c>
      <c r="E4243" t="inlineStr">
        <is>
          <t>ÖSTHAMMAR</t>
        </is>
      </c>
      <c r="F4243" t="inlineStr">
        <is>
          <t>Bergvik skog öst AB</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34471-2023</t>
        </is>
      </c>
      <c r="B4244" s="1" t="n">
        <v>45139</v>
      </c>
      <c r="C4244" s="1" t="n">
        <v>45846</v>
      </c>
      <c r="D4244" t="inlineStr">
        <is>
          <t>UPPSALA LÄN</t>
        </is>
      </c>
      <c r="E4244" t="inlineStr">
        <is>
          <t>ÖSTHAMMAR</t>
        </is>
      </c>
      <c r="F4244" t="inlineStr">
        <is>
          <t>Bergvik skog öst AB</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34735-2023</t>
        </is>
      </c>
      <c r="B4245" s="1" t="n">
        <v>45139</v>
      </c>
      <c r="C4245" s="1" t="n">
        <v>45846</v>
      </c>
      <c r="D4245" t="inlineStr">
        <is>
          <t>UPPSALA LÄN</t>
        </is>
      </c>
      <c r="E4245" t="inlineStr">
        <is>
          <t>ENKÖPING</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34743-2023</t>
        </is>
      </c>
      <c r="B4246" s="1" t="n">
        <v>45141</v>
      </c>
      <c r="C4246" s="1" t="n">
        <v>45846</v>
      </c>
      <c r="D4246" t="inlineStr">
        <is>
          <t>UPPSALA LÄN</t>
        </is>
      </c>
      <c r="E4246" t="inlineStr">
        <is>
          <t>ENKÖPING</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34920-2023</t>
        </is>
      </c>
      <c r="B4247" s="1" t="n">
        <v>45142</v>
      </c>
      <c r="C4247" s="1" t="n">
        <v>45846</v>
      </c>
      <c r="D4247" t="inlineStr">
        <is>
          <t>UPPSALA LÄN</t>
        </is>
      </c>
      <c r="E4247" t="inlineStr">
        <is>
          <t>ÖSTHAMMAR</t>
        </is>
      </c>
      <c r="F4247" t="inlineStr">
        <is>
          <t>Bergvik skog öst AB</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34923-2023</t>
        </is>
      </c>
      <c r="B4248" s="1" t="n">
        <v>45142</v>
      </c>
      <c r="C4248" s="1" t="n">
        <v>45846</v>
      </c>
      <c r="D4248" t="inlineStr">
        <is>
          <t>UPPSALA LÄN</t>
        </is>
      </c>
      <c r="E4248" t="inlineStr">
        <is>
          <t>ÖSTHAMMAR</t>
        </is>
      </c>
      <c r="F4248" t="inlineStr">
        <is>
          <t>Bergvik skog öst AB</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34951-2023</t>
        </is>
      </c>
      <c r="B4249" s="1" t="n">
        <v>45142</v>
      </c>
      <c r="C4249" s="1" t="n">
        <v>45846</v>
      </c>
      <c r="D4249" t="inlineStr">
        <is>
          <t>UPPSALA LÄN</t>
        </is>
      </c>
      <c r="E4249" t="inlineStr">
        <is>
          <t>ÖSTHAMMAR</t>
        </is>
      </c>
      <c r="F4249" t="inlineStr">
        <is>
          <t>Naturvårdsverket</t>
        </is>
      </c>
      <c r="G4249" t="n">
        <v>4.8</v>
      </c>
      <c r="H4249" t="n">
        <v>0</v>
      </c>
      <c r="I4249" t="n">
        <v>0</v>
      </c>
      <c r="J4249" t="n">
        <v>0</v>
      </c>
      <c r="K4249" t="n">
        <v>0</v>
      </c>
      <c r="L4249" t="n">
        <v>0</v>
      </c>
      <c r="M4249" t="n">
        <v>0</v>
      </c>
      <c r="N4249" t="n">
        <v>0</v>
      </c>
      <c r="O4249" t="n">
        <v>0</v>
      </c>
      <c r="P4249" t="n">
        <v>0</v>
      </c>
      <c r="Q4249" t="n">
        <v>0</v>
      </c>
      <c r="R4249" s="2" t="inlineStr"/>
    </row>
    <row r="4250" ht="15" customHeight="1">
      <c r="A4250" t="inlineStr">
        <is>
          <t>A 34961-2023</t>
        </is>
      </c>
      <c r="B4250" s="1" t="n">
        <v>45142</v>
      </c>
      <c r="C4250" s="1" t="n">
        <v>45846</v>
      </c>
      <c r="D4250" t="inlineStr">
        <is>
          <t>UPPSALA LÄN</t>
        </is>
      </c>
      <c r="E4250" t="inlineStr">
        <is>
          <t>ENKÖPING</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34922-2023</t>
        </is>
      </c>
      <c r="B4251" s="1" t="n">
        <v>45142</v>
      </c>
      <c r="C4251" s="1" t="n">
        <v>45846</v>
      </c>
      <c r="D4251" t="inlineStr">
        <is>
          <t>UPPSALA LÄN</t>
        </is>
      </c>
      <c r="E4251" t="inlineStr">
        <is>
          <t>ÖSTHAMMAR</t>
        </is>
      </c>
      <c r="F4251" t="inlineStr">
        <is>
          <t>Bergvik skog öst AB</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34960-2023</t>
        </is>
      </c>
      <c r="B4252" s="1" t="n">
        <v>45142</v>
      </c>
      <c r="C4252" s="1" t="n">
        <v>45846</v>
      </c>
      <c r="D4252" t="inlineStr">
        <is>
          <t>UPPSALA LÄN</t>
        </is>
      </c>
      <c r="E4252" t="inlineStr">
        <is>
          <t>ENKÖPING</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35142-2023</t>
        </is>
      </c>
      <c r="B4253" s="1" t="n">
        <v>45145</v>
      </c>
      <c r="C4253" s="1" t="n">
        <v>45846</v>
      </c>
      <c r="D4253" t="inlineStr">
        <is>
          <t>UPPSALA LÄN</t>
        </is>
      </c>
      <c r="E4253" t="inlineStr">
        <is>
          <t>UPPSALA</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35246-2023</t>
        </is>
      </c>
      <c r="B4254" s="1" t="n">
        <v>45145</v>
      </c>
      <c r="C4254" s="1" t="n">
        <v>45846</v>
      </c>
      <c r="D4254" t="inlineStr">
        <is>
          <t>UPPSALA LÄN</t>
        </is>
      </c>
      <c r="E4254" t="inlineStr">
        <is>
          <t>HEBY</t>
        </is>
      </c>
      <c r="G4254" t="n">
        <v>7.2</v>
      </c>
      <c r="H4254" t="n">
        <v>0</v>
      </c>
      <c r="I4254" t="n">
        <v>0</v>
      </c>
      <c r="J4254" t="n">
        <v>0</v>
      </c>
      <c r="K4254" t="n">
        <v>0</v>
      </c>
      <c r="L4254" t="n">
        <v>0</v>
      </c>
      <c r="M4254" t="n">
        <v>0</v>
      </c>
      <c r="N4254" t="n">
        <v>0</v>
      </c>
      <c r="O4254" t="n">
        <v>0</v>
      </c>
      <c r="P4254" t="n">
        <v>0</v>
      </c>
      <c r="Q4254" t="n">
        <v>0</v>
      </c>
      <c r="R4254" s="2" t="inlineStr"/>
    </row>
    <row r="4255" ht="15" customHeight="1">
      <c r="A4255" t="inlineStr">
        <is>
          <t>A 35403-2023</t>
        </is>
      </c>
      <c r="B4255" s="1" t="n">
        <v>45146</v>
      </c>
      <c r="C4255" s="1" t="n">
        <v>45846</v>
      </c>
      <c r="D4255" t="inlineStr">
        <is>
          <t>UPPSALA LÄN</t>
        </is>
      </c>
      <c r="E4255" t="inlineStr">
        <is>
          <t>ÖSTHAMMAR</t>
        </is>
      </c>
      <c r="F4255" t="inlineStr">
        <is>
          <t>Bergvik skog öst AB</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35375-2023</t>
        </is>
      </c>
      <c r="B4256" s="1" t="n">
        <v>45146</v>
      </c>
      <c r="C4256" s="1" t="n">
        <v>45846</v>
      </c>
      <c r="D4256" t="inlineStr">
        <is>
          <t>UPPSALA LÄN</t>
        </is>
      </c>
      <c r="E4256" t="inlineStr">
        <is>
          <t>TIERP</t>
        </is>
      </c>
      <c r="F4256" t="inlineStr">
        <is>
          <t>Bergvik skog öst AB</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35309-2023</t>
        </is>
      </c>
      <c r="B4257" s="1" t="n">
        <v>45146</v>
      </c>
      <c r="C4257" s="1" t="n">
        <v>45846</v>
      </c>
      <c r="D4257" t="inlineStr">
        <is>
          <t>UPPSALA LÄN</t>
        </is>
      </c>
      <c r="E4257" t="inlineStr">
        <is>
          <t>ÖSTHAMMAR</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35413-2023</t>
        </is>
      </c>
      <c r="B4258" s="1" t="n">
        <v>45146</v>
      </c>
      <c r="C4258" s="1" t="n">
        <v>45846</v>
      </c>
      <c r="D4258" t="inlineStr">
        <is>
          <t>UPPSALA LÄN</t>
        </is>
      </c>
      <c r="E4258" t="inlineStr">
        <is>
          <t>ÖSTHAMMAR</t>
        </is>
      </c>
      <c r="F4258" t="inlineStr">
        <is>
          <t>Bergvik skog öst AB</t>
        </is>
      </c>
      <c r="G4258" t="n">
        <v>26.1</v>
      </c>
      <c r="H4258" t="n">
        <v>0</v>
      </c>
      <c r="I4258" t="n">
        <v>0</v>
      </c>
      <c r="J4258" t="n">
        <v>0</v>
      </c>
      <c r="K4258" t="n">
        <v>0</v>
      </c>
      <c r="L4258" t="n">
        <v>0</v>
      </c>
      <c r="M4258" t="n">
        <v>0</v>
      </c>
      <c r="N4258" t="n">
        <v>0</v>
      </c>
      <c r="O4258" t="n">
        <v>0</v>
      </c>
      <c r="P4258" t="n">
        <v>0</v>
      </c>
      <c r="Q4258" t="n">
        <v>0</v>
      </c>
      <c r="R4258" s="2" t="inlineStr"/>
    </row>
    <row r="4259" ht="15" customHeight="1">
      <c r="A4259" t="inlineStr">
        <is>
          <t>A 35367-2023</t>
        </is>
      </c>
      <c r="B4259" s="1" t="n">
        <v>45146</v>
      </c>
      <c r="C4259" s="1" t="n">
        <v>45846</v>
      </c>
      <c r="D4259" t="inlineStr">
        <is>
          <t>UPPSALA LÄN</t>
        </is>
      </c>
      <c r="E4259" t="inlineStr">
        <is>
          <t>ENKÖPING</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35406-2023</t>
        </is>
      </c>
      <c r="B4260" s="1" t="n">
        <v>45146</v>
      </c>
      <c r="C4260" s="1" t="n">
        <v>45846</v>
      </c>
      <c r="D4260" t="inlineStr">
        <is>
          <t>UPPSALA LÄN</t>
        </is>
      </c>
      <c r="E4260" t="inlineStr">
        <is>
          <t>ÖSTHAMMAR</t>
        </is>
      </c>
      <c r="F4260" t="inlineStr">
        <is>
          <t>Bergvik skog öst AB</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35410-2023</t>
        </is>
      </c>
      <c r="B4261" s="1" t="n">
        <v>45146</v>
      </c>
      <c r="C4261" s="1" t="n">
        <v>45846</v>
      </c>
      <c r="D4261" t="inlineStr">
        <is>
          <t>UPPSALA LÄN</t>
        </is>
      </c>
      <c r="E4261" t="inlineStr">
        <is>
          <t>ÖSTHAMMAR</t>
        </is>
      </c>
      <c r="F4261" t="inlineStr">
        <is>
          <t>Bergvik skog öst AB</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35471-2023</t>
        </is>
      </c>
      <c r="B4262" s="1" t="n">
        <v>45146</v>
      </c>
      <c r="C4262" s="1" t="n">
        <v>45846</v>
      </c>
      <c r="D4262" t="inlineStr">
        <is>
          <t>UPPSALA LÄN</t>
        </is>
      </c>
      <c r="E4262" t="inlineStr">
        <is>
          <t>UPPSALA</t>
        </is>
      </c>
      <c r="F4262" t="inlineStr">
        <is>
          <t>Sveaskog</t>
        </is>
      </c>
      <c r="G4262" t="n">
        <v>3.8</v>
      </c>
      <c r="H4262" t="n">
        <v>0</v>
      </c>
      <c r="I4262" t="n">
        <v>0</v>
      </c>
      <c r="J4262" t="n">
        <v>0</v>
      </c>
      <c r="K4262" t="n">
        <v>0</v>
      </c>
      <c r="L4262" t="n">
        <v>0</v>
      </c>
      <c r="M4262" t="n">
        <v>0</v>
      </c>
      <c r="N4262" t="n">
        <v>0</v>
      </c>
      <c r="O4262" t="n">
        <v>0</v>
      </c>
      <c r="P4262" t="n">
        <v>0</v>
      </c>
      <c r="Q4262" t="n">
        <v>0</v>
      </c>
      <c r="R4262" s="2" t="inlineStr"/>
    </row>
    <row r="4263" ht="15" customHeight="1">
      <c r="A4263" t="inlineStr">
        <is>
          <t>A 35474-2023</t>
        </is>
      </c>
      <c r="B4263" s="1" t="n">
        <v>45146</v>
      </c>
      <c r="C4263" s="1" t="n">
        <v>45846</v>
      </c>
      <c r="D4263" t="inlineStr">
        <is>
          <t>UPPSALA LÄN</t>
        </is>
      </c>
      <c r="E4263" t="inlineStr">
        <is>
          <t>ÖSTHAMMAR</t>
        </is>
      </c>
      <c r="F4263" t="inlineStr">
        <is>
          <t>Sveaskog</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35482-2023</t>
        </is>
      </c>
      <c r="B4264" s="1" t="n">
        <v>45146</v>
      </c>
      <c r="C4264" s="1" t="n">
        <v>45846</v>
      </c>
      <c r="D4264" t="inlineStr">
        <is>
          <t>UPPSALA LÄN</t>
        </is>
      </c>
      <c r="E4264" t="inlineStr">
        <is>
          <t>HEBY</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35472-2023</t>
        </is>
      </c>
      <c r="B4265" s="1" t="n">
        <v>45146</v>
      </c>
      <c r="C4265" s="1" t="n">
        <v>45846</v>
      </c>
      <c r="D4265" t="inlineStr">
        <is>
          <t>UPPSALA LÄN</t>
        </is>
      </c>
      <c r="E4265" t="inlineStr">
        <is>
          <t>UPPSALA</t>
        </is>
      </c>
      <c r="F4265" t="inlineStr">
        <is>
          <t>Sveaskog</t>
        </is>
      </c>
      <c r="G4265" t="n">
        <v>4.8</v>
      </c>
      <c r="H4265" t="n">
        <v>0</v>
      </c>
      <c r="I4265" t="n">
        <v>0</v>
      </c>
      <c r="J4265" t="n">
        <v>0</v>
      </c>
      <c r="K4265" t="n">
        <v>0</v>
      </c>
      <c r="L4265" t="n">
        <v>0</v>
      </c>
      <c r="M4265" t="n">
        <v>0</v>
      </c>
      <c r="N4265" t="n">
        <v>0</v>
      </c>
      <c r="O4265" t="n">
        <v>0</v>
      </c>
      <c r="P4265" t="n">
        <v>0</v>
      </c>
      <c r="Q4265" t="n">
        <v>0</v>
      </c>
      <c r="R4265" s="2" t="inlineStr"/>
    </row>
    <row r="4266" ht="15" customHeight="1">
      <c r="A4266" t="inlineStr">
        <is>
          <t>A 35476-2023</t>
        </is>
      </c>
      <c r="B4266" s="1" t="n">
        <v>45146</v>
      </c>
      <c r="C4266" s="1" t="n">
        <v>45846</v>
      </c>
      <c r="D4266" t="inlineStr">
        <is>
          <t>UPPSALA LÄN</t>
        </is>
      </c>
      <c r="E4266" t="inlineStr">
        <is>
          <t>ÖSTHAMMAR</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35473-2023</t>
        </is>
      </c>
      <c r="B4267" s="1" t="n">
        <v>45146</v>
      </c>
      <c r="C4267" s="1" t="n">
        <v>45846</v>
      </c>
      <c r="D4267" t="inlineStr">
        <is>
          <t>UPPSALA LÄN</t>
        </is>
      </c>
      <c r="E4267" t="inlineStr">
        <is>
          <t>UPPSALA</t>
        </is>
      </c>
      <c r="F4267" t="inlineStr">
        <is>
          <t>Sveaskog</t>
        </is>
      </c>
      <c r="G4267" t="n">
        <v>6</v>
      </c>
      <c r="H4267" t="n">
        <v>0</v>
      </c>
      <c r="I4267" t="n">
        <v>0</v>
      </c>
      <c r="J4267" t="n">
        <v>0</v>
      </c>
      <c r="K4267" t="n">
        <v>0</v>
      </c>
      <c r="L4267" t="n">
        <v>0</v>
      </c>
      <c r="M4267" t="n">
        <v>0</v>
      </c>
      <c r="N4267" t="n">
        <v>0</v>
      </c>
      <c r="O4267" t="n">
        <v>0</v>
      </c>
      <c r="P4267" t="n">
        <v>0</v>
      </c>
      <c r="Q4267" t="n">
        <v>0</v>
      </c>
      <c r="R4267" s="2" t="inlineStr"/>
    </row>
    <row r="4268" ht="15" customHeight="1">
      <c r="A4268" t="inlineStr">
        <is>
          <t>A 35539-2023</t>
        </is>
      </c>
      <c r="B4268" s="1" t="n">
        <v>45147</v>
      </c>
      <c r="C4268" s="1" t="n">
        <v>45846</v>
      </c>
      <c r="D4268" t="inlineStr">
        <is>
          <t>UPPSALA LÄN</t>
        </is>
      </c>
      <c r="E4268" t="inlineStr">
        <is>
          <t>ÖSTHAMMAR</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35549-2023</t>
        </is>
      </c>
      <c r="B4269" s="1" t="n">
        <v>45147</v>
      </c>
      <c r="C4269" s="1" t="n">
        <v>45846</v>
      </c>
      <c r="D4269" t="inlineStr">
        <is>
          <t>UPPSALA LÄN</t>
        </is>
      </c>
      <c r="E4269" t="inlineStr">
        <is>
          <t>UPPSALA</t>
        </is>
      </c>
      <c r="F4269" t="inlineStr">
        <is>
          <t>Allmännings- och besparingsskogar</t>
        </is>
      </c>
      <c r="G4269" t="n">
        <v>7.4</v>
      </c>
      <c r="H4269" t="n">
        <v>0</v>
      </c>
      <c r="I4269" t="n">
        <v>0</v>
      </c>
      <c r="J4269" t="n">
        <v>0</v>
      </c>
      <c r="K4269" t="n">
        <v>0</v>
      </c>
      <c r="L4269" t="n">
        <v>0</v>
      </c>
      <c r="M4269" t="n">
        <v>0</v>
      </c>
      <c r="N4269" t="n">
        <v>0</v>
      </c>
      <c r="O4269" t="n">
        <v>0</v>
      </c>
      <c r="P4269" t="n">
        <v>0</v>
      </c>
      <c r="Q4269" t="n">
        <v>0</v>
      </c>
      <c r="R4269" s="2" t="inlineStr"/>
    </row>
    <row r="4270" ht="15" customHeight="1">
      <c r="A4270" t="inlineStr">
        <is>
          <t>A 35684-2023</t>
        </is>
      </c>
      <c r="B4270" s="1" t="n">
        <v>45147</v>
      </c>
      <c r="C4270" s="1" t="n">
        <v>45846</v>
      </c>
      <c r="D4270" t="inlineStr">
        <is>
          <t>UPPSALA LÄN</t>
        </is>
      </c>
      <c r="E4270" t="inlineStr">
        <is>
          <t>ENKÖPING</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35902-2023</t>
        </is>
      </c>
      <c r="B4271" s="1" t="n">
        <v>45148</v>
      </c>
      <c r="C4271" s="1" t="n">
        <v>45846</v>
      </c>
      <c r="D4271" t="inlineStr">
        <is>
          <t>UPPSALA LÄN</t>
        </is>
      </c>
      <c r="E4271" t="inlineStr">
        <is>
          <t>UPPSALA</t>
        </is>
      </c>
      <c r="G4271" t="n">
        <v>4.9</v>
      </c>
      <c r="H4271" t="n">
        <v>0</v>
      </c>
      <c r="I4271" t="n">
        <v>0</v>
      </c>
      <c r="J4271" t="n">
        <v>0</v>
      </c>
      <c r="K4271" t="n">
        <v>0</v>
      </c>
      <c r="L4271" t="n">
        <v>0</v>
      </c>
      <c r="M4271" t="n">
        <v>0</v>
      </c>
      <c r="N4271" t="n">
        <v>0</v>
      </c>
      <c r="O4271" t="n">
        <v>0</v>
      </c>
      <c r="P4271" t="n">
        <v>0</v>
      </c>
      <c r="Q4271" t="n">
        <v>0</v>
      </c>
      <c r="R4271" s="2" t="inlineStr"/>
    </row>
    <row r="4272" ht="15" customHeight="1">
      <c r="A4272" t="inlineStr">
        <is>
          <t>A 35906-2023</t>
        </is>
      </c>
      <c r="B4272" s="1" t="n">
        <v>45148</v>
      </c>
      <c r="C4272" s="1" t="n">
        <v>45846</v>
      </c>
      <c r="D4272" t="inlineStr">
        <is>
          <t>UPPSALA LÄN</t>
        </is>
      </c>
      <c r="E4272" t="inlineStr">
        <is>
          <t>UPPSALA</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35914-2023</t>
        </is>
      </c>
      <c r="B4273" s="1" t="n">
        <v>45148</v>
      </c>
      <c r="C4273" s="1" t="n">
        <v>45846</v>
      </c>
      <c r="D4273" t="inlineStr">
        <is>
          <t>UPPSALA LÄN</t>
        </is>
      </c>
      <c r="E4273" t="inlineStr">
        <is>
          <t>UPPSALA</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35918-2023</t>
        </is>
      </c>
      <c r="B4274" s="1" t="n">
        <v>45148</v>
      </c>
      <c r="C4274" s="1" t="n">
        <v>45846</v>
      </c>
      <c r="D4274" t="inlineStr">
        <is>
          <t>UPPSALA LÄN</t>
        </is>
      </c>
      <c r="E4274" t="inlineStr">
        <is>
          <t>ÖSTHAMMAR</t>
        </is>
      </c>
      <c r="F4274" t="inlineStr">
        <is>
          <t>Bergvik skog öst AB</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35922-2023</t>
        </is>
      </c>
      <c r="B4275" s="1" t="n">
        <v>45148</v>
      </c>
      <c r="C4275" s="1" t="n">
        <v>45846</v>
      </c>
      <c r="D4275" t="inlineStr">
        <is>
          <t>UPPSALA LÄN</t>
        </is>
      </c>
      <c r="E4275" t="inlineStr">
        <is>
          <t>UPPSALA</t>
        </is>
      </c>
      <c r="G4275" t="n">
        <v>6.9</v>
      </c>
      <c r="H4275" t="n">
        <v>0</v>
      </c>
      <c r="I4275" t="n">
        <v>0</v>
      </c>
      <c r="J4275" t="n">
        <v>0</v>
      </c>
      <c r="K4275" t="n">
        <v>0</v>
      </c>
      <c r="L4275" t="n">
        <v>0</v>
      </c>
      <c r="M4275" t="n">
        <v>0</v>
      </c>
      <c r="N4275" t="n">
        <v>0</v>
      </c>
      <c r="O4275" t="n">
        <v>0</v>
      </c>
      <c r="P4275" t="n">
        <v>0</v>
      </c>
      <c r="Q4275" t="n">
        <v>0</v>
      </c>
      <c r="R4275" s="2" t="inlineStr"/>
    </row>
    <row r="4276" ht="15" customHeight="1">
      <c r="A4276" t="inlineStr">
        <is>
          <t>A 35916-2023</t>
        </is>
      </c>
      <c r="B4276" s="1" t="n">
        <v>45148</v>
      </c>
      <c r="C4276" s="1" t="n">
        <v>45846</v>
      </c>
      <c r="D4276" t="inlineStr">
        <is>
          <t>UPPSALA LÄN</t>
        </is>
      </c>
      <c r="E4276" t="inlineStr">
        <is>
          <t>UPPSALA</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35926-2023</t>
        </is>
      </c>
      <c r="B4277" s="1" t="n">
        <v>45148</v>
      </c>
      <c r="C4277" s="1" t="n">
        <v>45846</v>
      </c>
      <c r="D4277" t="inlineStr">
        <is>
          <t>UPPSALA LÄN</t>
        </is>
      </c>
      <c r="E4277" t="inlineStr">
        <is>
          <t>TIERP</t>
        </is>
      </c>
      <c r="F4277" t="inlineStr">
        <is>
          <t>Bergvik skog öst AB</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36020-2023</t>
        </is>
      </c>
      <c r="B4278" s="1" t="n">
        <v>45149</v>
      </c>
      <c r="C4278" s="1" t="n">
        <v>45846</v>
      </c>
      <c r="D4278" t="inlineStr">
        <is>
          <t>UPPSALA LÄN</t>
        </is>
      </c>
      <c r="E4278" t="inlineStr">
        <is>
          <t>ÖSTHAMMAR</t>
        </is>
      </c>
      <c r="F4278" t="inlineStr">
        <is>
          <t>Bergvik skog öst AB</t>
        </is>
      </c>
      <c r="G4278" t="n">
        <v>6.8</v>
      </c>
      <c r="H4278" t="n">
        <v>0</v>
      </c>
      <c r="I4278" t="n">
        <v>0</v>
      </c>
      <c r="J4278" t="n">
        <v>0</v>
      </c>
      <c r="K4278" t="n">
        <v>0</v>
      </c>
      <c r="L4278" t="n">
        <v>0</v>
      </c>
      <c r="M4278" t="n">
        <v>0</v>
      </c>
      <c r="N4278" t="n">
        <v>0</v>
      </c>
      <c r="O4278" t="n">
        <v>0</v>
      </c>
      <c r="P4278" t="n">
        <v>0</v>
      </c>
      <c r="Q4278" t="n">
        <v>0</v>
      </c>
      <c r="R4278" s="2" t="inlineStr"/>
    </row>
    <row r="4279" ht="15" customHeight="1">
      <c r="A4279" t="inlineStr">
        <is>
          <t>A 36028-2023</t>
        </is>
      </c>
      <c r="B4279" s="1" t="n">
        <v>45149</v>
      </c>
      <c r="C4279" s="1" t="n">
        <v>45846</v>
      </c>
      <c r="D4279" t="inlineStr">
        <is>
          <t>UPPSALA LÄN</t>
        </is>
      </c>
      <c r="E4279" t="inlineStr">
        <is>
          <t>UPPSALA</t>
        </is>
      </c>
      <c r="F4279" t="inlineStr">
        <is>
          <t>Allmännings- och besparingsskogar</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36123-2023</t>
        </is>
      </c>
      <c r="B4280" s="1" t="n">
        <v>45149</v>
      </c>
      <c r="C4280" s="1" t="n">
        <v>45846</v>
      </c>
      <c r="D4280" t="inlineStr">
        <is>
          <t>UPPSALA LÄN</t>
        </is>
      </c>
      <c r="E4280" t="inlineStr">
        <is>
          <t>UPPSALA</t>
        </is>
      </c>
      <c r="F4280" t="inlineStr">
        <is>
          <t>Allmännings- och besparingsskogar</t>
        </is>
      </c>
      <c r="G4280" t="n">
        <v>4.2</v>
      </c>
      <c r="H4280" t="n">
        <v>0</v>
      </c>
      <c r="I4280" t="n">
        <v>0</v>
      </c>
      <c r="J4280" t="n">
        <v>0</v>
      </c>
      <c r="K4280" t="n">
        <v>0</v>
      </c>
      <c r="L4280" t="n">
        <v>0</v>
      </c>
      <c r="M4280" t="n">
        <v>0</v>
      </c>
      <c r="N4280" t="n">
        <v>0</v>
      </c>
      <c r="O4280" t="n">
        <v>0</v>
      </c>
      <c r="P4280" t="n">
        <v>0</v>
      </c>
      <c r="Q4280" t="n">
        <v>0</v>
      </c>
      <c r="R4280" s="2" t="inlineStr"/>
    </row>
    <row r="4281" ht="15" customHeight="1">
      <c r="A4281" t="inlineStr">
        <is>
          <t>A 36159-2023</t>
        </is>
      </c>
      <c r="B4281" s="1" t="n">
        <v>45149</v>
      </c>
      <c r="C4281" s="1" t="n">
        <v>45846</v>
      </c>
      <c r="D4281" t="inlineStr">
        <is>
          <t>UPPSALA LÄN</t>
        </is>
      </c>
      <c r="E4281" t="inlineStr">
        <is>
          <t>UPPSALA</t>
        </is>
      </c>
      <c r="F4281" t="inlineStr">
        <is>
          <t>Övriga statliga verk och myndigheter</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36388-2023</t>
        </is>
      </c>
      <c r="B4282" s="1" t="n">
        <v>45152</v>
      </c>
      <c r="C4282" s="1" t="n">
        <v>45846</v>
      </c>
      <c r="D4282" t="inlineStr">
        <is>
          <t>UPPSALA LÄN</t>
        </is>
      </c>
      <c r="E4282" t="inlineStr">
        <is>
          <t>UPPSALA</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36392-2023</t>
        </is>
      </c>
      <c r="B4283" s="1" t="n">
        <v>45152</v>
      </c>
      <c r="C4283" s="1" t="n">
        <v>45846</v>
      </c>
      <c r="D4283" t="inlineStr">
        <is>
          <t>UPPSALA LÄN</t>
        </is>
      </c>
      <c r="E4283" t="inlineStr">
        <is>
          <t>UPPSALA</t>
        </is>
      </c>
      <c r="G4283" t="n">
        <v>9.800000000000001</v>
      </c>
      <c r="H4283" t="n">
        <v>0</v>
      </c>
      <c r="I4283" t="n">
        <v>0</v>
      </c>
      <c r="J4283" t="n">
        <v>0</v>
      </c>
      <c r="K4283" t="n">
        <v>0</v>
      </c>
      <c r="L4283" t="n">
        <v>0</v>
      </c>
      <c r="M4283" t="n">
        <v>0</v>
      </c>
      <c r="N4283" t="n">
        <v>0</v>
      </c>
      <c r="O4283" t="n">
        <v>0</v>
      </c>
      <c r="P4283" t="n">
        <v>0</v>
      </c>
      <c r="Q4283" t="n">
        <v>0</v>
      </c>
      <c r="R4283" s="2" t="inlineStr"/>
    </row>
    <row r="4284" ht="15" customHeight="1">
      <c r="A4284" t="inlineStr">
        <is>
          <t>A 36301-2023</t>
        </is>
      </c>
      <c r="B4284" s="1" t="n">
        <v>45152</v>
      </c>
      <c r="C4284" s="1" t="n">
        <v>45846</v>
      </c>
      <c r="D4284" t="inlineStr">
        <is>
          <t>UPPSALA LÄN</t>
        </is>
      </c>
      <c r="E4284" t="inlineStr">
        <is>
          <t>ÖSTHAMMAR</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36479-2023</t>
        </is>
      </c>
      <c r="B4285" s="1" t="n">
        <v>45152</v>
      </c>
      <c r="C4285" s="1" t="n">
        <v>45846</v>
      </c>
      <c r="D4285" t="inlineStr">
        <is>
          <t>UPPSALA LÄN</t>
        </is>
      </c>
      <c r="E4285" t="inlineStr">
        <is>
          <t>UPPSALA</t>
        </is>
      </c>
      <c r="F4285" t="inlineStr">
        <is>
          <t>Allmännings- och besparingsskogar</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36478-2023</t>
        </is>
      </c>
      <c r="B4286" s="1" t="n">
        <v>45152</v>
      </c>
      <c r="C4286" s="1" t="n">
        <v>45846</v>
      </c>
      <c r="D4286" t="inlineStr">
        <is>
          <t>UPPSALA LÄN</t>
        </is>
      </c>
      <c r="E4286" t="inlineStr">
        <is>
          <t>UPPSALA</t>
        </is>
      </c>
      <c r="F4286" t="inlineStr">
        <is>
          <t>Allmännings- och besparingsskogar</t>
        </is>
      </c>
      <c r="G4286" t="n">
        <v>8.300000000000001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36438-2023</t>
        </is>
      </c>
      <c r="B4287" s="1" t="n">
        <v>45152</v>
      </c>
      <c r="C4287" s="1" t="n">
        <v>45846</v>
      </c>
      <c r="D4287" t="inlineStr">
        <is>
          <t>UPPSALA LÄN</t>
        </is>
      </c>
      <c r="E4287" t="inlineStr">
        <is>
          <t>UPPSALA</t>
        </is>
      </c>
      <c r="G4287" t="n">
        <v>5.6</v>
      </c>
      <c r="H4287" t="n">
        <v>0</v>
      </c>
      <c r="I4287" t="n">
        <v>0</v>
      </c>
      <c r="J4287" t="n">
        <v>0</v>
      </c>
      <c r="K4287" t="n">
        <v>0</v>
      </c>
      <c r="L4287" t="n">
        <v>0</v>
      </c>
      <c r="M4287" t="n">
        <v>0</v>
      </c>
      <c r="N4287" t="n">
        <v>0</v>
      </c>
      <c r="O4287" t="n">
        <v>0</v>
      </c>
      <c r="P4287" t="n">
        <v>0</v>
      </c>
      <c r="Q4287" t="n">
        <v>0</v>
      </c>
      <c r="R4287" s="2" t="inlineStr"/>
    </row>
    <row r="4288" ht="15" customHeight="1">
      <c r="A4288" t="inlineStr">
        <is>
          <t>A 36447-2023</t>
        </is>
      </c>
      <c r="B4288" s="1" t="n">
        <v>45152</v>
      </c>
      <c r="C4288" s="1" t="n">
        <v>45846</v>
      </c>
      <c r="D4288" t="inlineStr">
        <is>
          <t>UPPSALA LÄN</t>
        </is>
      </c>
      <c r="E4288" t="inlineStr">
        <is>
          <t>ÖSTHAMMAR</t>
        </is>
      </c>
      <c r="F4288" t="inlineStr">
        <is>
          <t>Bergvik skog öst AB</t>
        </is>
      </c>
      <c r="G4288" t="n">
        <v>6.5</v>
      </c>
      <c r="H4288" t="n">
        <v>0</v>
      </c>
      <c r="I4288" t="n">
        <v>0</v>
      </c>
      <c r="J4288" t="n">
        <v>0</v>
      </c>
      <c r="K4288" t="n">
        <v>0</v>
      </c>
      <c r="L4288" t="n">
        <v>0</v>
      </c>
      <c r="M4288" t="n">
        <v>0</v>
      </c>
      <c r="N4288" t="n">
        <v>0</v>
      </c>
      <c r="O4288" t="n">
        <v>0</v>
      </c>
      <c r="P4288" t="n">
        <v>0</v>
      </c>
      <c r="Q4288" t="n">
        <v>0</v>
      </c>
      <c r="R4288" s="2" t="inlineStr"/>
    </row>
    <row r="4289" ht="15" customHeight="1">
      <c r="A4289" t="inlineStr">
        <is>
          <t>A 36544-2023</t>
        </is>
      </c>
      <c r="B4289" s="1" t="n">
        <v>45153</v>
      </c>
      <c r="C4289" s="1" t="n">
        <v>45846</v>
      </c>
      <c r="D4289" t="inlineStr">
        <is>
          <t>UPPSALA LÄN</t>
        </is>
      </c>
      <c r="E4289" t="inlineStr">
        <is>
          <t>TIERP</t>
        </is>
      </c>
      <c r="F4289" t="inlineStr">
        <is>
          <t>Bergvik skog öst AB</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36738-2023</t>
        </is>
      </c>
      <c r="B4290" s="1" t="n">
        <v>45153</v>
      </c>
      <c r="C4290" s="1" t="n">
        <v>45846</v>
      </c>
      <c r="D4290" t="inlineStr">
        <is>
          <t>UPPSALA LÄN</t>
        </is>
      </c>
      <c r="E4290" t="inlineStr">
        <is>
          <t>UPPSALA</t>
        </is>
      </c>
      <c r="F4290" t="inlineStr">
        <is>
          <t>Allmännings- och besparingsskogar</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36739-2023</t>
        </is>
      </c>
      <c r="B4291" s="1" t="n">
        <v>45153</v>
      </c>
      <c r="C4291" s="1" t="n">
        <v>45846</v>
      </c>
      <c r="D4291" t="inlineStr">
        <is>
          <t>UPPSALA LÄN</t>
        </is>
      </c>
      <c r="E4291" t="inlineStr">
        <is>
          <t>UPPSALA</t>
        </is>
      </c>
      <c r="F4291" t="inlineStr">
        <is>
          <t>Allmännings- och besparingsskogar</t>
        </is>
      </c>
      <c r="G4291" t="n">
        <v>6.4</v>
      </c>
      <c r="H4291" t="n">
        <v>0</v>
      </c>
      <c r="I4291" t="n">
        <v>0</v>
      </c>
      <c r="J4291" t="n">
        <v>0</v>
      </c>
      <c r="K4291" t="n">
        <v>0</v>
      </c>
      <c r="L4291" t="n">
        <v>0</v>
      </c>
      <c r="M4291" t="n">
        <v>0</v>
      </c>
      <c r="N4291" t="n">
        <v>0</v>
      </c>
      <c r="O4291" t="n">
        <v>0</v>
      </c>
      <c r="P4291" t="n">
        <v>0</v>
      </c>
      <c r="Q4291" t="n">
        <v>0</v>
      </c>
      <c r="R4291" s="2" t="inlineStr"/>
    </row>
    <row r="4292" ht="15" customHeight="1">
      <c r="A4292" t="inlineStr">
        <is>
          <t>A 36781-2023</t>
        </is>
      </c>
      <c r="B4292" s="1" t="n">
        <v>45154</v>
      </c>
      <c r="C4292" s="1" t="n">
        <v>45846</v>
      </c>
      <c r="D4292" t="inlineStr">
        <is>
          <t>UPPSALA LÄN</t>
        </is>
      </c>
      <c r="E4292" t="inlineStr">
        <is>
          <t>UPPSALA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36782-2023</t>
        </is>
      </c>
      <c r="B4293" s="1" t="n">
        <v>45154</v>
      </c>
      <c r="C4293" s="1" t="n">
        <v>45846</v>
      </c>
      <c r="D4293" t="inlineStr">
        <is>
          <t>UPPSALA LÄN</t>
        </is>
      </c>
      <c r="E4293" t="inlineStr">
        <is>
          <t>UPPSALA</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36860-2023</t>
        </is>
      </c>
      <c r="B4294" s="1" t="n">
        <v>45154</v>
      </c>
      <c r="C4294" s="1" t="n">
        <v>45846</v>
      </c>
      <c r="D4294" t="inlineStr">
        <is>
          <t>UPPSALA LÄN</t>
        </is>
      </c>
      <c r="E4294" t="inlineStr">
        <is>
          <t>UPPSALA</t>
        </is>
      </c>
      <c r="F4294" t="inlineStr">
        <is>
          <t>Allmännings- och besparingsskogar</t>
        </is>
      </c>
      <c r="G4294" t="n">
        <v>8.699999999999999</v>
      </c>
      <c r="H4294" t="n">
        <v>0</v>
      </c>
      <c r="I4294" t="n">
        <v>0</v>
      </c>
      <c r="J4294" t="n">
        <v>0</v>
      </c>
      <c r="K4294" t="n">
        <v>0</v>
      </c>
      <c r="L4294" t="n">
        <v>0</v>
      </c>
      <c r="M4294" t="n">
        <v>0</v>
      </c>
      <c r="N4294" t="n">
        <v>0</v>
      </c>
      <c r="O4294" t="n">
        <v>0</v>
      </c>
      <c r="P4294" t="n">
        <v>0</v>
      </c>
      <c r="Q4294" t="n">
        <v>0</v>
      </c>
      <c r="R4294" s="2" t="inlineStr"/>
    </row>
    <row r="4295" ht="15" customHeight="1">
      <c r="A4295" t="inlineStr">
        <is>
          <t>A 36861-2023</t>
        </is>
      </c>
      <c r="B4295" s="1" t="n">
        <v>45154</v>
      </c>
      <c r="C4295" s="1" t="n">
        <v>45846</v>
      </c>
      <c r="D4295" t="inlineStr">
        <is>
          <t>UPPSALA LÄN</t>
        </is>
      </c>
      <c r="E4295" t="inlineStr">
        <is>
          <t>ÖSTHAMMAR</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36857-2023</t>
        </is>
      </c>
      <c r="B4296" s="1" t="n">
        <v>45154</v>
      </c>
      <c r="C4296" s="1" t="n">
        <v>45846</v>
      </c>
      <c r="D4296" t="inlineStr">
        <is>
          <t>UPPSALA LÄN</t>
        </is>
      </c>
      <c r="E4296" t="inlineStr">
        <is>
          <t>ÖSTHAMMAR</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36904-2023</t>
        </is>
      </c>
      <c r="B4297" s="1" t="n">
        <v>45154</v>
      </c>
      <c r="C4297" s="1" t="n">
        <v>45846</v>
      </c>
      <c r="D4297" t="inlineStr">
        <is>
          <t>UPPSALA LÄN</t>
        </is>
      </c>
      <c r="E4297" t="inlineStr">
        <is>
          <t>ÖSTHAMMAR</t>
        </is>
      </c>
      <c r="F4297" t="inlineStr">
        <is>
          <t>Övriga Aktiebolag</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37021-2023</t>
        </is>
      </c>
      <c r="B4298" s="1" t="n">
        <v>45155</v>
      </c>
      <c r="C4298" s="1" t="n">
        <v>45846</v>
      </c>
      <c r="D4298" t="inlineStr">
        <is>
          <t>UPPSALA LÄN</t>
        </is>
      </c>
      <c r="E4298" t="inlineStr">
        <is>
          <t>ÖSTHAMMAR</t>
        </is>
      </c>
      <c r="F4298" t="inlineStr">
        <is>
          <t>Övriga Aktiebolag</t>
        </is>
      </c>
      <c r="G4298" t="n">
        <v>3.8</v>
      </c>
      <c r="H4298" t="n">
        <v>0</v>
      </c>
      <c r="I4298" t="n">
        <v>0</v>
      </c>
      <c r="J4298" t="n">
        <v>0</v>
      </c>
      <c r="K4298" t="n">
        <v>0</v>
      </c>
      <c r="L4298" t="n">
        <v>0</v>
      </c>
      <c r="M4298" t="n">
        <v>0</v>
      </c>
      <c r="N4298" t="n">
        <v>0</v>
      </c>
      <c r="O4298" t="n">
        <v>0</v>
      </c>
      <c r="P4298" t="n">
        <v>0</v>
      </c>
      <c r="Q4298" t="n">
        <v>0</v>
      </c>
      <c r="R4298" s="2" t="inlineStr"/>
    </row>
    <row r="4299" ht="15" customHeight="1">
      <c r="A4299" t="inlineStr">
        <is>
          <t>A 37032-2023</t>
        </is>
      </c>
      <c r="B4299" s="1" t="n">
        <v>45155</v>
      </c>
      <c r="C4299" s="1" t="n">
        <v>45846</v>
      </c>
      <c r="D4299" t="inlineStr">
        <is>
          <t>UPPSALA LÄN</t>
        </is>
      </c>
      <c r="E4299" t="inlineStr">
        <is>
          <t>ENKÖPING</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37035-2023</t>
        </is>
      </c>
      <c r="B4300" s="1" t="n">
        <v>45155</v>
      </c>
      <c r="C4300" s="1" t="n">
        <v>45846</v>
      </c>
      <c r="D4300" t="inlineStr">
        <is>
          <t>UPPSALA LÄN</t>
        </is>
      </c>
      <c r="E4300" t="inlineStr">
        <is>
          <t>ENKÖPING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37410-2023</t>
        </is>
      </c>
      <c r="B4301" s="1" t="n">
        <v>45155</v>
      </c>
      <c r="C4301" s="1" t="n">
        <v>45846</v>
      </c>
      <c r="D4301" t="inlineStr">
        <is>
          <t>UPPSALA LÄN</t>
        </is>
      </c>
      <c r="E4301" t="inlineStr">
        <is>
          <t>HÅBO</t>
        </is>
      </c>
      <c r="G4301" t="n">
        <v>20.9</v>
      </c>
      <c r="H4301" t="n">
        <v>0</v>
      </c>
      <c r="I4301" t="n">
        <v>0</v>
      </c>
      <c r="J4301" t="n">
        <v>0</v>
      </c>
      <c r="K4301" t="n">
        <v>0</v>
      </c>
      <c r="L4301" t="n">
        <v>0</v>
      </c>
      <c r="M4301" t="n">
        <v>0</v>
      </c>
      <c r="N4301" t="n">
        <v>0</v>
      </c>
      <c r="O4301" t="n">
        <v>0</v>
      </c>
      <c r="P4301" t="n">
        <v>0</v>
      </c>
      <c r="Q4301" t="n">
        <v>0</v>
      </c>
      <c r="R4301" s="2" t="inlineStr"/>
    </row>
    <row r="4302" ht="15" customHeight="1">
      <c r="A4302" t="inlineStr">
        <is>
          <t>A 37415-2023</t>
        </is>
      </c>
      <c r="B4302" s="1" t="n">
        <v>45155</v>
      </c>
      <c r="C4302" s="1" t="n">
        <v>45846</v>
      </c>
      <c r="D4302" t="inlineStr">
        <is>
          <t>UPPSALA LÄN</t>
        </is>
      </c>
      <c r="E4302" t="inlineStr">
        <is>
          <t>HÅBO</t>
        </is>
      </c>
      <c r="G4302" t="n">
        <v>6.6</v>
      </c>
      <c r="H4302" t="n">
        <v>0</v>
      </c>
      <c r="I4302" t="n">
        <v>0</v>
      </c>
      <c r="J4302" t="n">
        <v>0</v>
      </c>
      <c r="K4302" t="n">
        <v>0</v>
      </c>
      <c r="L4302" t="n">
        <v>0</v>
      </c>
      <c r="M4302" t="n">
        <v>0</v>
      </c>
      <c r="N4302" t="n">
        <v>0</v>
      </c>
      <c r="O4302" t="n">
        <v>0</v>
      </c>
      <c r="P4302" t="n">
        <v>0</v>
      </c>
      <c r="Q4302" t="n">
        <v>0</v>
      </c>
      <c r="R4302" s="2" t="inlineStr"/>
    </row>
    <row r="4303" ht="15" customHeight="1">
      <c r="A4303" t="inlineStr">
        <is>
          <t>A 37350-2023</t>
        </is>
      </c>
      <c r="B4303" s="1" t="n">
        <v>45156</v>
      </c>
      <c r="C4303" s="1" t="n">
        <v>45846</v>
      </c>
      <c r="D4303" t="inlineStr">
        <is>
          <t>UPPSALA LÄN</t>
        </is>
      </c>
      <c r="E4303" t="inlineStr">
        <is>
          <t>ENKÖPING</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37353-2023</t>
        </is>
      </c>
      <c r="B4304" s="1" t="n">
        <v>45156</v>
      </c>
      <c r="C4304" s="1" t="n">
        <v>45846</v>
      </c>
      <c r="D4304" t="inlineStr">
        <is>
          <t>UPPSALA LÄN</t>
        </is>
      </c>
      <c r="E4304" t="inlineStr">
        <is>
          <t>ENKÖPING</t>
        </is>
      </c>
      <c r="G4304" t="n">
        <v>5.8</v>
      </c>
      <c r="H4304" t="n">
        <v>0</v>
      </c>
      <c r="I4304" t="n">
        <v>0</v>
      </c>
      <c r="J4304" t="n">
        <v>0</v>
      </c>
      <c r="K4304" t="n">
        <v>0</v>
      </c>
      <c r="L4304" t="n">
        <v>0</v>
      </c>
      <c r="M4304" t="n">
        <v>0</v>
      </c>
      <c r="N4304" t="n">
        <v>0</v>
      </c>
      <c r="O4304" t="n">
        <v>0</v>
      </c>
      <c r="P4304" t="n">
        <v>0</v>
      </c>
      <c r="Q4304" t="n">
        <v>0</v>
      </c>
      <c r="R4304" s="2" t="inlineStr"/>
    </row>
    <row r="4305" ht="15" customHeight="1">
      <c r="A4305" t="inlineStr">
        <is>
          <t>A 37478-2023</t>
        </is>
      </c>
      <c r="B4305" s="1" t="n">
        <v>45157</v>
      </c>
      <c r="C4305" s="1" t="n">
        <v>45846</v>
      </c>
      <c r="D4305" t="inlineStr">
        <is>
          <t>UPPSALA LÄN</t>
        </is>
      </c>
      <c r="E4305" t="inlineStr">
        <is>
          <t>ÖSTHAMMAR</t>
        </is>
      </c>
      <c r="F4305" t="inlineStr">
        <is>
          <t>Bergvik skog öst AB</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37493-2023</t>
        </is>
      </c>
      <c r="B4306" s="1" t="n">
        <v>45157</v>
      </c>
      <c r="C4306" s="1" t="n">
        <v>45846</v>
      </c>
      <c r="D4306" t="inlineStr">
        <is>
          <t>UPPSALA LÄN</t>
        </is>
      </c>
      <c r="E4306" t="inlineStr">
        <is>
          <t>ÖSTHAMMAR</t>
        </is>
      </c>
      <c r="F4306" t="inlineStr">
        <is>
          <t>Bergvik skog öst AB</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37494-2023</t>
        </is>
      </c>
      <c r="B4307" s="1" t="n">
        <v>45157</v>
      </c>
      <c r="C4307" s="1" t="n">
        <v>45846</v>
      </c>
      <c r="D4307" t="inlineStr">
        <is>
          <t>UPPSALA LÄN</t>
        </is>
      </c>
      <c r="E4307" t="inlineStr">
        <is>
          <t>ÖSTHAMMAR</t>
        </is>
      </c>
      <c r="F4307" t="inlineStr">
        <is>
          <t>Bergvik skog öst AB</t>
        </is>
      </c>
      <c r="G4307" t="n">
        <v>9.800000000000001</v>
      </c>
      <c r="H4307" t="n">
        <v>0</v>
      </c>
      <c r="I4307" t="n">
        <v>0</v>
      </c>
      <c r="J4307" t="n">
        <v>0</v>
      </c>
      <c r="K4307" t="n">
        <v>0</v>
      </c>
      <c r="L4307" t="n">
        <v>0</v>
      </c>
      <c r="M4307" t="n">
        <v>0</v>
      </c>
      <c r="N4307" t="n">
        <v>0</v>
      </c>
      <c r="O4307" t="n">
        <v>0</v>
      </c>
      <c r="P4307" t="n">
        <v>0</v>
      </c>
      <c r="Q4307" t="n">
        <v>0</v>
      </c>
      <c r="R4307" s="2" t="inlineStr"/>
    </row>
    <row r="4308" ht="15" customHeight="1">
      <c r="A4308" t="inlineStr">
        <is>
          <t>A 37347-2023</t>
        </is>
      </c>
      <c r="B4308" s="1" t="n">
        <v>45156</v>
      </c>
      <c r="C4308" s="1" t="n">
        <v>45846</v>
      </c>
      <c r="D4308" t="inlineStr">
        <is>
          <t>UPPSALA LÄN</t>
        </is>
      </c>
      <c r="E4308" t="inlineStr">
        <is>
          <t>ENKÖPING</t>
        </is>
      </c>
      <c r="G4308" t="n">
        <v>3.7</v>
      </c>
      <c r="H4308" t="n">
        <v>0</v>
      </c>
      <c r="I4308" t="n">
        <v>0</v>
      </c>
      <c r="J4308" t="n">
        <v>0</v>
      </c>
      <c r="K4308" t="n">
        <v>0</v>
      </c>
      <c r="L4308" t="n">
        <v>0</v>
      </c>
      <c r="M4308" t="n">
        <v>0</v>
      </c>
      <c r="N4308" t="n">
        <v>0</v>
      </c>
      <c r="O4308" t="n">
        <v>0</v>
      </c>
      <c r="P4308" t="n">
        <v>0</v>
      </c>
      <c r="Q4308" t="n">
        <v>0</v>
      </c>
      <c r="R4308" s="2" t="inlineStr"/>
    </row>
    <row r="4309" ht="15" customHeight="1">
      <c r="A4309" t="inlineStr">
        <is>
          <t>A 37850-2023</t>
        </is>
      </c>
      <c r="B4309" s="1" t="n">
        <v>45156</v>
      </c>
      <c r="C4309" s="1" t="n">
        <v>45846</v>
      </c>
      <c r="D4309" t="inlineStr">
        <is>
          <t>UPPSALA LÄN</t>
        </is>
      </c>
      <c r="E4309" t="inlineStr">
        <is>
          <t>HEBY</t>
        </is>
      </c>
      <c r="F4309" t="inlineStr">
        <is>
          <t>Bergvik skog väst AB</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37626-2023</t>
        </is>
      </c>
      <c r="B4310" s="1" t="n">
        <v>45159</v>
      </c>
      <c r="C4310" s="1" t="n">
        <v>45846</v>
      </c>
      <c r="D4310" t="inlineStr">
        <is>
          <t>UPPSALA LÄN</t>
        </is>
      </c>
      <c r="E4310" t="inlineStr">
        <is>
          <t>UPPSALA</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37618-2023</t>
        </is>
      </c>
      <c r="B4311" s="1" t="n">
        <v>45159</v>
      </c>
      <c r="C4311" s="1" t="n">
        <v>45846</v>
      </c>
      <c r="D4311" t="inlineStr">
        <is>
          <t>UPPSALA LÄN</t>
        </is>
      </c>
      <c r="E4311" t="inlineStr">
        <is>
          <t>UPPSALA</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37866-2023</t>
        </is>
      </c>
      <c r="B4312" s="1" t="n">
        <v>45160</v>
      </c>
      <c r="C4312" s="1" t="n">
        <v>45846</v>
      </c>
      <c r="D4312" t="inlineStr">
        <is>
          <t>UPPSALA LÄN</t>
        </is>
      </c>
      <c r="E4312" t="inlineStr">
        <is>
          <t>ENKÖPING</t>
        </is>
      </c>
      <c r="G4312" t="n">
        <v>7.2</v>
      </c>
      <c r="H4312" t="n">
        <v>0</v>
      </c>
      <c r="I4312" t="n">
        <v>0</v>
      </c>
      <c r="J4312" t="n">
        <v>0</v>
      </c>
      <c r="K4312" t="n">
        <v>0</v>
      </c>
      <c r="L4312" t="n">
        <v>0</v>
      </c>
      <c r="M4312" t="n">
        <v>0</v>
      </c>
      <c r="N4312" t="n">
        <v>0</v>
      </c>
      <c r="O4312" t="n">
        <v>0</v>
      </c>
      <c r="P4312" t="n">
        <v>0</v>
      </c>
      <c r="Q4312" t="n">
        <v>0</v>
      </c>
      <c r="R4312" s="2" t="inlineStr"/>
    </row>
    <row r="4313" ht="15" customHeight="1">
      <c r="A4313" t="inlineStr">
        <is>
          <t>A 37870-2023</t>
        </is>
      </c>
      <c r="B4313" s="1" t="n">
        <v>45160</v>
      </c>
      <c r="C4313" s="1" t="n">
        <v>45846</v>
      </c>
      <c r="D4313" t="inlineStr">
        <is>
          <t>UPPSALA LÄN</t>
        </is>
      </c>
      <c r="E4313" t="inlineStr">
        <is>
          <t>ENKÖPING</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37863-2023</t>
        </is>
      </c>
      <c r="B4314" s="1" t="n">
        <v>45160</v>
      </c>
      <c r="C4314" s="1" t="n">
        <v>45846</v>
      </c>
      <c r="D4314" t="inlineStr">
        <is>
          <t>UPPSALA LÄN</t>
        </is>
      </c>
      <c r="E4314" t="inlineStr">
        <is>
          <t>ÖSTHAMMAR</t>
        </is>
      </c>
      <c r="G4314" t="n">
        <v>9.699999999999999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37865-2023</t>
        </is>
      </c>
      <c r="B4315" s="1" t="n">
        <v>45160</v>
      </c>
      <c r="C4315" s="1" t="n">
        <v>45846</v>
      </c>
      <c r="D4315" t="inlineStr">
        <is>
          <t>UPPSALA LÄN</t>
        </is>
      </c>
      <c r="E4315" t="inlineStr">
        <is>
          <t>ÖSTHAMMAR</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38039-2023</t>
        </is>
      </c>
      <c r="B4316" s="1" t="n">
        <v>45160</v>
      </c>
      <c r="C4316" s="1" t="n">
        <v>45846</v>
      </c>
      <c r="D4316" t="inlineStr">
        <is>
          <t>UPPSALA LÄN</t>
        </is>
      </c>
      <c r="E4316" t="inlineStr">
        <is>
          <t>ÖSTHAMMAR</t>
        </is>
      </c>
      <c r="F4316" t="inlineStr">
        <is>
          <t>Bergvik skog öst AB</t>
        </is>
      </c>
      <c r="G4316" t="n">
        <v>6.2</v>
      </c>
      <c r="H4316" t="n">
        <v>0</v>
      </c>
      <c r="I4316" t="n">
        <v>0</v>
      </c>
      <c r="J4316" t="n">
        <v>0</v>
      </c>
      <c r="K4316" t="n">
        <v>0</v>
      </c>
      <c r="L4316" t="n">
        <v>0</v>
      </c>
      <c r="M4316" t="n">
        <v>0</v>
      </c>
      <c r="N4316" t="n">
        <v>0</v>
      </c>
      <c r="O4316" t="n">
        <v>0</v>
      </c>
      <c r="P4316" t="n">
        <v>0</v>
      </c>
      <c r="Q4316" t="n">
        <v>0</v>
      </c>
      <c r="R4316" s="2" t="inlineStr"/>
    </row>
    <row r="4317" ht="15" customHeight="1">
      <c r="A4317" t="inlineStr">
        <is>
          <t>A 38016-2023</t>
        </is>
      </c>
      <c r="B4317" s="1" t="n">
        <v>45160</v>
      </c>
      <c r="C4317" s="1" t="n">
        <v>45846</v>
      </c>
      <c r="D4317" t="inlineStr">
        <is>
          <t>UPPSALA LÄN</t>
        </is>
      </c>
      <c r="E4317" t="inlineStr">
        <is>
          <t>UPPSALA</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38228-2023</t>
        </is>
      </c>
      <c r="B4318" s="1" t="n">
        <v>45160</v>
      </c>
      <c r="C4318" s="1" t="n">
        <v>45846</v>
      </c>
      <c r="D4318" t="inlineStr">
        <is>
          <t>UPPSALA LÄN</t>
        </is>
      </c>
      <c r="E4318" t="inlineStr">
        <is>
          <t>ÖSTHAMMAR</t>
        </is>
      </c>
      <c r="G4318" t="n">
        <v>19.2</v>
      </c>
      <c r="H4318" t="n">
        <v>0</v>
      </c>
      <c r="I4318" t="n">
        <v>0</v>
      </c>
      <c r="J4318" t="n">
        <v>0</v>
      </c>
      <c r="K4318" t="n">
        <v>0</v>
      </c>
      <c r="L4318" t="n">
        <v>0</v>
      </c>
      <c r="M4318" t="n">
        <v>0</v>
      </c>
      <c r="N4318" t="n">
        <v>0</v>
      </c>
      <c r="O4318" t="n">
        <v>0</v>
      </c>
      <c r="P4318" t="n">
        <v>0</v>
      </c>
      <c r="Q4318" t="n">
        <v>0</v>
      </c>
      <c r="R4318" s="2" t="inlineStr"/>
    </row>
    <row r="4319" ht="15" customHeight="1">
      <c r="A4319" t="inlineStr">
        <is>
          <t>A 38127-2023</t>
        </is>
      </c>
      <c r="B4319" s="1" t="n">
        <v>45161</v>
      </c>
      <c r="C4319" s="1" t="n">
        <v>45846</v>
      </c>
      <c r="D4319" t="inlineStr">
        <is>
          <t>UPPSALA LÄN</t>
        </is>
      </c>
      <c r="E4319" t="inlineStr">
        <is>
          <t>ÖSTHAMMAR</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38162-2023</t>
        </is>
      </c>
      <c r="B4320" s="1" t="n">
        <v>45161</v>
      </c>
      <c r="C4320" s="1" t="n">
        <v>45846</v>
      </c>
      <c r="D4320" t="inlineStr">
        <is>
          <t>UPPSALA LÄN</t>
        </is>
      </c>
      <c r="E4320" t="inlineStr">
        <is>
          <t>ÖSTHAMMAR</t>
        </is>
      </c>
      <c r="F4320" t="inlineStr">
        <is>
          <t>Övriga Aktiebolag</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38128-2023</t>
        </is>
      </c>
      <c r="B4321" s="1" t="n">
        <v>45161</v>
      </c>
      <c r="C4321" s="1" t="n">
        <v>45846</v>
      </c>
      <c r="D4321" t="inlineStr">
        <is>
          <t>UPPSALA LÄN</t>
        </is>
      </c>
      <c r="E4321" t="inlineStr">
        <is>
          <t>ÖSTHAMMAR</t>
        </is>
      </c>
      <c r="F4321" t="inlineStr">
        <is>
          <t>Övriga Aktiebolag</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38190-2023</t>
        </is>
      </c>
      <c r="B4322" s="1" t="n">
        <v>45161</v>
      </c>
      <c r="C4322" s="1" t="n">
        <v>45846</v>
      </c>
      <c r="D4322" t="inlineStr">
        <is>
          <t>UPPSALA LÄN</t>
        </is>
      </c>
      <c r="E4322" t="inlineStr">
        <is>
          <t>UPPSALA</t>
        </is>
      </c>
      <c r="G4322" t="n">
        <v>0.4</v>
      </c>
      <c r="H4322" t="n">
        <v>0</v>
      </c>
      <c r="I4322" t="n">
        <v>0</v>
      </c>
      <c r="J4322" t="n">
        <v>0</v>
      </c>
      <c r="K4322" t="n">
        <v>0</v>
      </c>
      <c r="L4322" t="n">
        <v>0</v>
      </c>
      <c r="M4322" t="n">
        <v>0</v>
      </c>
      <c r="N4322" t="n">
        <v>0</v>
      </c>
      <c r="O4322" t="n">
        <v>0</v>
      </c>
      <c r="P4322" t="n">
        <v>0</v>
      </c>
      <c r="Q4322" t="n">
        <v>0</v>
      </c>
      <c r="R4322" s="2" t="inlineStr"/>
    </row>
    <row r="4323" ht="15" customHeight="1">
      <c r="A4323" t="inlineStr">
        <is>
          <t>A 38306-2023</t>
        </is>
      </c>
      <c r="B4323" s="1" t="n">
        <v>45161</v>
      </c>
      <c r="C4323" s="1" t="n">
        <v>45846</v>
      </c>
      <c r="D4323" t="inlineStr">
        <is>
          <t>UPPSALA LÄN</t>
        </is>
      </c>
      <c r="E4323" t="inlineStr">
        <is>
          <t>ÄLVKARLEBY</t>
        </is>
      </c>
      <c r="F4323" t="inlineStr">
        <is>
          <t>Bergvik skog väst AB</t>
        </is>
      </c>
      <c r="G4323" t="n">
        <v>18.6</v>
      </c>
      <c r="H4323" t="n">
        <v>0</v>
      </c>
      <c r="I4323" t="n">
        <v>0</v>
      </c>
      <c r="J4323" t="n">
        <v>0</v>
      </c>
      <c r="K4323" t="n">
        <v>0</v>
      </c>
      <c r="L4323" t="n">
        <v>0</v>
      </c>
      <c r="M4323" t="n">
        <v>0</v>
      </c>
      <c r="N4323" t="n">
        <v>0</v>
      </c>
      <c r="O4323" t="n">
        <v>0</v>
      </c>
      <c r="P4323" t="n">
        <v>0</v>
      </c>
      <c r="Q4323" t="n">
        <v>0</v>
      </c>
      <c r="R4323" s="2" t="inlineStr"/>
    </row>
    <row r="4324" ht="15" customHeight="1">
      <c r="A4324" t="inlineStr">
        <is>
          <t>A 38297-2023</t>
        </is>
      </c>
      <c r="B4324" s="1" t="n">
        <v>45161</v>
      </c>
      <c r="C4324" s="1" t="n">
        <v>45846</v>
      </c>
      <c r="D4324" t="inlineStr">
        <is>
          <t>UPPSALA LÄN</t>
        </is>
      </c>
      <c r="E4324" t="inlineStr">
        <is>
          <t>TIERP</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38226-2023</t>
        </is>
      </c>
      <c r="B4325" s="1" t="n">
        <v>45161</v>
      </c>
      <c r="C4325" s="1" t="n">
        <v>45846</v>
      </c>
      <c r="D4325" t="inlineStr">
        <is>
          <t>UPPSALA LÄN</t>
        </is>
      </c>
      <c r="E4325" t="inlineStr">
        <is>
          <t>ÄLVKARLEBY</t>
        </is>
      </c>
      <c r="F4325" t="inlineStr">
        <is>
          <t>Bergvik skog väst AB</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38109-2023</t>
        </is>
      </c>
      <c r="B4326" s="1" t="n">
        <v>45161</v>
      </c>
      <c r="C4326" s="1" t="n">
        <v>45846</v>
      </c>
      <c r="D4326" t="inlineStr">
        <is>
          <t>UPPSALA LÄN</t>
        </is>
      </c>
      <c r="E4326" t="inlineStr">
        <is>
          <t>TIERP</t>
        </is>
      </c>
      <c r="F4326" t="inlineStr">
        <is>
          <t>Bergvik skog öst AB</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38298-2023</t>
        </is>
      </c>
      <c r="B4327" s="1" t="n">
        <v>45161</v>
      </c>
      <c r="C4327" s="1" t="n">
        <v>45846</v>
      </c>
      <c r="D4327" t="inlineStr">
        <is>
          <t>UPPSALA LÄN</t>
        </is>
      </c>
      <c r="E4327" t="inlineStr">
        <is>
          <t>TIERP</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38464-2023</t>
        </is>
      </c>
      <c r="B4328" s="1" t="n">
        <v>45162</v>
      </c>
      <c r="C4328" s="1" t="n">
        <v>45846</v>
      </c>
      <c r="D4328" t="inlineStr">
        <is>
          <t>UPPSALA LÄN</t>
        </is>
      </c>
      <c r="E4328" t="inlineStr">
        <is>
          <t>TIERP</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38524-2023</t>
        </is>
      </c>
      <c r="B4329" s="1" t="n">
        <v>45162</v>
      </c>
      <c r="C4329" s="1" t="n">
        <v>45846</v>
      </c>
      <c r="D4329" t="inlineStr">
        <is>
          <t>UPPSALA LÄN</t>
        </is>
      </c>
      <c r="E4329" t="inlineStr">
        <is>
          <t>TIERP</t>
        </is>
      </c>
      <c r="F4329" t="inlineStr">
        <is>
          <t>Bergvik skog väst AB</t>
        </is>
      </c>
      <c r="G4329" t="n">
        <v>7.7</v>
      </c>
      <c r="H4329" t="n">
        <v>0</v>
      </c>
      <c r="I4329" t="n">
        <v>0</v>
      </c>
      <c r="J4329" t="n">
        <v>0</v>
      </c>
      <c r="K4329" t="n">
        <v>0</v>
      </c>
      <c r="L4329" t="n">
        <v>0</v>
      </c>
      <c r="M4329" t="n">
        <v>0</v>
      </c>
      <c r="N4329" t="n">
        <v>0</v>
      </c>
      <c r="O4329" t="n">
        <v>0</v>
      </c>
      <c r="P4329" t="n">
        <v>0</v>
      </c>
      <c r="Q4329" t="n">
        <v>0</v>
      </c>
      <c r="R4329" s="2" t="inlineStr"/>
    </row>
    <row r="4330" ht="15" customHeight="1">
      <c r="A4330" t="inlineStr">
        <is>
          <t>A 38454-2023</t>
        </is>
      </c>
      <c r="B4330" s="1" t="n">
        <v>45162</v>
      </c>
      <c r="C4330" s="1" t="n">
        <v>45846</v>
      </c>
      <c r="D4330" t="inlineStr">
        <is>
          <t>UPPSALA LÄN</t>
        </is>
      </c>
      <c r="E4330" t="inlineStr">
        <is>
          <t>ÄLVKARLEBY</t>
        </is>
      </c>
      <c r="F4330" t="inlineStr">
        <is>
          <t>Bergvik skog väst AB</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38499-2023</t>
        </is>
      </c>
      <c r="B4331" s="1" t="n">
        <v>45162</v>
      </c>
      <c r="C4331" s="1" t="n">
        <v>45846</v>
      </c>
      <c r="D4331" t="inlineStr">
        <is>
          <t>UPPSALA LÄN</t>
        </is>
      </c>
      <c r="E4331" t="inlineStr">
        <is>
          <t>HEBY</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38453-2023</t>
        </is>
      </c>
      <c r="B4332" s="1" t="n">
        <v>45162</v>
      </c>
      <c r="C4332" s="1" t="n">
        <v>45846</v>
      </c>
      <c r="D4332" t="inlineStr">
        <is>
          <t>UPPSALA LÄN</t>
        </is>
      </c>
      <c r="E4332" t="inlineStr">
        <is>
          <t>ÄLVKARLEBY</t>
        </is>
      </c>
      <c r="F4332" t="inlineStr">
        <is>
          <t>Bergvik skog väst AB</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38461-2023</t>
        </is>
      </c>
      <c r="B4333" s="1" t="n">
        <v>45162</v>
      </c>
      <c r="C4333" s="1" t="n">
        <v>45846</v>
      </c>
      <c r="D4333" t="inlineStr">
        <is>
          <t>UPPSALA LÄN</t>
        </is>
      </c>
      <c r="E4333" t="inlineStr">
        <is>
          <t>ÄLVKARLEBY</t>
        </is>
      </c>
      <c r="F4333" t="inlineStr">
        <is>
          <t>Bergvik skog väst AB</t>
        </is>
      </c>
      <c r="G4333" t="n">
        <v>17.8</v>
      </c>
      <c r="H4333" t="n">
        <v>0</v>
      </c>
      <c r="I4333" t="n">
        <v>0</v>
      </c>
      <c r="J4333" t="n">
        <v>0</v>
      </c>
      <c r="K4333" t="n">
        <v>0</v>
      </c>
      <c r="L4333" t="n">
        <v>0</v>
      </c>
      <c r="M4333" t="n">
        <v>0</v>
      </c>
      <c r="N4333" t="n">
        <v>0</v>
      </c>
      <c r="O4333" t="n">
        <v>0</v>
      </c>
      <c r="P4333" t="n">
        <v>0</v>
      </c>
      <c r="Q4333" t="n">
        <v>0</v>
      </c>
      <c r="R4333" s="2" t="inlineStr"/>
    </row>
    <row r="4334" ht="15" customHeight="1">
      <c r="A4334" t="inlineStr">
        <is>
          <t>A 38493-2023</t>
        </is>
      </c>
      <c r="B4334" s="1" t="n">
        <v>45162</v>
      </c>
      <c r="C4334" s="1" t="n">
        <v>45846</v>
      </c>
      <c r="D4334" t="inlineStr">
        <is>
          <t>UPPSALA LÄN</t>
        </is>
      </c>
      <c r="E4334" t="inlineStr">
        <is>
          <t>UPPSALA</t>
        </is>
      </c>
      <c r="F4334" t="inlineStr">
        <is>
          <t>Allmännings- och besparingsskogar</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38584-2023</t>
        </is>
      </c>
      <c r="B4335" s="1" t="n">
        <v>45162</v>
      </c>
      <c r="C4335" s="1" t="n">
        <v>45846</v>
      </c>
      <c r="D4335" t="inlineStr">
        <is>
          <t>UPPSALA LÄN</t>
        </is>
      </c>
      <c r="E4335" t="inlineStr">
        <is>
          <t>KNIVSTA</t>
        </is>
      </c>
      <c r="F4335" t="inlineStr">
        <is>
          <t>Holmen skog AB</t>
        </is>
      </c>
      <c r="G4335" t="n">
        <v>6</v>
      </c>
      <c r="H4335" t="n">
        <v>0</v>
      </c>
      <c r="I4335" t="n">
        <v>0</v>
      </c>
      <c r="J4335" t="n">
        <v>0</v>
      </c>
      <c r="K4335" t="n">
        <v>0</v>
      </c>
      <c r="L4335" t="n">
        <v>0</v>
      </c>
      <c r="M4335" t="n">
        <v>0</v>
      </c>
      <c r="N4335" t="n">
        <v>0</v>
      </c>
      <c r="O4335" t="n">
        <v>0</v>
      </c>
      <c r="P4335" t="n">
        <v>0</v>
      </c>
      <c r="Q4335" t="n">
        <v>0</v>
      </c>
      <c r="R4335" s="2" t="inlineStr"/>
    </row>
    <row r="4336" ht="15" customHeight="1">
      <c r="A4336" t="inlineStr">
        <is>
          <t>A 38600-2023</t>
        </is>
      </c>
      <c r="B4336" s="1" t="n">
        <v>45162</v>
      </c>
      <c r="C4336" s="1" t="n">
        <v>45846</v>
      </c>
      <c r="D4336" t="inlineStr">
        <is>
          <t>UPPSALA LÄN</t>
        </is>
      </c>
      <c r="E4336" t="inlineStr">
        <is>
          <t>ÖSTHAMMAR</t>
        </is>
      </c>
      <c r="F4336" t="inlineStr">
        <is>
          <t>Bergvik skog väst AB</t>
        </is>
      </c>
      <c r="G4336" t="n">
        <v>0.1</v>
      </c>
      <c r="H4336" t="n">
        <v>0</v>
      </c>
      <c r="I4336" t="n">
        <v>0</v>
      </c>
      <c r="J4336" t="n">
        <v>0</v>
      </c>
      <c r="K4336" t="n">
        <v>0</v>
      </c>
      <c r="L4336" t="n">
        <v>0</v>
      </c>
      <c r="M4336" t="n">
        <v>0</v>
      </c>
      <c r="N4336" t="n">
        <v>0</v>
      </c>
      <c r="O4336" t="n">
        <v>0</v>
      </c>
      <c r="P4336" t="n">
        <v>0</v>
      </c>
      <c r="Q4336" t="n">
        <v>0</v>
      </c>
      <c r="R4336" s="2" t="inlineStr"/>
    </row>
    <row r="4337" ht="15" customHeight="1">
      <c r="A4337" t="inlineStr">
        <is>
          <t>A 38644-2023</t>
        </is>
      </c>
      <c r="B4337" s="1" t="n">
        <v>45162</v>
      </c>
      <c r="C4337" s="1" t="n">
        <v>45846</v>
      </c>
      <c r="D4337" t="inlineStr">
        <is>
          <t>UPPSALA LÄN</t>
        </is>
      </c>
      <c r="E4337" t="inlineStr">
        <is>
          <t>UPPSALA</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38645-2023</t>
        </is>
      </c>
      <c r="B4338" s="1" t="n">
        <v>45162</v>
      </c>
      <c r="C4338" s="1" t="n">
        <v>45846</v>
      </c>
      <c r="D4338" t="inlineStr">
        <is>
          <t>UPPSALA LÄN</t>
        </is>
      </c>
      <c r="E4338" t="inlineStr">
        <is>
          <t>UPPSALA</t>
        </is>
      </c>
      <c r="G4338" t="n">
        <v>6.5</v>
      </c>
      <c r="H4338" t="n">
        <v>0</v>
      </c>
      <c r="I4338" t="n">
        <v>0</v>
      </c>
      <c r="J4338" t="n">
        <v>0</v>
      </c>
      <c r="K4338" t="n">
        <v>0</v>
      </c>
      <c r="L4338" t="n">
        <v>0</v>
      </c>
      <c r="M4338" t="n">
        <v>0</v>
      </c>
      <c r="N4338" t="n">
        <v>0</v>
      </c>
      <c r="O4338" t="n">
        <v>0</v>
      </c>
      <c r="P4338" t="n">
        <v>0</v>
      </c>
      <c r="Q4338" t="n">
        <v>0</v>
      </c>
      <c r="R4338" s="2" t="inlineStr"/>
    </row>
    <row r="4339" ht="15" customHeight="1">
      <c r="A4339" t="inlineStr">
        <is>
          <t>A 38664-2023</t>
        </is>
      </c>
      <c r="B4339" s="1" t="n">
        <v>45162</v>
      </c>
      <c r="C4339" s="1" t="n">
        <v>45846</v>
      </c>
      <c r="D4339" t="inlineStr">
        <is>
          <t>UPPSALA LÄN</t>
        </is>
      </c>
      <c r="E4339" t="inlineStr">
        <is>
          <t>UPPSALA</t>
        </is>
      </c>
      <c r="F4339" t="inlineStr">
        <is>
          <t>Bergvik skog öst AB</t>
        </is>
      </c>
      <c r="G4339" t="n">
        <v>7.6</v>
      </c>
      <c r="H4339" t="n">
        <v>0</v>
      </c>
      <c r="I4339" t="n">
        <v>0</v>
      </c>
      <c r="J4339" t="n">
        <v>0</v>
      </c>
      <c r="K4339" t="n">
        <v>0</v>
      </c>
      <c r="L4339" t="n">
        <v>0</v>
      </c>
      <c r="M4339" t="n">
        <v>0</v>
      </c>
      <c r="N4339" t="n">
        <v>0</v>
      </c>
      <c r="O4339" t="n">
        <v>0</v>
      </c>
      <c r="P4339" t="n">
        <v>0</v>
      </c>
      <c r="Q4339" t="n">
        <v>0</v>
      </c>
      <c r="R4339" s="2" t="inlineStr"/>
    </row>
    <row r="4340" ht="15" customHeight="1">
      <c r="A4340" t="inlineStr">
        <is>
          <t>A 38663-2023</t>
        </is>
      </c>
      <c r="B4340" s="1" t="n">
        <v>45162</v>
      </c>
      <c r="C4340" s="1" t="n">
        <v>45846</v>
      </c>
      <c r="D4340" t="inlineStr">
        <is>
          <t>UPPSALA LÄN</t>
        </is>
      </c>
      <c r="E4340" t="inlineStr">
        <is>
          <t>UPPSALA</t>
        </is>
      </c>
      <c r="F4340" t="inlineStr">
        <is>
          <t>Bergvik skog öst AB</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38610-2023</t>
        </is>
      </c>
      <c r="B4341" s="1" t="n">
        <v>45162</v>
      </c>
      <c r="C4341" s="1" t="n">
        <v>45846</v>
      </c>
      <c r="D4341" t="inlineStr">
        <is>
          <t>UPPSALA LÄN</t>
        </is>
      </c>
      <c r="E4341" t="inlineStr">
        <is>
          <t>ÖSTHAMMAR</t>
        </is>
      </c>
      <c r="F4341" t="inlineStr">
        <is>
          <t>Bergvik skog öst AB</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38665-2023</t>
        </is>
      </c>
      <c r="B4342" s="1" t="n">
        <v>45162</v>
      </c>
      <c r="C4342" s="1" t="n">
        <v>45846</v>
      </c>
      <c r="D4342" t="inlineStr">
        <is>
          <t>UPPSALA LÄN</t>
        </is>
      </c>
      <c r="E4342" t="inlineStr">
        <is>
          <t>UPPSALA</t>
        </is>
      </c>
      <c r="F4342" t="inlineStr">
        <is>
          <t>Bergvik skog öst AB</t>
        </is>
      </c>
      <c r="G4342" t="n">
        <v>0.3</v>
      </c>
      <c r="H4342" t="n">
        <v>0</v>
      </c>
      <c r="I4342" t="n">
        <v>0</v>
      </c>
      <c r="J4342" t="n">
        <v>0</v>
      </c>
      <c r="K4342" t="n">
        <v>0</v>
      </c>
      <c r="L4342" t="n">
        <v>0</v>
      </c>
      <c r="M4342" t="n">
        <v>0</v>
      </c>
      <c r="N4342" t="n">
        <v>0</v>
      </c>
      <c r="O4342" t="n">
        <v>0</v>
      </c>
      <c r="P4342" t="n">
        <v>0</v>
      </c>
      <c r="Q4342" t="n">
        <v>0</v>
      </c>
      <c r="R4342" s="2" t="inlineStr"/>
    </row>
    <row r="4343" ht="15" customHeight="1">
      <c r="A4343" t="inlineStr">
        <is>
          <t>A 38661-2023</t>
        </is>
      </c>
      <c r="B4343" s="1" t="n">
        <v>45162</v>
      </c>
      <c r="C4343" s="1" t="n">
        <v>45846</v>
      </c>
      <c r="D4343" t="inlineStr">
        <is>
          <t>UPPSALA LÄN</t>
        </is>
      </c>
      <c r="E4343" t="inlineStr">
        <is>
          <t>UPPSALA</t>
        </is>
      </c>
      <c r="F4343" t="inlineStr">
        <is>
          <t>Bergvik skog öst AB</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38571-2023</t>
        </is>
      </c>
      <c r="B4344" s="1" t="n">
        <v>45162</v>
      </c>
      <c r="C4344" s="1" t="n">
        <v>45846</v>
      </c>
      <c r="D4344" t="inlineStr">
        <is>
          <t>UPPSALA LÄN</t>
        </is>
      </c>
      <c r="E4344" t="inlineStr">
        <is>
          <t>ÖSTHAMMAR</t>
        </is>
      </c>
      <c r="F4344" t="inlineStr">
        <is>
          <t>Bergvik skog öst AB</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38643-2023</t>
        </is>
      </c>
      <c r="B4345" s="1" t="n">
        <v>45162</v>
      </c>
      <c r="C4345" s="1" t="n">
        <v>45846</v>
      </c>
      <c r="D4345" t="inlineStr">
        <is>
          <t>UPPSALA LÄN</t>
        </is>
      </c>
      <c r="E4345" t="inlineStr">
        <is>
          <t>UPPSALA</t>
        </is>
      </c>
      <c r="G4345" t="n">
        <v>5.1</v>
      </c>
      <c r="H4345" t="n">
        <v>0</v>
      </c>
      <c r="I4345" t="n">
        <v>0</v>
      </c>
      <c r="J4345" t="n">
        <v>0</v>
      </c>
      <c r="K4345" t="n">
        <v>0</v>
      </c>
      <c r="L4345" t="n">
        <v>0</v>
      </c>
      <c r="M4345" t="n">
        <v>0</v>
      </c>
      <c r="N4345" t="n">
        <v>0</v>
      </c>
      <c r="O4345" t="n">
        <v>0</v>
      </c>
      <c r="P4345" t="n">
        <v>0</v>
      </c>
      <c r="Q4345" t="n">
        <v>0</v>
      </c>
      <c r="R4345" s="2" t="inlineStr"/>
    </row>
    <row r="4346" ht="15" customHeight="1">
      <c r="A4346" t="inlineStr">
        <is>
          <t>A 38934-2023</t>
        </is>
      </c>
      <c r="B4346" s="1" t="n">
        <v>45163</v>
      </c>
      <c r="C4346" s="1" t="n">
        <v>45846</v>
      </c>
      <c r="D4346" t="inlineStr">
        <is>
          <t>UPPSALA LÄN</t>
        </is>
      </c>
      <c r="E4346" t="inlineStr">
        <is>
          <t>UPPSALA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38875-2023</t>
        </is>
      </c>
      <c r="B4347" s="1" t="n">
        <v>45163</v>
      </c>
      <c r="C4347" s="1" t="n">
        <v>45846</v>
      </c>
      <c r="D4347" t="inlineStr">
        <is>
          <t>UPPSALA LÄN</t>
        </is>
      </c>
      <c r="E4347" t="inlineStr">
        <is>
          <t>TIERP</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38702-2023</t>
        </is>
      </c>
      <c r="B4348" s="1" t="n">
        <v>45163</v>
      </c>
      <c r="C4348" s="1" t="n">
        <v>45846</v>
      </c>
      <c r="D4348" t="inlineStr">
        <is>
          <t>UPPSALA LÄN</t>
        </is>
      </c>
      <c r="E4348" t="inlineStr">
        <is>
          <t>TIERP</t>
        </is>
      </c>
      <c r="F4348" t="inlineStr">
        <is>
          <t>Bergvik skog öst AB</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38711-2023</t>
        </is>
      </c>
      <c r="B4349" s="1" t="n">
        <v>45163</v>
      </c>
      <c r="C4349" s="1" t="n">
        <v>45846</v>
      </c>
      <c r="D4349" t="inlineStr">
        <is>
          <t>UPPSALA LÄN</t>
        </is>
      </c>
      <c r="E4349" t="inlineStr">
        <is>
          <t>ÖSTHAMMAR</t>
        </is>
      </c>
      <c r="G4349" t="n">
        <v>5.4</v>
      </c>
      <c r="H4349" t="n">
        <v>0</v>
      </c>
      <c r="I4349" t="n">
        <v>0</v>
      </c>
      <c r="J4349" t="n">
        <v>0</v>
      </c>
      <c r="K4349" t="n">
        <v>0</v>
      </c>
      <c r="L4349" t="n">
        <v>0</v>
      </c>
      <c r="M4349" t="n">
        <v>0</v>
      </c>
      <c r="N4349" t="n">
        <v>0</v>
      </c>
      <c r="O4349" t="n">
        <v>0</v>
      </c>
      <c r="P4349" t="n">
        <v>0</v>
      </c>
      <c r="Q4349" t="n">
        <v>0</v>
      </c>
      <c r="R4349" s="2" t="inlineStr"/>
    </row>
    <row r="4350" ht="15" customHeight="1">
      <c r="A4350" t="inlineStr">
        <is>
          <t>A 38807-2023</t>
        </is>
      </c>
      <c r="B4350" s="1" t="n">
        <v>45163</v>
      </c>
      <c r="C4350" s="1" t="n">
        <v>45846</v>
      </c>
      <c r="D4350" t="inlineStr">
        <is>
          <t>UPPSALA LÄN</t>
        </is>
      </c>
      <c r="E4350" t="inlineStr">
        <is>
          <t>TIERP</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39108-2023</t>
        </is>
      </c>
      <c r="B4351" s="1" t="n">
        <v>45164</v>
      </c>
      <c r="C4351" s="1" t="n">
        <v>45846</v>
      </c>
      <c r="D4351" t="inlineStr">
        <is>
          <t>UPPSALA LÄN</t>
        </is>
      </c>
      <c r="E4351" t="inlineStr">
        <is>
          <t>UPPSALA</t>
        </is>
      </c>
      <c r="F4351" t="inlineStr">
        <is>
          <t>Bergvik skog öst AB</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39624-2023</t>
        </is>
      </c>
      <c r="B4352" s="1" t="n">
        <v>45164</v>
      </c>
      <c r="C4352" s="1" t="n">
        <v>45846</v>
      </c>
      <c r="D4352" t="inlineStr">
        <is>
          <t>UPPSALA LÄN</t>
        </is>
      </c>
      <c r="E4352" t="inlineStr">
        <is>
          <t>ENKÖPING</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39107-2023</t>
        </is>
      </c>
      <c r="B4353" s="1" t="n">
        <v>45164</v>
      </c>
      <c r="C4353" s="1" t="n">
        <v>45846</v>
      </c>
      <c r="D4353" t="inlineStr">
        <is>
          <t>UPPSALA LÄN</t>
        </is>
      </c>
      <c r="E4353" t="inlineStr">
        <is>
          <t>UPPSALA</t>
        </is>
      </c>
      <c r="F4353" t="inlineStr">
        <is>
          <t>Bergvik skog öst AB</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39154-2023</t>
        </is>
      </c>
      <c r="B4354" s="1" t="n">
        <v>45166</v>
      </c>
      <c r="C4354" s="1" t="n">
        <v>45846</v>
      </c>
      <c r="D4354" t="inlineStr">
        <is>
          <t>UPPSALA LÄN</t>
        </is>
      </c>
      <c r="E4354" t="inlineStr">
        <is>
          <t>HEBY</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39259-2023</t>
        </is>
      </c>
      <c r="B4355" s="1" t="n">
        <v>45166</v>
      </c>
      <c r="C4355" s="1" t="n">
        <v>45846</v>
      </c>
      <c r="D4355" t="inlineStr">
        <is>
          <t>UPPSALA LÄN</t>
        </is>
      </c>
      <c r="E4355" t="inlineStr">
        <is>
          <t>TIERP</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39157-2023</t>
        </is>
      </c>
      <c r="B4356" s="1" t="n">
        <v>45166</v>
      </c>
      <c r="C4356" s="1" t="n">
        <v>45846</v>
      </c>
      <c r="D4356" t="inlineStr">
        <is>
          <t>UPPSALA LÄN</t>
        </is>
      </c>
      <c r="E4356" t="inlineStr">
        <is>
          <t>HEBY</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39403-2023</t>
        </is>
      </c>
      <c r="B4357" s="1" t="n">
        <v>45166</v>
      </c>
      <c r="C4357" s="1" t="n">
        <v>45846</v>
      </c>
      <c r="D4357" t="inlineStr">
        <is>
          <t>UPPSALA LÄN</t>
        </is>
      </c>
      <c r="E4357" t="inlineStr">
        <is>
          <t>TIERP</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39421-2023</t>
        </is>
      </c>
      <c r="B4358" s="1" t="n">
        <v>45166</v>
      </c>
      <c r="C4358" s="1" t="n">
        <v>45846</v>
      </c>
      <c r="D4358" t="inlineStr">
        <is>
          <t>UPPSALA LÄN</t>
        </is>
      </c>
      <c r="E4358" t="inlineStr">
        <is>
          <t>TIERP</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39411-2023</t>
        </is>
      </c>
      <c r="B4359" s="1" t="n">
        <v>45166</v>
      </c>
      <c r="C4359" s="1" t="n">
        <v>45846</v>
      </c>
      <c r="D4359" t="inlineStr">
        <is>
          <t>UPPSALA LÄN</t>
        </is>
      </c>
      <c r="E4359" t="inlineStr">
        <is>
          <t>TIERP</t>
        </is>
      </c>
      <c r="G4359" t="n">
        <v>5.7</v>
      </c>
      <c r="H4359" t="n">
        <v>0</v>
      </c>
      <c r="I4359" t="n">
        <v>0</v>
      </c>
      <c r="J4359" t="n">
        <v>0</v>
      </c>
      <c r="K4359" t="n">
        <v>0</v>
      </c>
      <c r="L4359" t="n">
        <v>0</v>
      </c>
      <c r="M4359" t="n">
        <v>0</v>
      </c>
      <c r="N4359" t="n">
        <v>0</v>
      </c>
      <c r="O4359" t="n">
        <v>0</v>
      </c>
      <c r="P4359" t="n">
        <v>0</v>
      </c>
      <c r="Q4359" t="n">
        <v>0</v>
      </c>
      <c r="R4359" s="2" t="inlineStr"/>
    </row>
    <row r="4360" ht="15" customHeight="1">
      <c r="A4360" t="inlineStr">
        <is>
          <t>A 39938-2023</t>
        </is>
      </c>
      <c r="B4360" s="1" t="n">
        <v>45166</v>
      </c>
      <c r="C4360" s="1" t="n">
        <v>45846</v>
      </c>
      <c r="D4360" t="inlineStr">
        <is>
          <t>UPPSALA LÄN</t>
        </is>
      </c>
      <c r="E4360" t="inlineStr">
        <is>
          <t>TIERP</t>
        </is>
      </c>
      <c r="G4360" t="n">
        <v>6</v>
      </c>
      <c r="H4360" t="n">
        <v>0</v>
      </c>
      <c r="I4360" t="n">
        <v>0</v>
      </c>
      <c r="J4360" t="n">
        <v>0</v>
      </c>
      <c r="K4360" t="n">
        <v>0</v>
      </c>
      <c r="L4360" t="n">
        <v>0</v>
      </c>
      <c r="M4360" t="n">
        <v>0</v>
      </c>
      <c r="N4360" t="n">
        <v>0</v>
      </c>
      <c r="O4360" t="n">
        <v>0</v>
      </c>
      <c r="P4360" t="n">
        <v>0</v>
      </c>
      <c r="Q4360" t="n">
        <v>0</v>
      </c>
      <c r="R4360" s="2" t="inlineStr"/>
    </row>
    <row r="4361" ht="15" customHeight="1">
      <c r="A4361" t="inlineStr">
        <is>
          <t>A 39548-2023</t>
        </is>
      </c>
      <c r="B4361" s="1" t="n">
        <v>45167</v>
      </c>
      <c r="C4361" s="1" t="n">
        <v>45846</v>
      </c>
      <c r="D4361" t="inlineStr">
        <is>
          <t>UPPSALA LÄN</t>
        </is>
      </c>
      <c r="E4361" t="inlineStr">
        <is>
          <t>UPPSALA</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39592-2023</t>
        </is>
      </c>
      <c r="B4362" s="1" t="n">
        <v>45167</v>
      </c>
      <c r="C4362" s="1" t="n">
        <v>45846</v>
      </c>
      <c r="D4362" t="inlineStr">
        <is>
          <t>UPPSALA LÄN</t>
        </is>
      </c>
      <c r="E4362" t="inlineStr">
        <is>
          <t>UPPSALA</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40024-2023</t>
        </is>
      </c>
      <c r="B4363" s="1" t="n">
        <v>45167</v>
      </c>
      <c r="C4363" s="1" t="n">
        <v>45846</v>
      </c>
      <c r="D4363" t="inlineStr">
        <is>
          <t>UPPSALA LÄN</t>
        </is>
      </c>
      <c r="E4363" t="inlineStr">
        <is>
          <t>KNIVSTA</t>
        </is>
      </c>
      <c r="G4363" t="n">
        <v>5.3</v>
      </c>
      <c r="H4363" t="n">
        <v>0</v>
      </c>
      <c r="I4363" t="n">
        <v>0</v>
      </c>
      <c r="J4363" t="n">
        <v>0</v>
      </c>
      <c r="K4363" t="n">
        <v>0</v>
      </c>
      <c r="L4363" t="n">
        <v>0</v>
      </c>
      <c r="M4363" t="n">
        <v>0</v>
      </c>
      <c r="N4363" t="n">
        <v>0</v>
      </c>
      <c r="O4363" t="n">
        <v>0</v>
      </c>
      <c r="P4363" t="n">
        <v>0</v>
      </c>
      <c r="Q4363" t="n">
        <v>0</v>
      </c>
      <c r="R4363" s="2" t="inlineStr"/>
    </row>
    <row r="4364" ht="15" customHeight="1">
      <c r="A4364" t="inlineStr">
        <is>
          <t>A 39928-2023</t>
        </is>
      </c>
      <c r="B4364" s="1" t="n">
        <v>45167</v>
      </c>
      <c r="C4364" s="1" t="n">
        <v>45846</v>
      </c>
      <c r="D4364" t="inlineStr">
        <is>
          <t>UPPSALA LÄN</t>
        </is>
      </c>
      <c r="E4364" t="inlineStr">
        <is>
          <t>TIERP</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39739-2023</t>
        </is>
      </c>
      <c r="B4365" s="1" t="n">
        <v>45167</v>
      </c>
      <c r="C4365" s="1" t="n">
        <v>45846</v>
      </c>
      <c r="D4365" t="inlineStr">
        <is>
          <t>UPPSALA LÄN</t>
        </is>
      </c>
      <c r="E4365" t="inlineStr">
        <is>
          <t>UPPSALA</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39836-2023</t>
        </is>
      </c>
      <c r="B4366" s="1" t="n">
        <v>45168</v>
      </c>
      <c r="C4366" s="1" t="n">
        <v>45846</v>
      </c>
      <c r="D4366" t="inlineStr">
        <is>
          <t>UPPSALA LÄN</t>
        </is>
      </c>
      <c r="E4366" t="inlineStr">
        <is>
          <t>HEBY</t>
        </is>
      </c>
      <c r="F4366" t="inlineStr">
        <is>
          <t>Övriga Aktiebolag</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39926-2023</t>
        </is>
      </c>
      <c r="B4367" s="1" t="n">
        <v>45168</v>
      </c>
      <c r="C4367" s="1" t="n">
        <v>45846</v>
      </c>
      <c r="D4367" t="inlineStr">
        <is>
          <t>UPPSALA LÄN</t>
        </is>
      </c>
      <c r="E4367" t="inlineStr">
        <is>
          <t>UPPSALA</t>
        </is>
      </c>
      <c r="F4367" t="inlineStr">
        <is>
          <t>Holmen skog AB</t>
        </is>
      </c>
      <c r="G4367" t="n">
        <v>8.1</v>
      </c>
      <c r="H4367" t="n">
        <v>0</v>
      </c>
      <c r="I4367" t="n">
        <v>0</v>
      </c>
      <c r="J4367" t="n">
        <v>0</v>
      </c>
      <c r="K4367" t="n">
        <v>0</v>
      </c>
      <c r="L4367" t="n">
        <v>0</v>
      </c>
      <c r="M4367" t="n">
        <v>0</v>
      </c>
      <c r="N4367" t="n">
        <v>0</v>
      </c>
      <c r="O4367" t="n">
        <v>0</v>
      </c>
      <c r="P4367" t="n">
        <v>0</v>
      </c>
      <c r="Q4367" t="n">
        <v>0</v>
      </c>
      <c r="R4367" s="2" t="inlineStr"/>
    </row>
    <row r="4368" ht="15" customHeight="1">
      <c r="A4368" t="inlineStr">
        <is>
          <t>A 39834-2023</t>
        </is>
      </c>
      <c r="B4368" s="1" t="n">
        <v>45168</v>
      </c>
      <c r="C4368" s="1" t="n">
        <v>45846</v>
      </c>
      <c r="D4368" t="inlineStr">
        <is>
          <t>UPPSALA LÄN</t>
        </is>
      </c>
      <c r="E4368" t="inlineStr">
        <is>
          <t>HEBY</t>
        </is>
      </c>
      <c r="F4368" t="inlineStr">
        <is>
          <t>Övriga Aktiebolag</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39829-2023</t>
        </is>
      </c>
      <c r="B4369" s="1" t="n">
        <v>45168</v>
      </c>
      <c r="C4369" s="1" t="n">
        <v>45846</v>
      </c>
      <c r="D4369" t="inlineStr">
        <is>
          <t>UPPSALA LÄN</t>
        </is>
      </c>
      <c r="E4369" t="inlineStr">
        <is>
          <t>HEBY</t>
        </is>
      </c>
      <c r="F4369" t="inlineStr">
        <is>
          <t>Övriga Aktiebolag</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39918-2023</t>
        </is>
      </c>
      <c r="B4370" s="1" t="n">
        <v>45168</v>
      </c>
      <c r="C4370" s="1" t="n">
        <v>45846</v>
      </c>
      <c r="D4370" t="inlineStr">
        <is>
          <t>UPPSALA LÄN</t>
        </is>
      </c>
      <c r="E4370" t="inlineStr">
        <is>
          <t>UPPSALA</t>
        </is>
      </c>
      <c r="F4370" t="inlineStr">
        <is>
          <t>Holmen skog AB</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39927-2023</t>
        </is>
      </c>
      <c r="B4371" s="1" t="n">
        <v>45168</v>
      </c>
      <c r="C4371" s="1" t="n">
        <v>45846</v>
      </c>
      <c r="D4371" t="inlineStr">
        <is>
          <t>UPPSALA LÄN</t>
        </is>
      </c>
      <c r="E4371" t="inlineStr">
        <is>
          <t>TIERP</t>
        </is>
      </c>
      <c r="F4371" t="inlineStr">
        <is>
          <t>Bergvik skog öst AB</t>
        </is>
      </c>
      <c r="G4371" t="n">
        <v>5.5</v>
      </c>
      <c r="H4371" t="n">
        <v>0</v>
      </c>
      <c r="I4371" t="n">
        <v>0</v>
      </c>
      <c r="J4371" t="n">
        <v>0</v>
      </c>
      <c r="K4371" t="n">
        <v>0</v>
      </c>
      <c r="L4371" t="n">
        <v>0</v>
      </c>
      <c r="M4371" t="n">
        <v>0</v>
      </c>
      <c r="N4371" t="n">
        <v>0</v>
      </c>
      <c r="O4371" t="n">
        <v>0</v>
      </c>
      <c r="P4371" t="n">
        <v>0</v>
      </c>
      <c r="Q4371" t="n">
        <v>0</v>
      </c>
      <c r="R4371" s="2" t="inlineStr"/>
    </row>
    <row r="4372" ht="15" customHeight="1">
      <c r="A4372" t="inlineStr">
        <is>
          <t>A 40176-2023</t>
        </is>
      </c>
      <c r="B4372" s="1" t="n">
        <v>45169</v>
      </c>
      <c r="C4372" s="1" t="n">
        <v>45846</v>
      </c>
      <c r="D4372" t="inlineStr">
        <is>
          <t>UPPSALA LÄN</t>
        </is>
      </c>
      <c r="E4372" t="inlineStr">
        <is>
          <t>ÖSTHAMMAR</t>
        </is>
      </c>
      <c r="F4372" t="inlineStr">
        <is>
          <t>Bergvik skog öst AB</t>
        </is>
      </c>
      <c r="G4372" t="n">
        <v>29.9</v>
      </c>
      <c r="H4372" t="n">
        <v>0</v>
      </c>
      <c r="I4372" t="n">
        <v>0</v>
      </c>
      <c r="J4372" t="n">
        <v>0</v>
      </c>
      <c r="K4372" t="n">
        <v>0</v>
      </c>
      <c r="L4372" t="n">
        <v>0</v>
      </c>
      <c r="M4372" t="n">
        <v>0</v>
      </c>
      <c r="N4372" t="n">
        <v>0</v>
      </c>
      <c r="O4372" t="n">
        <v>0</v>
      </c>
      <c r="P4372" t="n">
        <v>0</v>
      </c>
      <c r="Q4372" t="n">
        <v>0</v>
      </c>
      <c r="R4372" s="2" t="inlineStr"/>
    </row>
    <row r="4373" ht="15" customHeight="1">
      <c r="A4373" t="inlineStr">
        <is>
          <t>A 40369-2023</t>
        </is>
      </c>
      <c r="B4373" s="1" t="n">
        <v>45169</v>
      </c>
      <c r="C4373" s="1" t="n">
        <v>45846</v>
      </c>
      <c r="D4373" t="inlineStr">
        <is>
          <t>UPPSALA LÄN</t>
        </is>
      </c>
      <c r="E4373" t="inlineStr">
        <is>
          <t>UPPSALA</t>
        </is>
      </c>
      <c r="F4373" t="inlineStr">
        <is>
          <t>Allmännings- och besparingsskogar</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40312-2023</t>
        </is>
      </c>
      <c r="B4374" s="1" t="n">
        <v>45169</v>
      </c>
      <c r="C4374" s="1" t="n">
        <v>45846</v>
      </c>
      <c r="D4374" t="inlineStr">
        <is>
          <t>UPPSALA LÄN</t>
        </is>
      </c>
      <c r="E4374" t="inlineStr">
        <is>
          <t>UPPSALA</t>
        </is>
      </c>
      <c r="F4374" t="inlineStr">
        <is>
          <t>Kommuner</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40124-2023</t>
        </is>
      </c>
      <c r="B4375" s="1" t="n">
        <v>45169</v>
      </c>
      <c r="C4375" s="1" t="n">
        <v>45846</v>
      </c>
      <c r="D4375" t="inlineStr">
        <is>
          <t>UPPSALA LÄN</t>
        </is>
      </c>
      <c r="E4375" t="inlineStr">
        <is>
          <t>UPPSALA</t>
        </is>
      </c>
      <c r="F4375" t="inlineStr">
        <is>
          <t>Allmännings- och besparingsskogar</t>
        </is>
      </c>
      <c r="G4375" t="n">
        <v>6.3</v>
      </c>
      <c r="H4375" t="n">
        <v>0</v>
      </c>
      <c r="I4375" t="n">
        <v>0</v>
      </c>
      <c r="J4375" t="n">
        <v>0</v>
      </c>
      <c r="K4375" t="n">
        <v>0</v>
      </c>
      <c r="L4375" t="n">
        <v>0</v>
      </c>
      <c r="M4375" t="n">
        <v>0</v>
      </c>
      <c r="N4375" t="n">
        <v>0</v>
      </c>
      <c r="O4375" t="n">
        <v>0</v>
      </c>
      <c r="P4375" t="n">
        <v>0</v>
      </c>
      <c r="Q4375" t="n">
        <v>0</v>
      </c>
      <c r="R4375" s="2" t="inlineStr"/>
    </row>
    <row r="4376" ht="15" customHeight="1">
      <c r="A4376" t="inlineStr">
        <is>
          <t>A 40266-2023</t>
        </is>
      </c>
      <c r="B4376" s="1" t="n">
        <v>45169</v>
      </c>
      <c r="C4376" s="1" t="n">
        <v>45846</v>
      </c>
      <c r="D4376" t="inlineStr">
        <is>
          <t>UPPSALA LÄN</t>
        </is>
      </c>
      <c r="E4376" t="inlineStr">
        <is>
          <t>HEBY</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40306-2023</t>
        </is>
      </c>
      <c r="B4377" s="1" t="n">
        <v>45169</v>
      </c>
      <c r="C4377" s="1" t="n">
        <v>45846</v>
      </c>
      <c r="D4377" t="inlineStr">
        <is>
          <t>UPPSALA LÄN</t>
        </is>
      </c>
      <c r="E4377" t="inlineStr">
        <is>
          <t>ENKÖPING</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40251-2023</t>
        </is>
      </c>
      <c r="B4378" s="1" t="n">
        <v>45169</v>
      </c>
      <c r="C4378" s="1" t="n">
        <v>45846</v>
      </c>
      <c r="D4378" t="inlineStr">
        <is>
          <t>UPPSALA LÄN</t>
        </is>
      </c>
      <c r="E4378" t="inlineStr">
        <is>
          <t>HEBY</t>
        </is>
      </c>
      <c r="F4378" t="inlineStr">
        <is>
          <t>Kyrkan</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40303-2023</t>
        </is>
      </c>
      <c r="B4379" s="1" t="n">
        <v>45169</v>
      </c>
      <c r="C4379" s="1" t="n">
        <v>45846</v>
      </c>
      <c r="D4379" t="inlineStr">
        <is>
          <t>UPPSALA LÄN</t>
        </is>
      </c>
      <c r="E4379" t="inlineStr">
        <is>
          <t>HEBY</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40325-2023</t>
        </is>
      </c>
      <c r="B4380" s="1" t="n">
        <v>45169</v>
      </c>
      <c r="C4380" s="1" t="n">
        <v>45846</v>
      </c>
      <c r="D4380" t="inlineStr">
        <is>
          <t>UPPSALA LÄN</t>
        </is>
      </c>
      <c r="E4380" t="inlineStr">
        <is>
          <t>UPPSALA</t>
        </is>
      </c>
      <c r="F4380" t="inlineStr">
        <is>
          <t>Kommuner</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40534-2023</t>
        </is>
      </c>
      <c r="B4381" s="1" t="n">
        <v>45170</v>
      </c>
      <c r="C4381" s="1" t="n">
        <v>45846</v>
      </c>
      <c r="D4381" t="inlineStr">
        <is>
          <t>UPPSALA LÄN</t>
        </is>
      </c>
      <c r="E4381" t="inlineStr">
        <is>
          <t>TIERP</t>
        </is>
      </c>
      <c r="F4381" t="inlineStr">
        <is>
          <t>Bergvik skog väst AB</t>
        </is>
      </c>
      <c r="G4381" t="n">
        <v>7.4</v>
      </c>
      <c r="H4381" t="n">
        <v>0</v>
      </c>
      <c r="I4381" t="n">
        <v>0</v>
      </c>
      <c r="J4381" t="n">
        <v>0</v>
      </c>
      <c r="K4381" t="n">
        <v>0</v>
      </c>
      <c r="L4381" t="n">
        <v>0</v>
      </c>
      <c r="M4381" t="n">
        <v>0</v>
      </c>
      <c r="N4381" t="n">
        <v>0</v>
      </c>
      <c r="O4381" t="n">
        <v>0</v>
      </c>
      <c r="P4381" t="n">
        <v>0</v>
      </c>
      <c r="Q4381" t="n">
        <v>0</v>
      </c>
      <c r="R4381" s="2" t="inlineStr"/>
    </row>
    <row r="4382" ht="15" customHeight="1">
      <c r="A4382" t="inlineStr">
        <is>
          <t>A 40624-2023</t>
        </is>
      </c>
      <c r="B4382" s="1" t="n">
        <v>45170</v>
      </c>
      <c r="C4382" s="1" t="n">
        <v>45846</v>
      </c>
      <c r="D4382" t="inlineStr">
        <is>
          <t>UPPSALA LÄN</t>
        </is>
      </c>
      <c r="E4382" t="inlineStr">
        <is>
          <t>TIERP</t>
        </is>
      </c>
      <c r="F4382" t="inlineStr">
        <is>
          <t>Bergvik skog väst AB</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40547-2023</t>
        </is>
      </c>
      <c r="B4383" s="1" t="n">
        <v>45170</v>
      </c>
      <c r="C4383" s="1" t="n">
        <v>45846</v>
      </c>
      <c r="D4383" t="inlineStr">
        <is>
          <t>UPPSALA LÄN</t>
        </is>
      </c>
      <c r="E4383" t="inlineStr">
        <is>
          <t>ÖSTHAMMAR</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40916-2023</t>
        </is>
      </c>
      <c r="B4384" s="1" t="n">
        <v>45173</v>
      </c>
      <c r="C4384" s="1" t="n">
        <v>45846</v>
      </c>
      <c r="D4384" t="inlineStr">
        <is>
          <t>UPPSALA LÄN</t>
        </is>
      </c>
      <c r="E4384" t="inlineStr">
        <is>
          <t>TIERP</t>
        </is>
      </c>
      <c r="F4384" t="inlineStr">
        <is>
          <t>Bergvik skog väst AB</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40924-2023</t>
        </is>
      </c>
      <c r="B4385" s="1" t="n">
        <v>45173</v>
      </c>
      <c r="C4385" s="1" t="n">
        <v>45846</v>
      </c>
      <c r="D4385" t="inlineStr">
        <is>
          <t>UPPSALA LÄN</t>
        </is>
      </c>
      <c r="E4385" t="inlineStr">
        <is>
          <t>HEBY</t>
        </is>
      </c>
      <c r="G4385" t="n">
        <v>5.1</v>
      </c>
      <c r="H4385" t="n">
        <v>0</v>
      </c>
      <c r="I4385" t="n">
        <v>0</v>
      </c>
      <c r="J4385" t="n">
        <v>0</v>
      </c>
      <c r="K4385" t="n">
        <v>0</v>
      </c>
      <c r="L4385" t="n">
        <v>0</v>
      </c>
      <c r="M4385" t="n">
        <v>0</v>
      </c>
      <c r="N4385" t="n">
        <v>0</v>
      </c>
      <c r="O4385" t="n">
        <v>0</v>
      </c>
      <c r="P4385" t="n">
        <v>0</v>
      </c>
      <c r="Q4385" t="n">
        <v>0</v>
      </c>
      <c r="R4385" s="2" t="inlineStr"/>
    </row>
    <row r="4386" ht="15" customHeight="1">
      <c r="A4386" t="inlineStr">
        <is>
          <t>A 40938-2023</t>
        </is>
      </c>
      <c r="B4386" s="1" t="n">
        <v>45173</v>
      </c>
      <c r="C4386" s="1" t="n">
        <v>45846</v>
      </c>
      <c r="D4386" t="inlineStr">
        <is>
          <t>UPPSALA LÄN</t>
        </is>
      </c>
      <c r="E4386" t="inlineStr">
        <is>
          <t>ÖSTHAMMAR</t>
        </is>
      </c>
      <c r="F4386" t="inlineStr">
        <is>
          <t>Bergvik skog öst AB</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40946-2023</t>
        </is>
      </c>
      <c r="B4387" s="1" t="n">
        <v>45173</v>
      </c>
      <c r="C4387" s="1" t="n">
        <v>45846</v>
      </c>
      <c r="D4387" t="inlineStr">
        <is>
          <t>UPPSALA LÄN</t>
        </is>
      </c>
      <c r="E4387" t="inlineStr">
        <is>
          <t>ÖSTHAMMAR</t>
        </is>
      </c>
      <c r="F4387" t="inlineStr">
        <is>
          <t>Bergvik skog öst AB</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41000-2023</t>
        </is>
      </c>
      <c r="B4388" s="1" t="n">
        <v>45173</v>
      </c>
      <c r="C4388" s="1" t="n">
        <v>45846</v>
      </c>
      <c r="D4388" t="inlineStr">
        <is>
          <t>UPPSALA LÄN</t>
        </is>
      </c>
      <c r="E4388" t="inlineStr">
        <is>
          <t>ÄLVKARLEBY</t>
        </is>
      </c>
      <c r="F4388" t="inlineStr">
        <is>
          <t>Bergvik skog väst AB</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40864-2023</t>
        </is>
      </c>
      <c r="B4389" s="1" t="n">
        <v>45173</v>
      </c>
      <c r="C4389" s="1" t="n">
        <v>45846</v>
      </c>
      <c r="D4389" t="inlineStr">
        <is>
          <t>UPPSALA LÄN</t>
        </is>
      </c>
      <c r="E4389" t="inlineStr">
        <is>
          <t>TIERP</t>
        </is>
      </c>
      <c r="F4389" t="inlineStr">
        <is>
          <t>Bergvik skog väst AB</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40872-2023</t>
        </is>
      </c>
      <c r="B4390" s="1" t="n">
        <v>45173</v>
      </c>
      <c r="C4390" s="1" t="n">
        <v>45846</v>
      </c>
      <c r="D4390" t="inlineStr">
        <is>
          <t>UPPSALA LÄN</t>
        </is>
      </c>
      <c r="E4390" t="inlineStr">
        <is>
          <t>UPPSALA</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40926-2023</t>
        </is>
      </c>
      <c r="B4391" s="1" t="n">
        <v>45173</v>
      </c>
      <c r="C4391" s="1" t="n">
        <v>45846</v>
      </c>
      <c r="D4391" t="inlineStr">
        <is>
          <t>UPPSALA LÄN</t>
        </is>
      </c>
      <c r="E4391" t="inlineStr">
        <is>
          <t>HEBY</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40913-2023</t>
        </is>
      </c>
      <c r="B4392" s="1" t="n">
        <v>45173</v>
      </c>
      <c r="C4392" s="1" t="n">
        <v>45846</v>
      </c>
      <c r="D4392" t="inlineStr">
        <is>
          <t>UPPSALA LÄN</t>
        </is>
      </c>
      <c r="E4392" t="inlineStr">
        <is>
          <t>TIERP</t>
        </is>
      </c>
      <c r="F4392" t="inlineStr">
        <is>
          <t>Bergvik skog väst AB</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40952-2023</t>
        </is>
      </c>
      <c r="B4393" s="1" t="n">
        <v>45173</v>
      </c>
      <c r="C4393" s="1" t="n">
        <v>45846</v>
      </c>
      <c r="D4393" t="inlineStr">
        <is>
          <t>UPPSALA LÄN</t>
        </is>
      </c>
      <c r="E4393" t="inlineStr">
        <is>
          <t>ÖSTHAMMAR</t>
        </is>
      </c>
      <c r="F4393" t="inlineStr">
        <is>
          <t>Bergvik skog öst AB</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41002-2023</t>
        </is>
      </c>
      <c r="B4394" s="1" t="n">
        <v>45173</v>
      </c>
      <c r="C4394" s="1" t="n">
        <v>45846</v>
      </c>
      <c r="D4394" t="inlineStr">
        <is>
          <t>UPPSALA LÄN</t>
        </is>
      </c>
      <c r="E4394" t="inlineStr">
        <is>
          <t>UPPSALA</t>
        </is>
      </c>
      <c r="G4394" t="n">
        <v>6.2</v>
      </c>
      <c r="H4394" t="n">
        <v>0</v>
      </c>
      <c r="I4394" t="n">
        <v>0</v>
      </c>
      <c r="J4394" t="n">
        <v>0</v>
      </c>
      <c r="K4394" t="n">
        <v>0</v>
      </c>
      <c r="L4394" t="n">
        <v>0</v>
      </c>
      <c r="M4394" t="n">
        <v>0</v>
      </c>
      <c r="N4394" t="n">
        <v>0</v>
      </c>
      <c r="O4394" t="n">
        <v>0</v>
      </c>
      <c r="P4394" t="n">
        <v>0</v>
      </c>
      <c r="Q4394" t="n">
        <v>0</v>
      </c>
      <c r="R4394" s="2" t="inlineStr"/>
    </row>
    <row r="4395" ht="15" customHeight="1">
      <c r="A4395" t="inlineStr">
        <is>
          <t>A 41478-2023</t>
        </is>
      </c>
      <c r="B4395" s="1" t="n">
        <v>45173</v>
      </c>
      <c r="C4395" s="1" t="n">
        <v>45846</v>
      </c>
      <c r="D4395" t="inlineStr">
        <is>
          <t>UPPSALA LÄN</t>
        </is>
      </c>
      <c r="E4395" t="inlineStr">
        <is>
          <t>ENKÖPING</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41549-2023</t>
        </is>
      </c>
      <c r="B4396" s="1" t="n">
        <v>45173</v>
      </c>
      <c r="C4396" s="1" t="n">
        <v>45846</v>
      </c>
      <c r="D4396" t="inlineStr">
        <is>
          <t>UPPSALA LÄN</t>
        </is>
      </c>
      <c r="E4396" t="inlineStr">
        <is>
          <t>ENKÖPING</t>
        </is>
      </c>
      <c r="G4396" t="n">
        <v>4.5</v>
      </c>
      <c r="H4396" t="n">
        <v>0</v>
      </c>
      <c r="I4396" t="n">
        <v>0</v>
      </c>
      <c r="J4396" t="n">
        <v>0</v>
      </c>
      <c r="K4396" t="n">
        <v>0</v>
      </c>
      <c r="L4396" t="n">
        <v>0</v>
      </c>
      <c r="M4396" t="n">
        <v>0</v>
      </c>
      <c r="N4396" t="n">
        <v>0</v>
      </c>
      <c r="O4396" t="n">
        <v>0</v>
      </c>
      <c r="P4396" t="n">
        <v>0</v>
      </c>
      <c r="Q4396" t="n">
        <v>0</v>
      </c>
      <c r="R4396" s="2" t="inlineStr"/>
    </row>
    <row r="4397" ht="15" customHeight="1">
      <c r="A4397" t="inlineStr">
        <is>
          <t>A 41225-2023</t>
        </is>
      </c>
      <c r="B4397" s="1" t="n">
        <v>45174</v>
      </c>
      <c r="C4397" s="1" t="n">
        <v>45846</v>
      </c>
      <c r="D4397" t="inlineStr">
        <is>
          <t>UPPSALA LÄN</t>
        </is>
      </c>
      <c r="E4397" t="inlineStr">
        <is>
          <t>TIERP</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41223-2023</t>
        </is>
      </c>
      <c r="B4398" s="1" t="n">
        <v>45174</v>
      </c>
      <c r="C4398" s="1" t="n">
        <v>45846</v>
      </c>
      <c r="D4398" t="inlineStr">
        <is>
          <t>UPPSALA LÄN</t>
        </is>
      </c>
      <c r="E4398" t="inlineStr">
        <is>
          <t>TIERP</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41349-2023</t>
        </is>
      </c>
      <c r="B4399" s="1" t="n">
        <v>45174</v>
      </c>
      <c r="C4399" s="1" t="n">
        <v>45846</v>
      </c>
      <c r="D4399" t="inlineStr">
        <is>
          <t>UPPSALA LÄN</t>
        </is>
      </c>
      <c r="E4399" t="inlineStr">
        <is>
          <t>UPPSALA</t>
        </is>
      </c>
      <c r="F4399" t="inlineStr">
        <is>
          <t>Allmännings- och besparingsskogar</t>
        </is>
      </c>
      <c r="G4399" t="n">
        <v>5.6</v>
      </c>
      <c r="H4399" t="n">
        <v>0</v>
      </c>
      <c r="I4399" t="n">
        <v>0</v>
      </c>
      <c r="J4399" t="n">
        <v>0</v>
      </c>
      <c r="K4399" t="n">
        <v>0</v>
      </c>
      <c r="L4399" t="n">
        <v>0</v>
      </c>
      <c r="M4399" t="n">
        <v>0</v>
      </c>
      <c r="N4399" t="n">
        <v>0</v>
      </c>
      <c r="O4399" t="n">
        <v>0</v>
      </c>
      <c r="P4399" t="n">
        <v>0</v>
      </c>
      <c r="Q4399" t="n">
        <v>0</v>
      </c>
      <c r="R4399" s="2" t="inlineStr"/>
    </row>
    <row r="4400" ht="15" customHeight="1">
      <c r="A4400" t="inlineStr">
        <is>
          <t>A 41263-2023</t>
        </is>
      </c>
      <c r="B4400" s="1" t="n">
        <v>45174</v>
      </c>
      <c r="C4400" s="1" t="n">
        <v>45846</v>
      </c>
      <c r="D4400" t="inlineStr">
        <is>
          <t>UPPSALA LÄN</t>
        </is>
      </c>
      <c r="E4400" t="inlineStr">
        <is>
          <t>ÄLVKARLEBY</t>
        </is>
      </c>
      <c r="F4400" t="inlineStr">
        <is>
          <t>Bergvik skog väst AB</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41272-2023</t>
        </is>
      </c>
      <c r="B4401" s="1" t="n">
        <v>45174</v>
      </c>
      <c r="C4401" s="1" t="n">
        <v>45846</v>
      </c>
      <c r="D4401" t="inlineStr">
        <is>
          <t>UPPSALA LÄN</t>
        </is>
      </c>
      <c r="E4401" t="inlineStr">
        <is>
          <t>ÄLVKARLEBY</t>
        </is>
      </c>
      <c r="F4401" t="inlineStr">
        <is>
          <t>Bergvik skog väst AB</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41276-2023</t>
        </is>
      </c>
      <c r="B4402" s="1" t="n">
        <v>45174</v>
      </c>
      <c r="C4402" s="1" t="n">
        <v>45846</v>
      </c>
      <c r="D4402" t="inlineStr">
        <is>
          <t>UPPSALA LÄN</t>
        </is>
      </c>
      <c r="E4402" t="inlineStr">
        <is>
          <t>ÄLVKARLEBY</t>
        </is>
      </c>
      <c r="F4402" t="inlineStr">
        <is>
          <t>Bergvik skog väst AB</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41308-2023</t>
        </is>
      </c>
      <c r="B4403" s="1" t="n">
        <v>45174</v>
      </c>
      <c r="C4403" s="1" t="n">
        <v>45846</v>
      </c>
      <c r="D4403" t="inlineStr">
        <is>
          <t>UPPSALA LÄN</t>
        </is>
      </c>
      <c r="E4403" t="inlineStr">
        <is>
          <t>ÖSTHAMMAR</t>
        </is>
      </c>
      <c r="F4403" t="inlineStr">
        <is>
          <t>Övriga Aktiebolag</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41346-2023</t>
        </is>
      </c>
      <c r="B4404" s="1" t="n">
        <v>45174</v>
      </c>
      <c r="C4404" s="1" t="n">
        <v>45846</v>
      </c>
      <c r="D4404" t="inlineStr">
        <is>
          <t>UPPSALA LÄN</t>
        </is>
      </c>
      <c r="E4404" t="inlineStr">
        <is>
          <t>UPPSALA</t>
        </is>
      </c>
      <c r="F4404" t="inlineStr">
        <is>
          <t>Allmännings- och besparingsskogar</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41182-2023</t>
        </is>
      </c>
      <c r="B4405" s="1" t="n">
        <v>45174</v>
      </c>
      <c r="C4405" s="1" t="n">
        <v>45846</v>
      </c>
      <c r="D4405" t="inlineStr">
        <is>
          <t>UPPSALA LÄN</t>
        </is>
      </c>
      <c r="E4405" t="inlineStr">
        <is>
          <t>TIERP</t>
        </is>
      </c>
      <c r="F4405" t="inlineStr">
        <is>
          <t>Bergvik skog öst AB</t>
        </is>
      </c>
      <c r="G4405" t="n">
        <v>14.8</v>
      </c>
      <c r="H4405" t="n">
        <v>0</v>
      </c>
      <c r="I4405" t="n">
        <v>0</v>
      </c>
      <c r="J4405" t="n">
        <v>0</v>
      </c>
      <c r="K4405" t="n">
        <v>0</v>
      </c>
      <c r="L4405" t="n">
        <v>0</v>
      </c>
      <c r="M4405" t="n">
        <v>0</v>
      </c>
      <c r="N4405" t="n">
        <v>0</v>
      </c>
      <c r="O4405" t="n">
        <v>0</v>
      </c>
      <c r="P4405" t="n">
        <v>0</v>
      </c>
      <c r="Q4405" t="n">
        <v>0</v>
      </c>
      <c r="R4405" s="2" t="inlineStr"/>
    </row>
    <row r="4406" ht="15" customHeight="1">
      <c r="A4406" t="inlineStr">
        <is>
          <t>A 41506-2023</t>
        </is>
      </c>
      <c r="B4406" s="1" t="n">
        <v>45175</v>
      </c>
      <c r="C4406" s="1" t="n">
        <v>45846</v>
      </c>
      <c r="D4406" t="inlineStr">
        <is>
          <t>UPPSALA LÄN</t>
        </is>
      </c>
      <c r="E4406" t="inlineStr">
        <is>
          <t>UPPSALA</t>
        </is>
      </c>
      <c r="F4406" t="inlineStr">
        <is>
          <t>Kyrkan</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41541-2023</t>
        </is>
      </c>
      <c r="B4407" s="1" t="n">
        <v>45175</v>
      </c>
      <c r="C4407" s="1" t="n">
        <v>45846</v>
      </c>
      <c r="D4407" t="inlineStr">
        <is>
          <t>UPPSALA LÄN</t>
        </is>
      </c>
      <c r="E4407" t="inlineStr">
        <is>
          <t>UPPSALA</t>
        </is>
      </c>
      <c r="G4407" t="n">
        <v>11.7</v>
      </c>
      <c r="H4407" t="n">
        <v>0</v>
      </c>
      <c r="I4407" t="n">
        <v>0</v>
      </c>
      <c r="J4407" t="n">
        <v>0</v>
      </c>
      <c r="K4407" t="n">
        <v>0</v>
      </c>
      <c r="L4407" t="n">
        <v>0</v>
      </c>
      <c r="M4407" t="n">
        <v>0</v>
      </c>
      <c r="N4407" t="n">
        <v>0</v>
      </c>
      <c r="O4407" t="n">
        <v>0</v>
      </c>
      <c r="P4407" t="n">
        <v>0</v>
      </c>
      <c r="Q4407" t="n">
        <v>0</v>
      </c>
      <c r="R4407" s="2" t="inlineStr"/>
    </row>
    <row r="4408" ht="15" customHeight="1">
      <c r="A4408" t="inlineStr">
        <is>
          <t>A 41546-2023</t>
        </is>
      </c>
      <c r="B4408" s="1" t="n">
        <v>45175</v>
      </c>
      <c r="C4408" s="1" t="n">
        <v>45846</v>
      </c>
      <c r="D4408" t="inlineStr">
        <is>
          <t>UPPSALA LÄN</t>
        </is>
      </c>
      <c r="E4408" t="inlineStr">
        <is>
          <t>HEBY</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41575-2023</t>
        </is>
      </c>
      <c r="B4409" s="1" t="n">
        <v>45175</v>
      </c>
      <c r="C4409" s="1" t="n">
        <v>45846</v>
      </c>
      <c r="D4409" t="inlineStr">
        <is>
          <t>UPPSALA LÄN</t>
        </is>
      </c>
      <c r="E4409" t="inlineStr">
        <is>
          <t>HEBY</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41545-2023</t>
        </is>
      </c>
      <c r="B4410" s="1" t="n">
        <v>45175</v>
      </c>
      <c r="C4410" s="1" t="n">
        <v>45846</v>
      </c>
      <c r="D4410" t="inlineStr">
        <is>
          <t>UPPSALA LÄN</t>
        </is>
      </c>
      <c r="E4410" t="inlineStr">
        <is>
          <t>UPPSALA</t>
        </is>
      </c>
      <c r="G4410" t="n">
        <v>6.6</v>
      </c>
      <c r="H4410" t="n">
        <v>0</v>
      </c>
      <c r="I4410" t="n">
        <v>0</v>
      </c>
      <c r="J4410" t="n">
        <v>0</v>
      </c>
      <c r="K4410" t="n">
        <v>0</v>
      </c>
      <c r="L4410" t="n">
        <v>0</v>
      </c>
      <c r="M4410" t="n">
        <v>0</v>
      </c>
      <c r="N4410" t="n">
        <v>0</v>
      </c>
      <c r="O4410" t="n">
        <v>0</v>
      </c>
      <c r="P4410" t="n">
        <v>0</v>
      </c>
      <c r="Q4410" t="n">
        <v>0</v>
      </c>
      <c r="R4410" s="2" t="inlineStr"/>
    </row>
    <row r="4411" ht="15" customHeight="1">
      <c r="A4411" t="inlineStr">
        <is>
          <t>A 41422-2023</t>
        </is>
      </c>
      <c r="B4411" s="1" t="n">
        <v>45175</v>
      </c>
      <c r="C4411" s="1" t="n">
        <v>45846</v>
      </c>
      <c r="D4411" t="inlineStr">
        <is>
          <t>UPPSALA LÄN</t>
        </is>
      </c>
      <c r="E4411" t="inlineStr">
        <is>
          <t>UPPSALA</t>
        </is>
      </c>
      <c r="F4411" t="inlineStr">
        <is>
          <t>Kyrkan</t>
        </is>
      </c>
      <c r="G4411" t="n">
        <v>5.2</v>
      </c>
      <c r="H4411" t="n">
        <v>0</v>
      </c>
      <c r="I4411" t="n">
        <v>0</v>
      </c>
      <c r="J4411" t="n">
        <v>0</v>
      </c>
      <c r="K4411" t="n">
        <v>0</v>
      </c>
      <c r="L4411" t="n">
        <v>0</v>
      </c>
      <c r="M4411" t="n">
        <v>0</v>
      </c>
      <c r="N4411" t="n">
        <v>0</v>
      </c>
      <c r="O4411" t="n">
        <v>0</v>
      </c>
      <c r="P4411" t="n">
        <v>0</v>
      </c>
      <c r="Q4411" t="n">
        <v>0</v>
      </c>
      <c r="R4411" s="2" t="inlineStr"/>
    </row>
    <row r="4412" ht="15" customHeight="1">
      <c r="A4412" t="inlineStr">
        <is>
          <t>A 41489-2023</t>
        </is>
      </c>
      <c r="B4412" s="1" t="n">
        <v>45175</v>
      </c>
      <c r="C4412" s="1" t="n">
        <v>45846</v>
      </c>
      <c r="D4412" t="inlineStr">
        <is>
          <t>UPPSALA LÄN</t>
        </is>
      </c>
      <c r="E4412" t="inlineStr">
        <is>
          <t>ÖSTHAMMAR</t>
        </is>
      </c>
      <c r="F4412" t="inlineStr">
        <is>
          <t>Bergvik skog öst AB</t>
        </is>
      </c>
      <c r="G4412" t="n">
        <v>4.2</v>
      </c>
      <c r="H4412" t="n">
        <v>0</v>
      </c>
      <c r="I4412" t="n">
        <v>0</v>
      </c>
      <c r="J4412" t="n">
        <v>0</v>
      </c>
      <c r="K4412" t="n">
        <v>0</v>
      </c>
      <c r="L4412" t="n">
        <v>0</v>
      </c>
      <c r="M4412" t="n">
        <v>0</v>
      </c>
      <c r="N4412" t="n">
        <v>0</v>
      </c>
      <c r="O4412" t="n">
        <v>0</v>
      </c>
      <c r="P4412" t="n">
        <v>0</v>
      </c>
      <c r="Q4412" t="n">
        <v>0</v>
      </c>
      <c r="R4412" s="2" t="inlineStr"/>
    </row>
    <row r="4413" ht="15" customHeight="1">
      <c r="A4413" t="inlineStr">
        <is>
          <t>A 41538-2023</t>
        </is>
      </c>
      <c r="B4413" s="1" t="n">
        <v>45175</v>
      </c>
      <c r="C4413" s="1" t="n">
        <v>45846</v>
      </c>
      <c r="D4413" t="inlineStr">
        <is>
          <t>UPPSALA LÄN</t>
        </is>
      </c>
      <c r="E4413" t="inlineStr">
        <is>
          <t>UPPSALA</t>
        </is>
      </c>
      <c r="G4413" t="n">
        <v>11.8</v>
      </c>
      <c r="H4413" t="n">
        <v>0</v>
      </c>
      <c r="I4413" t="n">
        <v>0</v>
      </c>
      <c r="J4413" t="n">
        <v>0</v>
      </c>
      <c r="K4413" t="n">
        <v>0</v>
      </c>
      <c r="L4413" t="n">
        <v>0</v>
      </c>
      <c r="M4413" t="n">
        <v>0</v>
      </c>
      <c r="N4413" t="n">
        <v>0</v>
      </c>
      <c r="O4413" t="n">
        <v>0</v>
      </c>
      <c r="P4413" t="n">
        <v>0</v>
      </c>
      <c r="Q4413" t="n">
        <v>0</v>
      </c>
      <c r="R4413" s="2" t="inlineStr"/>
    </row>
    <row r="4414" ht="15" customHeight="1">
      <c r="A4414" t="inlineStr">
        <is>
          <t>A 41556-2023</t>
        </is>
      </c>
      <c r="B4414" s="1" t="n">
        <v>45175</v>
      </c>
      <c r="C4414" s="1" t="n">
        <v>45846</v>
      </c>
      <c r="D4414" t="inlineStr">
        <is>
          <t>UPPSALA LÄN</t>
        </is>
      </c>
      <c r="E4414" t="inlineStr">
        <is>
          <t>HEBY</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41599-2023</t>
        </is>
      </c>
      <c r="B4415" s="1" t="n">
        <v>45175</v>
      </c>
      <c r="C4415" s="1" t="n">
        <v>45846</v>
      </c>
      <c r="D4415" t="inlineStr">
        <is>
          <t>UPPSALA LÄN</t>
        </is>
      </c>
      <c r="E4415" t="inlineStr">
        <is>
          <t>HEBY</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42283-2023</t>
        </is>
      </c>
      <c r="B4416" s="1" t="n">
        <v>45175</v>
      </c>
      <c r="C4416" s="1" t="n">
        <v>45846</v>
      </c>
      <c r="D4416" t="inlineStr">
        <is>
          <t>UPPSALA LÄN</t>
        </is>
      </c>
      <c r="E4416" t="inlineStr">
        <is>
          <t>UPPSALA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41669-2023</t>
        </is>
      </c>
      <c r="B4417" s="1" t="n">
        <v>45176</v>
      </c>
      <c r="C4417" s="1" t="n">
        <v>45846</v>
      </c>
      <c r="D4417" t="inlineStr">
        <is>
          <t>UPPSALA LÄN</t>
        </is>
      </c>
      <c r="E4417" t="inlineStr">
        <is>
          <t>UPPSALA</t>
        </is>
      </c>
      <c r="F4417" t="inlineStr">
        <is>
          <t>Övriga Aktiebolag</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41821-2023</t>
        </is>
      </c>
      <c r="B4418" s="1" t="n">
        <v>45176</v>
      </c>
      <c r="C4418" s="1" t="n">
        <v>45846</v>
      </c>
      <c r="D4418" t="inlineStr">
        <is>
          <t>UPPSALA LÄN</t>
        </is>
      </c>
      <c r="E4418" t="inlineStr">
        <is>
          <t>ÖSTHAMMAR</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41802-2023</t>
        </is>
      </c>
      <c r="B4419" s="1" t="n">
        <v>45176</v>
      </c>
      <c r="C4419" s="1" t="n">
        <v>45846</v>
      </c>
      <c r="D4419" t="inlineStr">
        <is>
          <t>UPPSALA LÄN</t>
        </is>
      </c>
      <c r="E4419" t="inlineStr">
        <is>
          <t>UPPSALA</t>
        </is>
      </c>
      <c r="G4419" t="n">
        <v>23.9</v>
      </c>
      <c r="H4419" t="n">
        <v>0</v>
      </c>
      <c r="I4419" t="n">
        <v>0</v>
      </c>
      <c r="J4419" t="n">
        <v>0</v>
      </c>
      <c r="K4419" t="n">
        <v>0</v>
      </c>
      <c r="L4419" t="n">
        <v>0</v>
      </c>
      <c r="M4419" t="n">
        <v>0</v>
      </c>
      <c r="N4419" t="n">
        <v>0</v>
      </c>
      <c r="O4419" t="n">
        <v>0</v>
      </c>
      <c r="P4419" t="n">
        <v>0</v>
      </c>
      <c r="Q4419" t="n">
        <v>0</v>
      </c>
      <c r="R4419" s="2" t="inlineStr"/>
    </row>
    <row r="4420" ht="15" customHeight="1">
      <c r="A4420" t="inlineStr">
        <is>
          <t>A 41816-2023</t>
        </is>
      </c>
      <c r="B4420" s="1" t="n">
        <v>45176</v>
      </c>
      <c r="C4420" s="1" t="n">
        <v>45846</v>
      </c>
      <c r="D4420" t="inlineStr">
        <is>
          <t>UPPSALA LÄN</t>
        </is>
      </c>
      <c r="E4420" t="inlineStr">
        <is>
          <t>UPPSALA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41829-2023</t>
        </is>
      </c>
      <c r="B4421" s="1" t="n">
        <v>45176</v>
      </c>
      <c r="C4421" s="1" t="n">
        <v>45846</v>
      </c>
      <c r="D4421" t="inlineStr">
        <is>
          <t>UPPSALA LÄN</t>
        </is>
      </c>
      <c r="E4421" t="inlineStr">
        <is>
          <t>ÖSTHAMMAR</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41726-2023</t>
        </is>
      </c>
      <c r="B4422" s="1" t="n">
        <v>45176</v>
      </c>
      <c r="C4422" s="1" t="n">
        <v>45846</v>
      </c>
      <c r="D4422" t="inlineStr">
        <is>
          <t>UPPSALA LÄN</t>
        </is>
      </c>
      <c r="E4422" t="inlineStr">
        <is>
          <t>TIERP</t>
        </is>
      </c>
      <c r="F4422" t="inlineStr">
        <is>
          <t>Bergvik skog väst AB</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42083-2023</t>
        </is>
      </c>
      <c r="B4423" s="1" t="n">
        <v>45176</v>
      </c>
      <c r="C4423" s="1" t="n">
        <v>45846</v>
      </c>
      <c r="D4423" t="inlineStr">
        <is>
          <t>UPPSALA LÄN</t>
        </is>
      </c>
      <c r="E4423" t="inlineStr">
        <is>
          <t>TIERP</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41945-2023</t>
        </is>
      </c>
      <c r="B4424" s="1" t="n">
        <v>45177</v>
      </c>
      <c r="C4424" s="1" t="n">
        <v>45846</v>
      </c>
      <c r="D4424" t="inlineStr">
        <is>
          <t>UPPSALA LÄN</t>
        </is>
      </c>
      <c r="E4424" t="inlineStr">
        <is>
          <t>ENKÖPING</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41950-2023</t>
        </is>
      </c>
      <c r="B4425" s="1" t="n">
        <v>45177</v>
      </c>
      <c r="C4425" s="1" t="n">
        <v>45846</v>
      </c>
      <c r="D4425" t="inlineStr">
        <is>
          <t>UPPSALA LÄN</t>
        </is>
      </c>
      <c r="E4425" t="inlineStr">
        <is>
          <t>UPPSALA</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42134-2023</t>
        </is>
      </c>
      <c r="B4426" s="1" t="n">
        <v>45177</v>
      </c>
      <c r="C4426" s="1" t="n">
        <v>45846</v>
      </c>
      <c r="D4426" t="inlineStr">
        <is>
          <t>UPPSALA LÄN</t>
        </is>
      </c>
      <c r="E4426" t="inlineStr">
        <is>
          <t>UPPSALA</t>
        </is>
      </c>
      <c r="F4426" t="inlineStr">
        <is>
          <t>Allmännings- och besparingsskogar</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42063-2023</t>
        </is>
      </c>
      <c r="B4427" s="1" t="n">
        <v>45177</v>
      </c>
      <c r="C4427" s="1" t="n">
        <v>45846</v>
      </c>
      <c r="D4427" t="inlineStr">
        <is>
          <t>UPPSALA LÄN</t>
        </is>
      </c>
      <c r="E4427" t="inlineStr">
        <is>
          <t>UPPSALA</t>
        </is>
      </c>
      <c r="G4427" t="n">
        <v>5.6</v>
      </c>
      <c r="H4427" t="n">
        <v>0</v>
      </c>
      <c r="I4427" t="n">
        <v>0</v>
      </c>
      <c r="J4427" t="n">
        <v>0</v>
      </c>
      <c r="K4427" t="n">
        <v>0</v>
      </c>
      <c r="L4427" t="n">
        <v>0</v>
      </c>
      <c r="M4427" t="n">
        <v>0</v>
      </c>
      <c r="N4427" t="n">
        <v>0</v>
      </c>
      <c r="O4427" t="n">
        <v>0</v>
      </c>
      <c r="P4427" t="n">
        <v>0</v>
      </c>
      <c r="Q4427" t="n">
        <v>0</v>
      </c>
      <c r="R4427" s="2" t="inlineStr"/>
    </row>
    <row r="4428" ht="15" customHeight="1">
      <c r="A4428" t="inlineStr">
        <is>
          <t>A 42131-2023</t>
        </is>
      </c>
      <c r="B4428" s="1" t="n">
        <v>45177</v>
      </c>
      <c r="C4428" s="1" t="n">
        <v>45846</v>
      </c>
      <c r="D4428" t="inlineStr">
        <is>
          <t>UPPSALA LÄN</t>
        </is>
      </c>
      <c r="E4428" t="inlineStr">
        <is>
          <t>UPPSALA</t>
        </is>
      </c>
      <c r="F4428" t="inlineStr">
        <is>
          <t>Allmännings- och besparingsskogar</t>
        </is>
      </c>
      <c r="G4428" t="n">
        <v>6.3</v>
      </c>
      <c r="H4428" t="n">
        <v>0</v>
      </c>
      <c r="I4428" t="n">
        <v>0</v>
      </c>
      <c r="J4428" t="n">
        <v>0</v>
      </c>
      <c r="K4428" t="n">
        <v>0</v>
      </c>
      <c r="L4428" t="n">
        <v>0</v>
      </c>
      <c r="M4428" t="n">
        <v>0</v>
      </c>
      <c r="N4428" t="n">
        <v>0</v>
      </c>
      <c r="O4428" t="n">
        <v>0</v>
      </c>
      <c r="P4428" t="n">
        <v>0</v>
      </c>
      <c r="Q4428" t="n">
        <v>0</v>
      </c>
      <c r="R4428" s="2" t="inlineStr"/>
    </row>
    <row r="4429" ht="15" customHeight="1">
      <c r="A4429" t="inlineStr">
        <is>
          <t>A 42273-2023</t>
        </is>
      </c>
      <c r="B4429" s="1" t="n">
        <v>45180</v>
      </c>
      <c r="C4429" s="1" t="n">
        <v>45846</v>
      </c>
      <c r="D4429" t="inlineStr">
        <is>
          <t>UPPSALA LÄN</t>
        </is>
      </c>
      <c r="E4429" t="inlineStr">
        <is>
          <t>UPPSALA</t>
        </is>
      </c>
      <c r="F4429" t="inlineStr">
        <is>
          <t>Bergvik skog öst AB</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42436-2023</t>
        </is>
      </c>
      <c r="B4430" s="1" t="n">
        <v>45180</v>
      </c>
      <c r="C4430" s="1" t="n">
        <v>45846</v>
      </c>
      <c r="D4430" t="inlineStr">
        <is>
          <t>UPPSALA LÄN</t>
        </is>
      </c>
      <c r="E4430" t="inlineStr">
        <is>
          <t>UPPSALA</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42282-2023</t>
        </is>
      </c>
      <c r="B4431" s="1" t="n">
        <v>45180</v>
      </c>
      <c r="C4431" s="1" t="n">
        <v>45846</v>
      </c>
      <c r="D4431" t="inlineStr">
        <is>
          <t>UPPSALA LÄN</t>
        </is>
      </c>
      <c r="E4431" t="inlineStr">
        <is>
          <t>UPPSALA</t>
        </is>
      </c>
      <c r="F4431" t="inlineStr">
        <is>
          <t>Bergvik skog öst AB</t>
        </is>
      </c>
      <c r="G4431" t="n">
        <v>5</v>
      </c>
      <c r="H4431" t="n">
        <v>0</v>
      </c>
      <c r="I4431" t="n">
        <v>0</v>
      </c>
      <c r="J4431" t="n">
        <v>0</v>
      </c>
      <c r="K4431" t="n">
        <v>0</v>
      </c>
      <c r="L4431" t="n">
        <v>0</v>
      </c>
      <c r="M4431" t="n">
        <v>0</v>
      </c>
      <c r="N4431" t="n">
        <v>0</v>
      </c>
      <c r="O4431" t="n">
        <v>0</v>
      </c>
      <c r="P4431" t="n">
        <v>0</v>
      </c>
      <c r="Q4431" t="n">
        <v>0</v>
      </c>
      <c r="R4431" s="2" t="inlineStr"/>
    </row>
    <row r="4432" ht="15" customHeight="1">
      <c r="A4432" t="inlineStr">
        <is>
          <t>A 42274-2023</t>
        </is>
      </c>
      <c r="B4432" s="1" t="n">
        <v>45180</v>
      </c>
      <c r="C4432" s="1" t="n">
        <v>45846</v>
      </c>
      <c r="D4432" t="inlineStr">
        <is>
          <t>UPPSALA LÄN</t>
        </is>
      </c>
      <c r="E4432" t="inlineStr">
        <is>
          <t>UPPSALA</t>
        </is>
      </c>
      <c r="F4432" t="inlineStr">
        <is>
          <t>Bergvik skog öst AB</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42285-2023</t>
        </is>
      </c>
      <c r="B4433" s="1" t="n">
        <v>45180</v>
      </c>
      <c r="C4433" s="1" t="n">
        <v>45846</v>
      </c>
      <c r="D4433" t="inlineStr">
        <is>
          <t>UPPSALA LÄN</t>
        </is>
      </c>
      <c r="E4433" t="inlineStr">
        <is>
          <t>UPPSALA</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42376-2023</t>
        </is>
      </c>
      <c r="B4434" s="1" t="n">
        <v>45180</v>
      </c>
      <c r="C4434" s="1" t="n">
        <v>45846</v>
      </c>
      <c r="D4434" t="inlineStr">
        <is>
          <t>UPPSALA LÄN</t>
        </is>
      </c>
      <c r="E4434" t="inlineStr">
        <is>
          <t>UPPSALA</t>
        </is>
      </c>
      <c r="F4434" t="inlineStr">
        <is>
          <t>Bergvik skog öst AB</t>
        </is>
      </c>
      <c r="G4434" t="n">
        <v>9.199999999999999</v>
      </c>
      <c r="H4434" t="n">
        <v>0</v>
      </c>
      <c r="I4434" t="n">
        <v>0</v>
      </c>
      <c r="J4434" t="n">
        <v>0</v>
      </c>
      <c r="K4434" t="n">
        <v>0</v>
      </c>
      <c r="L4434" t="n">
        <v>0</v>
      </c>
      <c r="M4434" t="n">
        <v>0</v>
      </c>
      <c r="N4434" t="n">
        <v>0</v>
      </c>
      <c r="O4434" t="n">
        <v>0</v>
      </c>
      <c r="P4434" t="n">
        <v>0</v>
      </c>
      <c r="Q4434" t="n">
        <v>0</v>
      </c>
      <c r="R4434" s="2" t="inlineStr"/>
    </row>
    <row r="4435" ht="15" customHeight="1">
      <c r="A4435" t="inlineStr">
        <is>
          <t>A 42495-2023</t>
        </is>
      </c>
      <c r="B4435" s="1" t="n">
        <v>45180</v>
      </c>
      <c r="C4435" s="1" t="n">
        <v>45846</v>
      </c>
      <c r="D4435" t="inlineStr">
        <is>
          <t>UPPSALA LÄN</t>
        </is>
      </c>
      <c r="E4435" t="inlineStr">
        <is>
          <t>UPPSALA</t>
        </is>
      </c>
      <c r="F4435" t="inlineStr">
        <is>
          <t>Allmännings- och besparingsskogar</t>
        </is>
      </c>
      <c r="G4435" t="n">
        <v>13.7</v>
      </c>
      <c r="H4435" t="n">
        <v>0</v>
      </c>
      <c r="I4435" t="n">
        <v>0</v>
      </c>
      <c r="J4435" t="n">
        <v>0</v>
      </c>
      <c r="K4435" t="n">
        <v>0</v>
      </c>
      <c r="L4435" t="n">
        <v>0</v>
      </c>
      <c r="M4435" t="n">
        <v>0</v>
      </c>
      <c r="N4435" t="n">
        <v>0</v>
      </c>
      <c r="O4435" t="n">
        <v>0</v>
      </c>
      <c r="P4435" t="n">
        <v>0</v>
      </c>
      <c r="Q4435" t="n">
        <v>0</v>
      </c>
      <c r="R4435" s="2" t="inlineStr"/>
    </row>
    <row r="4436" ht="15" customHeight="1">
      <c r="A4436" t="inlineStr">
        <is>
          <t>A 42270-2023</t>
        </is>
      </c>
      <c r="B4436" s="1" t="n">
        <v>45180</v>
      </c>
      <c r="C4436" s="1" t="n">
        <v>45846</v>
      </c>
      <c r="D4436" t="inlineStr">
        <is>
          <t>UPPSALA LÄN</t>
        </is>
      </c>
      <c r="E4436" t="inlineStr">
        <is>
          <t>TIERP</t>
        </is>
      </c>
      <c r="F4436" t="inlineStr">
        <is>
          <t>Bergvik skog väst AB</t>
        </is>
      </c>
      <c r="G4436" t="n">
        <v>9.699999999999999</v>
      </c>
      <c r="H4436" t="n">
        <v>0</v>
      </c>
      <c r="I4436" t="n">
        <v>0</v>
      </c>
      <c r="J4436" t="n">
        <v>0</v>
      </c>
      <c r="K4436" t="n">
        <v>0</v>
      </c>
      <c r="L4436" t="n">
        <v>0</v>
      </c>
      <c r="M4436" t="n">
        <v>0</v>
      </c>
      <c r="N4436" t="n">
        <v>0</v>
      </c>
      <c r="O4436" t="n">
        <v>0</v>
      </c>
      <c r="P4436" t="n">
        <v>0</v>
      </c>
      <c r="Q4436" t="n">
        <v>0</v>
      </c>
      <c r="R4436" s="2" t="inlineStr"/>
    </row>
    <row r="4437" ht="15" customHeight="1">
      <c r="A4437" t="inlineStr">
        <is>
          <t>A 42379-2023</t>
        </is>
      </c>
      <c r="B4437" s="1" t="n">
        <v>45180</v>
      </c>
      <c r="C4437" s="1" t="n">
        <v>45846</v>
      </c>
      <c r="D4437" t="inlineStr">
        <is>
          <t>UPPSALA LÄN</t>
        </is>
      </c>
      <c r="E4437" t="inlineStr">
        <is>
          <t>UPPSALA</t>
        </is>
      </c>
      <c r="F4437" t="inlineStr">
        <is>
          <t>Bergvik skog öst AB</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43494-2023</t>
        </is>
      </c>
      <c r="B4438" s="1" t="n">
        <v>45181</v>
      </c>
      <c r="C4438" s="1" t="n">
        <v>45846</v>
      </c>
      <c r="D4438" t="inlineStr">
        <is>
          <t>UPPSALA LÄN</t>
        </is>
      </c>
      <c r="E4438" t="inlineStr">
        <is>
          <t>ENKÖPING</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43510-2023</t>
        </is>
      </c>
      <c r="B4439" s="1" t="n">
        <v>45181</v>
      </c>
      <c r="C4439" s="1" t="n">
        <v>45846</v>
      </c>
      <c r="D4439" t="inlineStr">
        <is>
          <t>UPPSALA LÄN</t>
        </is>
      </c>
      <c r="E4439" t="inlineStr">
        <is>
          <t>ENKÖPING</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43506-2023</t>
        </is>
      </c>
      <c r="B4440" s="1" t="n">
        <v>45181</v>
      </c>
      <c r="C4440" s="1" t="n">
        <v>45846</v>
      </c>
      <c r="D4440" t="inlineStr">
        <is>
          <t>UPPSALA LÄN</t>
        </is>
      </c>
      <c r="E4440" t="inlineStr">
        <is>
          <t>ENKÖPING</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43488-2023</t>
        </is>
      </c>
      <c r="B4441" s="1" t="n">
        <v>45181</v>
      </c>
      <c r="C4441" s="1" t="n">
        <v>45846</v>
      </c>
      <c r="D4441" t="inlineStr">
        <is>
          <t>UPPSALA LÄN</t>
        </is>
      </c>
      <c r="E4441" t="inlineStr">
        <is>
          <t>ENKÖPING</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43492-2023</t>
        </is>
      </c>
      <c r="B4442" s="1" t="n">
        <v>45181</v>
      </c>
      <c r="C4442" s="1" t="n">
        <v>45846</v>
      </c>
      <c r="D4442" t="inlineStr">
        <is>
          <t>UPPSALA LÄN</t>
        </is>
      </c>
      <c r="E4442" t="inlineStr">
        <is>
          <t>ENKÖPING</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43499-2023</t>
        </is>
      </c>
      <c r="B4443" s="1" t="n">
        <v>45181</v>
      </c>
      <c r="C4443" s="1" t="n">
        <v>45846</v>
      </c>
      <c r="D4443" t="inlineStr">
        <is>
          <t>UPPSALA LÄN</t>
        </is>
      </c>
      <c r="E4443" t="inlineStr">
        <is>
          <t>ENKÖPING</t>
        </is>
      </c>
      <c r="G4443" t="n">
        <v>7.3</v>
      </c>
      <c r="H4443" t="n">
        <v>0</v>
      </c>
      <c r="I4443" t="n">
        <v>0</v>
      </c>
      <c r="J4443" t="n">
        <v>0</v>
      </c>
      <c r="K4443" t="n">
        <v>0</v>
      </c>
      <c r="L4443" t="n">
        <v>0</v>
      </c>
      <c r="M4443" t="n">
        <v>0</v>
      </c>
      <c r="N4443" t="n">
        <v>0</v>
      </c>
      <c r="O4443" t="n">
        <v>0</v>
      </c>
      <c r="P4443" t="n">
        <v>0</v>
      </c>
      <c r="Q4443" t="n">
        <v>0</v>
      </c>
      <c r="R4443" s="2" t="inlineStr"/>
    </row>
    <row r="4444" ht="15" customHeight="1">
      <c r="A4444" t="inlineStr">
        <is>
          <t>A 42528-2023</t>
        </is>
      </c>
      <c r="B4444" s="1" t="n">
        <v>45181</v>
      </c>
      <c r="C4444" s="1" t="n">
        <v>45846</v>
      </c>
      <c r="D4444" t="inlineStr">
        <is>
          <t>UPPSALA LÄN</t>
        </is>
      </c>
      <c r="E4444" t="inlineStr">
        <is>
          <t>UPPSALA</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43605-2023</t>
        </is>
      </c>
      <c r="B4445" s="1" t="n">
        <v>45181</v>
      </c>
      <c r="C4445" s="1" t="n">
        <v>45846</v>
      </c>
      <c r="D4445" t="inlineStr">
        <is>
          <t>UPPSALA LÄN</t>
        </is>
      </c>
      <c r="E4445" t="inlineStr">
        <is>
          <t>TIERP</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42630-2023</t>
        </is>
      </c>
      <c r="B4446" s="1" t="n">
        <v>45181</v>
      </c>
      <c r="C4446" s="1" t="n">
        <v>45846</v>
      </c>
      <c r="D4446" t="inlineStr">
        <is>
          <t>UPPSALA LÄN</t>
        </is>
      </c>
      <c r="E4446" t="inlineStr">
        <is>
          <t>UPPSALA</t>
        </is>
      </c>
      <c r="F4446" t="inlineStr">
        <is>
          <t>Holmen skog AB</t>
        </is>
      </c>
      <c r="G4446" t="n">
        <v>4.5</v>
      </c>
      <c r="H4446" t="n">
        <v>0</v>
      </c>
      <c r="I4446" t="n">
        <v>0</v>
      </c>
      <c r="J4446" t="n">
        <v>0</v>
      </c>
      <c r="K4446" t="n">
        <v>0</v>
      </c>
      <c r="L4446" t="n">
        <v>0</v>
      </c>
      <c r="M4446" t="n">
        <v>0</v>
      </c>
      <c r="N4446" t="n">
        <v>0</v>
      </c>
      <c r="O4446" t="n">
        <v>0</v>
      </c>
      <c r="P4446" t="n">
        <v>0</v>
      </c>
      <c r="Q4446" t="n">
        <v>0</v>
      </c>
      <c r="R4446" s="2" t="inlineStr"/>
    </row>
    <row r="4447" ht="15" customHeight="1">
      <c r="A4447" t="inlineStr">
        <is>
          <t>A 42681-2023</t>
        </is>
      </c>
      <c r="B4447" s="1" t="n">
        <v>45181</v>
      </c>
      <c r="C4447" s="1" t="n">
        <v>45846</v>
      </c>
      <c r="D4447" t="inlineStr">
        <is>
          <t>UPPSALA LÄN</t>
        </is>
      </c>
      <c r="E4447" t="inlineStr">
        <is>
          <t>UPPSALA</t>
        </is>
      </c>
      <c r="F4447" t="inlineStr">
        <is>
          <t>Bergvik skog öst AB</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42691-2023</t>
        </is>
      </c>
      <c r="B4448" s="1" t="n">
        <v>45181</v>
      </c>
      <c r="C4448" s="1" t="n">
        <v>45846</v>
      </c>
      <c r="D4448" t="inlineStr">
        <is>
          <t>UPPSALA LÄN</t>
        </is>
      </c>
      <c r="E4448" t="inlineStr">
        <is>
          <t>HEBY</t>
        </is>
      </c>
      <c r="G4448" t="n">
        <v>4</v>
      </c>
      <c r="H4448" t="n">
        <v>0</v>
      </c>
      <c r="I4448" t="n">
        <v>0</v>
      </c>
      <c r="J4448" t="n">
        <v>0</v>
      </c>
      <c r="K4448" t="n">
        <v>0</v>
      </c>
      <c r="L4448" t="n">
        <v>0</v>
      </c>
      <c r="M4448" t="n">
        <v>0</v>
      </c>
      <c r="N4448" t="n">
        <v>0</v>
      </c>
      <c r="O4448" t="n">
        <v>0</v>
      </c>
      <c r="P4448" t="n">
        <v>0</v>
      </c>
      <c r="Q4448" t="n">
        <v>0</v>
      </c>
      <c r="R4448" s="2" t="inlineStr"/>
    </row>
    <row r="4449" ht="15" customHeight="1">
      <c r="A4449" t="inlineStr">
        <is>
          <t>A 42543-2023</t>
        </is>
      </c>
      <c r="B4449" s="1" t="n">
        <v>45181</v>
      </c>
      <c r="C4449" s="1" t="n">
        <v>45846</v>
      </c>
      <c r="D4449" t="inlineStr">
        <is>
          <t>UPPSALA LÄN</t>
        </is>
      </c>
      <c r="E4449" t="inlineStr">
        <is>
          <t>UPPSALA</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42730-2023</t>
        </is>
      </c>
      <c r="B4450" s="1" t="n">
        <v>45181</v>
      </c>
      <c r="C4450" s="1" t="n">
        <v>45846</v>
      </c>
      <c r="D4450" t="inlineStr">
        <is>
          <t>UPPSALA LÄN</t>
        </is>
      </c>
      <c r="E4450" t="inlineStr">
        <is>
          <t>UPPSALA</t>
        </is>
      </c>
      <c r="F4450" t="inlineStr">
        <is>
          <t>Holmen skog AB</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42734-2023</t>
        </is>
      </c>
      <c r="B4451" s="1" t="n">
        <v>45181</v>
      </c>
      <c r="C4451" s="1" t="n">
        <v>45846</v>
      </c>
      <c r="D4451" t="inlineStr">
        <is>
          <t>UPPSALA LÄN</t>
        </is>
      </c>
      <c r="E4451" t="inlineStr">
        <is>
          <t>UPPSALA</t>
        </is>
      </c>
      <c r="F4451" t="inlineStr">
        <is>
          <t>Bergvik skog öst AB</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42682-2023</t>
        </is>
      </c>
      <c r="B4452" s="1" t="n">
        <v>45181</v>
      </c>
      <c r="C4452" s="1" t="n">
        <v>45846</v>
      </c>
      <c r="D4452" t="inlineStr">
        <is>
          <t>UPPSALA LÄN</t>
        </is>
      </c>
      <c r="E4452" t="inlineStr">
        <is>
          <t>UPPSALA</t>
        </is>
      </c>
      <c r="F4452" t="inlineStr">
        <is>
          <t>Bergvik skog öst AB</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42714-2023</t>
        </is>
      </c>
      <c r="B4453" s="1" t="n">
        <v>45181</v>
      </c>
      <c r="C4453" s="1" t="n">
        <v>45846</v>
      </c>
      <c r="D4453" t="inlineStr">
        <is>
          <t>UPPSALA LÄN</t>
        </is>
      </c>
      <c r="E4453" t="inlineStr">
        <is>
          <t>HEBY</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42725-2023</t>
        </is>
      </c>
      <c r="B4454" s="1" t="n">
        <v>45181</v>
      </c>
      <c r="C4454" s="1" t="n">
        <v>45846</v>
      </c>
      <c r="D4454" t="inlineStr">
        <is>
          <t>UPPSALA LÄN</t>
        </is>
      </c>
      <c r="E4454" t="inlineStr">
        <is>
          <t>HEBY</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42600-2023</t>
        </is>
      </c>
      <c r="B4455" s="1" t="n">
        <v>45181</v>
      </c>
      <c r="C4455" s="1" t="n">
        <v>45846</v>
      </c>
      <c r="D4455" t="inlineStr">
        <is>
          <t>UPPSALA LÄN</t>
        </is>
      </c>
      <c r="E4455" t="inlineStr">
        <is>
          <t>ÄLVKARLEBY</t>
        </is>
      </c>
      <c r="G4455" t="n">
        <v>1.7</v>
      </c>
      <c r="H4455" t="n">
        <v>0</v>
      </c>
      <c r="I4455" t="n">
        <v>0</v>
      </c>
      <c r="J4455" t="n">
        <v>0</v>
      </c>
      <c r="K4455" t="n">
        <v>0</v>
      </c>
      <c r="L4455" t="n">
        <v>0</v>
      </c>
      <c r="M4455" t="n">
        <v>0</v>
      </c>
      <c r="N4455" t="n">
        <v>0</v>
      </c>
      <c r="O4455" t="n">
        <v>0</v>
      </c>
      <c r="P4455" t="n">
        <v>0</v>
      </c>
      <c r="Q4455" t="n">
        <v>0</v>
      </c>
      <c r="R4455" s="2" t="inlineStr"/>
      <c r="U4455">
        <f>HYPERLINK("https://klasma.github.io/Logging_0319/knärot/A 42600-2023 karta knärot.png", "A 42600-2023")</f>
        <v/>
      </c>
      <c r="V4455">
        <f>HYPERLINK("https://klasma.github.io/Logging_0319/klagomål/A 42600-2023 FSC-klagomål.docx", "A 42600-2023")</f>
        <v/>
      </c>
      <c r="W4455">
        <f>HYPERLINK("https://klasma.github.io/Logging_0319/klagomålsmail/A 42600-2023 FSC-klagomål mail.docx", "A 42600-2023")</f>
        <v/>
      </c>
      <c r="X4455">
        <f>HYPERLINK("https://klasma.github.io/Logging_0319/tillsyn/A 42600-2023 tillsynsbegäran.docx", "A 42600-2023")</f>
        <v/>
      </c>
      <c r="Y4455">
        <f>HYPERLINK("https://klasma.github.io/Logging_0319/tillsynsmail/A 42600-2023 tillsynsbegäran mail.docx", "A 42600-2023")</f>
        <v/>
      </c>
    </row>
    <row r="4456" ht="15" customHeight="1">
      <c r="A4456" t="inlineStr">
        <is>
          <t>A 42642-2023</t>
        </is>
      </c>
      <c r="B4456" s="1" t="n">
        <v>45181</v>
      </c>
      <c r="C4456" s="1" t="n">
        <v>45846</v>
      </c>
      <c r="D4456" t="inlineStr">
        <is>
          <t>UPPSALA LÄN</t>
        </is>
      </c>
      <c r="E4456" t="inlineStr">
        <is>
          <t>TIERP</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42722-2023</t>
        </is>
      </c>
      <c r="B4457" s="1" t="n">
        <v>45181</v>
      </c>
      <c r="C4457" s="1" t="n">
        <v>45846</v>
      </c>
      <c r="D4457" t="inlineStr">
        <is>
          <t>UPPSALA LÄN</t>
        </is>
      </c>
      <c r="E4457" t="inlineStr">
        <is>
          <t>UPPSALA</t>
        </is>
      </c>
      <c r="F4457" t="inlineStr">
        <is>
          <t>Holmen skog AB</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42731-2023</t>
        </is>
      </c>
      <c r="B4458" s="1" t="n">
        <v>45181</v>
      </c>
      <c r="C4458" s="1" t="n">
        <v>45846</v>
      </c>
      <c r="D4458" t="inlineStr">
        <is>
          <t>UPPSALA LÄN</t>
        </is>
      </c>
      <c r="E4458" t="inlineStr">
        <is>
          <t>HEBY</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42756-2023</t>
        </is>
      </c>
      <c r="B4459" s="1" t="n">
        <v>45181</v>
      </c>
      <c r="C4459" s="1" t="n">
        <v>45846</v>
      </c>
      <c r="D4459" t="inlineStr">
        <is>
          <t>UPPSALA LÄN</t>
        </is>
      </c>
      <c r="E4459" t="inlineStr">
        <is>
          <t>UPPSALA</t>
        </is>
      </c>
      <c r="F4459" t="inlineStr">
        <is>
          <t>Holmen skog AB</t>
        </is>
      </c>
      <c r="G4459" t="n">
        <v>8.1</v>
      </c>
      <c r="H4459" t="n">
        <v>0</v>
      </c>
      <c r="I4459" t="n">
        <v>0</v>
      </c>
      <c r="J4459" t="n">
        <v>0</v>
      </c>
      <c r="K4459" t="n">
        <v>0</v>
      </c>
      <c r="L4459" t="n">
        <v>0</v>
      </c>
      <c r="M4459" t="n">
        <v>0</v>
      </c>
      <c r="N4459" t="n">
        <v>0</v>
      </c>
      <c r="O4459" t="n">
        <v>0</v>
      </c>
      <c r="P4459" t="n">
        <v>0</v>
      </c>
      <c r="Q4459" t="n">
        <v>0</v>
      </c>
      <c r="R4459" s="2" t="inlineStr"/>
    </row>
    <row r="4460" ht="15" customHeight="1">
      <c r="A4460" t="inlineStr">
        <is>
          <t>A 42971-2023</t>
        </is>
      </c>
      <c r="B4460" s="1" t="n">
        <v>45182</v>
      </c>
      <c r="C4460" s="1" t="n">
        <v>45846</v>
      </c>
      <c r="D4460" t="inlineStr">
        <is>
          <t>UPPSALA LÄN</t>
        </is>
      </c>
      <c r="E4460" t="inlineStr">
        <is>
          <t>UPPSALA</t>
        </is>
      </c>
      <c r="F4460" t="inlineStr">
        <is>
          <t>Sveaskog</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43026-2023</t>
        </is>
      </c>
      <c r="B4461" s="1" t="n">
        <v>45182</v>
      </c>
      <c r="C4461" s="1" t="n">
        <v>45846</v>
      </c>
      <c r="D4461" t="inlineStr">
        <is>
          <t>UPPSALA LÄN</t>
        </is>
      </c>
      <c r="E4461" t="inlineStr">
        <is>
          <t>UPPSALA</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42914-2023</t>
        </is>
      </c>
      <c r="B4462" s="1" t="n">
        <v>45182</v>
      </c>
      <c r="C4462" s="1" t="n">
        <v>45846</v>
      </c>
      <c r="D4462" t="inlineStr">
        <is>
          <t>UPPSALA LÄN</t>
        </is>
      </c>
      <c r="E4462" t="inlineStr">
        <is>
          <t>HEBY</t>
        </is>
      </c>
      <c r="G4462" t="n">
        <v>4.3</v>
      </c>
      <c r="H4462" t="n">
        <v>0</v>
      </c>
      <c r="I4462" t="n">
        <v>0</v>
      </c>
      <c r="J4462" t="n">
        <v>0</v>
      </c>
      <c r="K4462" t="n">
        <v>0</v>
      </c>
      <c r="L4462" t="n">
        <v>0</v>
      </c>
      <c r="M4462" t="n">
        <v>0</v>
      </c>
      <c r="N4462" t="n">
        <v>0</v>
      </c>
      <c r="O4462" t="n">
        <v>0</v>
      </c>
      <c r="P4462" t="n">
        <v>0</v>
      </c>
      <c r="Q4462" t="n">
        <v>0</v>
      </c>
      <c r="R4462" s="2" t="inlineStr"/>
    </row>
    <row r="4463" ht="15" customHeight="1">
      <c r="A4463" t="inlineStr">
        <is>
          <t>A 42877-2023</t>
        </is>
      </c>
      <c r="B4463" s="1" t="n">
        <v>45182</v>
      </c>
      <c r="C4463" s="1" t="n">
        <v>45846</v>
      </c>
      <c r="D4463" t="inlineStr">
        <is>
          <t>UPPSALA LÄN</t>
        </is>
      </c>
      <c r="E4463" t="inlineStr">
        <is>
          <t>TIERP</t>
        </is>
      </c>
      <c r="F4463" t="inlineStr">
        <is>
          <t>Bergvik skog väst AB</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42958-2023</t>
        </is>
      </c>
      <c r="B4464" s="1" t="n">
        <v>45182</v>
      </c>
      <c r="C4464" s="1" t="n">
        <v>45846</v>
      </c>
      <c r="D4464" t="inlineStr">
        <is>
          <t>UPPSALA LÄN</t>
        </is>
      </c>
      <c r="E4464" t="inlineStr">
        <is>
          <t>HEBY</t>
        </is>
      </c>
      <c r="G4464" t="n">
        <v>12.6</v>
      </c>
      <c r="H4464" t="n">
        <v>0</v>
      </c>
      <c r="I4464" t="n">
        <v>0</v>
      </c>
      <c r="J4464" t="n">
        <v>0</v>
      </c>
      <c r="K4464" t="n">
        <v>0</v>
      </c>
      <c r="L4464" t="n">
        <v>0</v>
      </c>
      <c r="M4464" t="n">
        <v>0</v>
      </c>
      <c r="N4464" t="n">
        <v>0</v>
      </c>
      <c r="O4464" t="n">
        <v>0</v>
      </c>
      <c r="P4464" t="n">
        <v>0</v>
      </c>
      <c r="Q4464" t="n">
        <v>0</v>
      </c>
      <c r="R4464" s="2" t="inlineStr"/>
    </row>
    <row r="4465" ht="15" customHeight="1">
      <c r="A4465" t="inlineStr">
        <is>
          <t>A 42963-2023</t>
        </is>
      </c>
      <c r="B4465" s="1" t="n">
        <v>45182</v>
      </c>
      <c r="C4465" s="1" t="n">
        <v>45846</v>
      </c>
      <c r="D4465" t="inlineStr">
        <is>
          <t>UPPSALA LÄN</t>
        </is>
      </c>
      <c r="E4465" t="inlineStr">
        <is>
          <t>UPPSALA</t>
        </is>
      </c>
      <c r="F4465" t="inlineStr">
        <is>
          <t>Sveaskog</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42967-2023</t>
        </is>
      </c>
      <c r="B4466" s="1" t="n">
        <v>45182</v>
      </c>
      <c r="C4466" s="1" t="n">
        <v>45846</v>
      </c>
      <c r="D4466" t="inlineStr">
        <is>
          <t>UPPSALA LÄN</t>
        </is>
      </c>
      <c r="E4466" t="inlineStr">
        <is>
          <t>UPPSALA</t>
        </is>
      </c>
      <c r="F4466" t="inlineStr">
        <is>
          <t>Sveaskog</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43031-2023</t>
        </is>
      </c>
      <c r="B4467" s="1" t="n">
        <v>45182</v>
      </c>
      <c r="C4467" s="1" t="n">
        <v>45846</v>
      </c>
      <c r="D4467" t="inlineStr">
        <is>
          <t>UPPSALA LÄN</t>
        </is>
      </c>
      <c r="E4467" t="inlineStr">
        <is>
          <t>UPPSALA</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43035-2023</t>
        </is>
      </c>
      <c r="B4468" s="1" t="n">
        <v>45182</v>
      </c>
      <c r="C4468" s="1" t="n">
        <v>45846</v>
      </c>
      <c r="D4468" t="inlineStr">
        <is>
          <t>UPPSALA LÄN</t>
        </is>
      </c>
      <c r="E4468" t="inlineStr">
        <is>
          <t>UPPSALA</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42873-2023</t>
        </is>
      </c>
      <c r="B4469" s="1" t="n">
        <v>45182</v>
      </c>
      <c r="C4469" s="1" t="n">
        <v>45846</v>
      </c>
      <c r="D4469" t="inlineStr">
        <is>
          <t>UPPSALA LÄN</t>
        </is>
      </c>
      <c r="E4469" t="inlineStr">
        <is>
          <t>TIERP</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43049-2023</t>
        </is>
      </c>
      <c r="B4470" s="1" t="n">
        <v>45182</v>
      </c>
      <c r="C4470" s="1" t="n">
        <v>45846</v>
      </c>
      <c r="D4470" t="inlineStr">
        <is>
          <t>UPPSALA LÄN</t>
        </is>
      </c>
      <c r="E4470" t="inlineStr">
        <is>
          <t>UPPSALA</t>
        </is>
      </c>
      <c r="F4470" t="inlineStr">
        <is>
          <t>Allmännings- och besparingsskogar</t>
        </is>
      </c>
      <c r="G4470" t="n">
        <v>14.5</v>
      </c>
      <c r="H4470" t="n">
        <v>0</v>
      </c>
      <c r="I4470" t="n">
        <v>0</v>
      </c>
      <c r="J4470" t="n">
        <v>0</v>
      </c>
      <c r="K4470" t="n">
        <v>0</v>
      </c>
      <c r="L4470" t="n">
        <v>0</v>
      </c>
      <c r="M4470" t="n">
        <v>0</v>
      </c>
      <c r="N4470" t="n">
        <v>0</v>
      </c>
      <c r="O4470" t="n">
        <v>0</v>
      </c>
      <c r="P4470" t="n">
        <v>0</v>
      </c>
      <c r="Q4470" t="n">
        <v>0</v>
      </c>
      <c r="R4470" s="2" t="inlineStr"/>
    </row>
    <row r="4471" ht="15" customHeight="1">
      <c r="A4471" t="inlineStr">
        <is>
          <t>A 42974-2023</t>
        </is>
      </c>
      <c r="B4471" s="1" t="n">
        <v>45182</v>
      </c>
      <c r="C4471" s="1" t="n">
        <v>45846</v>
      </c>
      <c r="D4471" t="inlineStr">
        <is>
          <t>UPPSALA LÄN</t>
        </is>
      </c>
      <c r="E4471" t="inlineStr">
        <is>
          <t>UPPSALA</t>
        </is>
      </c>
      <c r="F4471" t="inlineStr">
        <is>
          <t>Sveaskog</t>
        </is>
      </c>
      <c r="G4471" t="n">
        <v>3.7</v>
      </c>
      <c r="H4471" t="n">
        <v>0</v>
      </c>
      <c r="I4471" t="n">
        <v>0</v>
      </c>
      <c r="J4471" t="n">
        <v>0</v>
      </c>
      <c r="K4471" t="n">
        <v>0</v>
      </c>
      <c r="L4471" t="n">
        <v>0</v>
      </c>
      <c r="M4471" t="n">
        <v>0</v>
      </c>
      <c r="N4471" t="n">
        <v>0</v>
      </c>
      <c r="O4471" t="n">
        <v>0</v>
      </c>
      <c r="P4471" t="n">
        <v>0</v>
      </c>
      <c r="Q4471" t="n">
        <v>0</v>
      </c>
      <c r="R4471" s="2" t="inlineStr"/>
      <c r="U4471">
        <f>HYPERLINK("https://klasma.github.io/Logging_0380/knärot/A 42974-2023 karta knärot.png", "A 42974-2023")</f>
        <v/>
      </c>
      <c r="V4471">
        <f>HYPERLINK("https://klasma.github.io/Logging_0380/klagomål/A 42974-2023 FSC-klagomål.docx", "A 42974-2023")</f>
        <v/>
      </c>
      <c r="W4471">
        <f>HYPERLINK("https://klasma.github.io/Logging_0380/klagomålsmail/A 42974-2023 FSC-klagomål mail.docx", "A 42974-2023")</f>
        <v/>
      </c>
      <c r="X4471">
        <f>HYPERLINK("https://klasma.github.io/Logging_0380/tillsyn/A 42974-2023 tillsynsbegäran.docx", "A 42974-2023")</f>
        <v/>
      </c>
      <c r="Y4471">
        <f>HYPERLINK("https://klasma.github.io/Logging_0380/tillsynsmail/A 42974-2023 tillsynsbegäran mail.docx", "A 42974-2023")</f>
        <v/>
      </c>
    </row>
    <row r="4472" ht="15" customHeight="1">
      <c r="A4472" t="inlineStr">
        <is>
          <t>A 42978-2023</t>
        </is>
      </c>
      <c r="B4472" s="1" t="n">
        <v>45182</v>
      </c>
      <c r="C4472" s="1" t="n">
        <v>45846</v>
      </c>
      <c r="D4472" t="inlineStr">
        <is>
          <t>UPPSALA LÄN</t>
        </is>
      </c>
      <c r="E4472" t="inlineStr">
        <is>
          <t>UPPSALA</t>
        </is>
      </c>
      <c r="F4472" t="inlineStr">
        <is>
          <t>Sveaskog</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43029-2023</t>
        </is>
      </c>
      <c r="B4473" s="1" t="n">
        <v>45182</v>
      </c>
      <c r="C4473" s="1" t="n">
        <v>45846</v>
      </c>
      <c r="D4473" t="inlineStr">
        <is>
          <t>UPPSALA LÄN</t>
        </is>
      </c>
      <c r="E4473" t="inlineStr">
        <is>
          <t>UPPSALA</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43818-2023</t>
        </is>
      </c>
      <c r="B4474" s="1" t="n">
        <v>45182</v>
      </c>
      <c r="C4474" s="1" t="n">
        <v>45846</v>
      </c>
      <c r="D4474" t="inlineStr">
        <is>
          <t>UPPSALA LÄN</t>
        </is>
      </c>
      <c r="E4474" t="inlineStr">
        <is>
          <t>UPPSALA</t>
        </is>
      </c>
      <c r="G4474" t="n">
        <v>10.8</v>
      </c>
      <c r="H4474" t="n">
        <v>0</v>
      </c>
      <c r="I4474" t="n">
        <v>0</v>
      </c>
      <c r="J4474" t="n">
        <v>0</v>
      </c>
      <c r="K4474" t="n">
        <v>0</v>
      </c>
      <c r="L4474" t="n">
        <v>0</v>
      </c>
      <c r="M4474" t="n">
        <v>0</v>
      </c>
      <c r="N4474" t="n">
        <v>0</v>
      </c>
      <c r="O4474" t="n">
        <v>0</v>
      </c>
      <c r="P4474" t="n">
        <v>0</v>
      </c>
      <c r="Q4474" t="n">
        <v>0</v>
      </c>
      <c r="R4474" s="2" t="inlineStr"/>
    </row>
    <row r="4475" ht="15" customHeight="1">
      <c r="A4475" t="inlineStr">
        <is>
          <t>A 43795-2023</t>
        </is>
      </c>
      <c r="B4475" s="1" t="n">
        <v>45182</v>
      </c>
      <c r="C4475" s="1" t="n">
        <v>45846</v>
      </c>
      <c r="D4475" t="inlineStr">
        <is>
          <t>UPPSALA LÄN</t>
        </is>
      </c>
      <c r="E4475" t="inlineStr">
        <is>
          <t>UPPSALA</t>
        </is>
      </c>
      <c r="G4475" t="n">
        <v>4.7</v>
      </c>
      <c r="H4475" t="n">
        <v>0</v>
      </c>
      <c r="I4475" t="n">
        <v>0</v>
      </c>
      <c r="J4475" t="n">
        <v>0</v>
      </c>
      <c r="K4475" t="n">
        <v>0</v>
      </c>
      <c r="L4475" t="n">
        <v>0</v>
      </c>
      <c r="M4475" t="n">
        <v>0</v>
      </c>
      <c r="N4475" t="n">
        <v>0</v>
      </c>
      <c r="O4475" t="n">
        <v>0</v>
      </c>
      <c r="P4475" t="n">
        <v>0</v>
      </c>
      <c r="Q4475" t="n">
        <v>0</v>
      </c>
      <c r="R4475" s="2" t="inlineStr"/>
    </row>
    <row r="4476" ht="15" customHeight="1">
      <c r="A4476" t="inlineStr">
        <is>
          <t>A 43230-2023</t>
        </is>
      </c>
      <c r="B4476" s="1" t="n">
        <v>45183</v>
      </c>
      <c r="C4476" s="1" t="n">
        <v>45846</v>
      </c>
      <c r="D4476" t="inlineStr">
        <is>
          <t>UPPSALA LÄN</t>
        </is>
      </c>
      <c r="E4476" t="inlineStr">
        <is>
          <t>ENKÖPING</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43285-2023</t>
        </is>
      </c>
      <c r="B4477" s="1" t="n">
        <v>45183</v>
      </c>
      <c r="C4477" s="1" t="n">
        <v>45846</v>
      </c>
      <c r="D4477" t="inlineStr">
        <is>
          <t>UPPSALA LÄN</t>
        </is>
      </c>
      <c r="E4477" t="inlineStr">
        <is>
          <t>ÄLVKARLEBY</t>
        </is>
      </c>
      <c r="F4477" t="inlineStr">
        <is>
          <t>Bergvik skog väst AB</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43288-2023</t>
        </is>
      </c>
      <c r="B4478" s="1" t="n">
        <v>45183</v>
      </c>
      <c r="C4478" s="1" t="n">
        <v>45846</v>
      </c>
      <c r="D4478" t="inlineStr">
        <is>
          <t>UPPSALA LÄN</t>
        </is>
      </c>
      <c r="E4478" t="inlineStr">
        <is>
          <t>ÄLVKARLEBY</t>
        </is>
      </c>
      <c r="F4478" t="inlineStr">
        <is>
          <t>Bergvik skog väst AB</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43316-2023</t>
        </is>
      </c>
      <c r="B4479" s="1" t="n">
        <v>45183</v>
      </c>
      <c r="C4479" s="1" t="n">
        <v>45846</v>
      </c>
      <c r="D4479" t="inlineStr">
        <is>
          <t>UPPSALA LÄN</t>
        </is>
      </c>
      <c r="E4479" t="inlineStr">
        <is>
          <t>UPPSALA</t>
        </is>
      </c>
      <c r="F4479" t="inlineStr">
        <is>
          <t>Holmen skog AB</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43451-2023</t>
        </is>
      </c>
      <c r="B4480" s="1" t="n">
        <v>45184</v>
      </c>
      <c r="C4480" s="1" t="n">
        <v>45846</v>
      </c>
      <c r="D4480" t="inlineStr">
        <is>
          <t>UPPSALA LÄN</t>
        </is>
      </c>
      <c r="E4480" t="inlineStr">
        <is>
          <t>HEBY</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43450-2023</t>
        </is>
      </c>
      <c r="B4481" s="1" t="n">
        <v>45184</v>
      </c>
      <c r="C4481" s="1" t="n">
        <v>45846</v>
      </c>
      <c r="D4481" t="inlineStr">
        <is>
          <t>UPPSALA LÄN</t>
        </is>
      </c>
      <c r="E4481" t="inlineStr">
        <is>
          <t>HEBY</t>
        </is>
      </c>
      <c r="G4481" t="n">
        <v>5.8</v>
      </c>
      <c r="H4481" t="n">
        <v>0</v>
      </c>
      <c r="I4481" t="n">
        <v>0</v>
      </c>
      <c r="J4481" t="n">
        <v>0</v>
      </c>
      <c r="K4481" t="n">
        <v>0</v>
      </c>
      <c r="L4481" t="n">
        <v>0</v>
      </c>
      <c r="M4481" t="n">
        <v>0</v>
      </c>
      <c r="N4481" t="n">
        <v>0</v>
      </c>
      <c r="O4481" t="n">
        <v>0</v>
      </c>
      <c r="P4481" t="n">
        <v>0</v>
      </c>
      <c r="Q4481" t="n">
        <v>0</v>
      </c>
      <c r="R4481" s="2" t="inlineStr"/>
    </row>
    <row r="4482" ht="15" customHeight="1">
      <c r="A4482" t="inlineStr">
        <is>
          <t>A 43732-2023</t>
        </is>
      </c>
      <c r="B4482" s="1" t="n">
        <v>45187</v>
      </c>
      <c r="C4482" s="1" t="n">
        <v>45846</v>
      </c>
      <c r="D4482" t="inlineStr">
        <is>
          <t>UPPSALA LÄN</t>
        </is>
      </c>
      <c r="E4482" t="inlineStr">
        <is>
          <t>ÖSTHAMMAR</t>
        </is>
      </c>
      <c r="F4482" t="inlineStr">
        <is>
          <t>Övriga Aktiebolag</t>
        </is>
      </c>
      <c r="G4482" t="n">
        <v>4.1</v>
      </c>
      <c r="H4482" t="n">
        <v>0</v>
      </c>
      <c r="I4482" t="n">
        <v>0</v>
      </c>
      <c r="J4482" t="n">
        <v>0</v>
      </c>
      <c r="K4482" t="n">
        <v>0</v>
      </c>
      <c r="L4482" t="n">
        <v>0</v>
      </c>
      <c r="M4482" t="n">
        <v>0</v>
      </c>
      <c r="N4482" t="n">
        <v>0</v>
      </c>
      <c r="O4482" t="n">
        <v>0</v>
      </c>
      <c r="P4482" t="n">
        <v>0</v>
      </c>
      <c r="Q4482" t="n">
        <v>0</v>
      </c>
      <c r="R4482" s="2" t="inlineStr"/>
    </row>
    <row r="4483" ht="15" customHeight="1">
      <c r="A4483" t="inlineStr">
        <is>
          <t>A 43925-2023</t>
        </is>
      </c>
      <c r="B4483" s="1" t="n">
        <v>45187</v>
      </c>
      <c r="C4483" s="1" t="n">
        <v>45846</v>
      </c>
      <c r="D4483" t="inlineStr">
        <is>
          <t>UPPSALA LÄN</t>
        </is>
      </c>
      <c r="E4483" t="inlineStr">
        <is>
          <t>ÖSTHAMMAR</t>
        </is>
      </c>
      <c r="F4483" t="inlineStr">
        <is>
          <t>Allmännings- och besparingsskogar</t>
        </is>
      </c>
      <c r="G4483" t="n">
        <v>20.8</v>
      </c>
      <c r="H4483" t="n">
        <v>0</v>
      </c>
      <c r="I4483" t="n">
        <v>0</v>
      </c>
      <c r="J4483" t="n">
        <v>0</v>
      </c>
      <c r="K4483" t="n">
        <v>0</v>
      </c>
      <c r="L4483" t="n">
        <v>0</v>
      </c>
      <c r="M4483" t="n">
        <v>0</v>
      </c>
      <c r="N4483" t="n">
        <v>0</v>
      </c>
      <c r="O4483" t="n">
        <v>0</v>
      </c>
      <c r="P4483" t="n">
        <v>0</v>
      </c>
      <c r="Q4483" t="n">
        <v>0</v>
      </c>
      <c r="R4483" s="2" t="inlineStr"/>
    </row>
    <row r="4484" ht="15" customHeight="1">
      <c r="A4484" t="inlineStr">
        <is>
          <t>A 43944-2023</t>
        </is>
      </c>
      <c r="B4484" s="1" t="n">
        <v>45187</v>
      </c>
      <c r="C4484" s="1" t="n">
        <v>45846</v>
      </c>
      <c r="D4484" t="inlineStr">
        <is>
          <t>UPPSALA LÄN</t>
        </is>
      </c>
      <c r="E4484" t="inlineStr">
        <is>
          <t>UPPSALA</t>
        </is>
      </c>
      <c r="G4484" t="n">
        <v>16.1</v>
      </c>
      <c r="H4484" t="n">
        <v>0</v>
      </c>
      <c r="I4484" t="n">
        <v>0</v>
      </c>
      <c r="J4484" t="n">
        <v>0</v>
      </c>
      <c r="K4484" t="n">
        <v>0</v>
      </c>
      <c r="L4484" t="n">
        <v>0</v>
      </c>
      <c r="M4484" t="n">
        <v>0</v>
      </c>
      <c r="N4484" t="n">
        <v>0</v>
      </c>
      <c r="O4484" t="n">
        <v>0</v>
      </c>
      <c r="P4484" t="n">
        <v>0</v>
      </c>
      <c r="Q4484" t="n">
        <v>0</v>
      </c>
      <c r="R4484" s="2" t="inlineStr"/>
    </row>
    <row r="4485" ht="15" customHeight="1">
      <c r="A4485" t="inlineStr">
        <is>
          <t>A 43775-2023</t>
        </is>
      </c>
      <c r="B4485" s="1" t="n">
        <v>45187</v>
      </c>
      <c r="C4485" s="1" t="n">
        <v>45846</v>
      </c>
      <c r="D4485" t="inlineStr">
        <is>
          <t>UPPSALA LÄN</t>
        </is>
      </c>
      <c r="E4485" t="inlineStr">
        <is>
          <t>UPPSALA</t>
        </is>
      </c>
      <c r="F4485" t="inlineStr">
        <is>
          <t>Bergvik skog öst AB</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43779-2023</t>
        </is>
      </c>
      <c r="B4486" s="1" t="n">
        <v>45187</v>
      </c>
      <c r="C4486" s="1" t="n">
        <v>45846</v>
      </c>
      <c r="D4486" t="inlineStr">
        <is>
          <t>UPPSALA LÄN</t>
        </is>
      </c>
      <c r="E4486" t="inlineStr">
        <is>
          <t>UPPSALA</t>
        </is>
      </c>
      <c r="F4486" t="inlineStr">
        <is>
          <t>Bergvik skog öst AB</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43776-2023</t>
        </is>
      </c>
      <c r="B4487" s="1" t="n">
        <v>45187</v>
      </c>
      <c r="C4487" s="1" t="n">
        <v>45846</v>
      </c>
      <c r="D4487" t="inlineStr">
        <is>
          <t>UPPSALA LÄN</t>
        </is>
      </c>
      <c r="E4487" t="inlineStr">
        <is>
          <t>UPPSALA</t>
        </is>
      </c>
      <c r="F4487" t="inlineStr">
        <is>
          <t>Bergvik skog öst AB</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43855-2023</t>
        </is>
      </c>
      <c r="B4488" s="1" t="n">
        <v>45187</v>
      </c>
      <c r="C4488" s="1" t="n">
        <v>45846</v>
      </c>
      <c r="D4488" t="inlineStr">
        <is>
          <t>UPPSALA LÄN</t>
        </is>
      </c>
      <c r="E4488" t="inlineStr">
        <is>
          <t>UPPSALA</t>
        </is>
      </c>
      <c r="F4488" t="inlineStr">
        <is>
          <t>Bergvik skog öst AB</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43840-2023</t>
        </is>
      </c>
      <c r="B4489" s="1" t="n">
        <v>45187</v>
      </c>
      <c r="C4489" s="1" t="n">
        <v>45846</v>
      </c>
      <c r="D4489" t="inlineStr">
        <is>
          <t>UPPSALA LÄN</t>
        </is>
      </c>
      <c r="E4489" t="inlineStr">
        <is>
          <t>HEBY</t>
        </is>
      </c>
      <c r="G4489" t="n">
        <v>23.9</v>
      </c>
      <c r="H4489" t="n">
        <v>0</v>
      </c>
      <c r="I4489" t="n">
        <v>0</v>
      </c>
      <c r="J4489" t="n">
        <v>0</v>
      </c>
      <c r="K4489" t="n">
        <v>0</v>
      </c>
      <c r="L4489" t="n">
        <v>0</v>
      </c>
      <c r="M4489" t="n">
        <v>0</v>
      </c>
      <c r="N4489" t="n">
        <v>0</v>
      </c>
      <c r="O4489" t="n">
        <v>0</v>
      </c>
      <c r="P4489" t="n">
        <v>0</v>
      </c>
      <c r="Q4489" t="n">
        <v>0</v>
      </c>
      <c r="R4489" s="2" t="inlineStr"/>
    </row>
    <row r="4490" ht="15" customHeight="1">
      <c r="A4490" t="inlineStr">
        <is>
          <t>A 43905-2023</t>
        </is>
      </c>
      <c r="B4490" s="1" t="n">
        <v>45187</v>
      </c>
      <c r="C4490" s="1" t="n">
        <v>45846</v>
      </c>
      <c r="D4490" t="inlineStr">
        <is>
          <t>UPPSALA LÄN</t>
        </is>
      </c>
      <c r="E4490" t="inlineStr">
        <is>
          <t>KNIVSTA</t>
        </is>
      </c>
      <c r="F4490" t="inlineStr">
        <is>
          <t>Kyrkan</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43915-2023</t>
        </is>
      </c>
      <c r="B4491" s="1" t="n">
        <v>45187</v>
      </c>
      <c r="C4491" s="1" t="n">
        <v>45846</v>
      </c>
      <c r="D4491" t="inlineStr">
        <is>
          <t>UPPSALA LÄN</t>
        </is>
      </c>
      <c r="E4491" t="inlineStr">
        <is>
          <t>ÖSTHAMMAR</t>
        </is>
      </c>
      <c r="F4491" t="inlineStr">
        <is>
          <t>Bergvik skog öst AB</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43722-2023</t>
        </is>
      </c>
      <c r="B4492" s="1" t="n">
        <v>45187</v>
      </c>
      <c r="C4492" s="1" t="n">
        <v>45846</v>
      </c>
      <c r="D4492" t="inlineStr">
        <is>
          <t>UPPSALA LÄN</t>
        </is>
      </c>
      <c r="E4492" t="inlineStr">
        <is>
          <t>TIERP</t>
        </is>
      </c>
      <c r="F4492" t="inlineStr">
        <is>
          <t>Bergvik skog öst AB</t>
        </is>
      </c>
      <c r="G4492" t="n">
        <v>26.7</v>
      </c>
      <c r="H4492" t="n">
        <v>0</v>
      </c>
      <c r="I4492" t="n">
        <v>0</v>
      </c>
      <c r="J4492" t="n">
        <v>0</v>
      </c>
      <c r="K4492" t="n">
        <v>0</v>
      </c>
      <c r="L4492" t="n">
        <v>0</v>
      </c>
      <c r="M4492" t="n">
        <v>0</v>
      </c>
      <c r="N4492" t="n">
        <v>0</v>
      </c>
      <c r="O4492" t="n">
        <v>0</v>
      </c>
      <c r="P4492" t="n">
        <v>0</v>
      </c>
      <c r="Q4492" t="n">
        <v>0</v>
      </c>
      <c r="R4492" s="2" t="inlineStr"/>
    </row>
    <row r="4493" ht="15" customHeight="1">
      <c r="A4493" t="inlineStr">
        <is>
          <t>A 43778-2023</t>
        </is>
      </c>
      <c r="B4493" s="1" t="n">
        <v>45187</v>
      </c>
      <c r="C4493" s="1" t="n">
        <v>45846</v>
      </c>
      <c r="D4493" t="inlineStr">
        <is>
          <t>UPPSALA LÄN</t>
        </is>
      </c>
      <c r="E4493" t="inlineStr">
        <is>
          <t>UPPSALA</t>
        </is>
      </c>
      <c r="F4493" t="inlineStr">
        <is>
          <t>Bergvik skog öst AB</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43838-2023</t>
        </is>
      </c>
      <c r="B4494" s="1" t="n">
        <v>45187</v>
      </c>
      <c r="C4494" s="1" t="n">
        <v>45846</v>
      </c>
      <c r="D4494" t="inlineStr">
        <is>
          <t>UPPSALA LÄN</t>
        </is>
      </c>
      <c r="E4494" t="inlineStr">
        <is>
          <t>ÖSTHAMMAR</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43908-2023</t>
        </is>
      </c>
      <c r="B4495" s="1" t="n">
        <v>45187</v>
      </c>
      <c r="C4495" s="1" t="n">
        <v>45846</v>
      </c>
      <c r="D4495" t="inlineStr">
        <is>
          <t>UPPSALA LÄN</t>
        </is>
      </c>
      <c r="E4495" t="inlineStr">
        <is>
          <t>KNIVSTA</t>
        </is>
      </c>
      <c r="F4495" t="inlineStr">
        <is>
          <t>Kyrkan</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44875-2023</t>
        </is>
      </c>
      <c r="B4496" s="1" t="n">
        <v>45187</v>
      </c>
      <c r="C4496" s="1" t="n">
        <v>45846</v>
      </c>
      <c r="D4496" t="inlineStr">
        <is>
          <t>UPPSALA LÄN</t>
        </is>
      </c>
      <c r="E4496" t="inlineStr">
        <is>
          <t>UPPSALA</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44080-2023</t>
        </is>
      </c>
      <c r="B4497" s="1" t="n">
        <v>45188</v>
      </c>
      <c r="C4497" s="1" t="n">
        <v>45846</v>
      </c>
      <c r="D4497" t="inlineStr">
        <is>
          <t>UPPSALA LÄN</t>
        </is>
      </c>
      <c r="E4497" t="inlineStr">
        <is>
          <t>UPPSALA</t>
        </is>
      </c>
      <c r="G4497" t="n">
        <v>13.3</v>
      </c>
      <c r="H4497" t="n">
        <v>0</v>
      </c>
      <c r="I4497" t="n">
        <v>0</v>
      </c>
      <c r="J4497" t="n">
        <v>0</v>
      </c>
      <c r="K4497" t="n">
        <v>0</v>
      </c>
      <c r="L4497" t="n">
        <v>0</v>
      </c>
      <c r="M4497" t="n">
        <v>0</v>
      </c>
      <c r="N4497" t="n">
        <v>0</v>
      </c>
      <c r="O4497" t="n">
        <v>0</v>
      </c>
      <c r="P4497" t="n">
        <v>0</v>
      </c>
      <c r="Q4497" t="n">
        <v>0</v>
      </c>
      <c r="R4497" s="2" t="inlineStr"/>
    </row>
    <row r="4498" ht="15" customHeight="1">
      <c r="A4498" t="inlineStr">
        <is>
          <t>A 44115-2023</t>
        </is>
      </c>
      <c r="B4498" s="1" t="n">
        <v>45188</v>
      </c>
      <c r="C4498" s="1" t="n">
        <v>45846</v>
      </c>
      <c r="D4498" t="inlineStr">
        <is>
          <t>UPPSALA LÄN</t>
        </is>
      </c>
      <c r="E4498" t="inlineStr">
        <is>
          <t>UPPSALA</t>
        </is>
      </c>
      <c r="F4498" t="inlineStr">
        <is>
          <t>Holmen skog AB</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44228-2023</t>
        </is>
      </c>
      <c r="B4499" s="1" t="n">
        <v>45188</v>
      </c>
      <c r="C4499" s="1" t="n">
        <v>45846</v>
      </c>
      <c r="D4499" t="inlineStr">
        <is>
          <t>UPPSALA LÄN</t>
        </is>
      </c>
      <c r="E4499" t="inlineStr">
        <is>
          <t>TIERP</t>
        </is>
      </c>
      <c r="F4499" t="inlineStr">
        <is>
          <t>Bergvik skog öst AB</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44232-2023</t>
        </is>
      </c>
      <c r="B4500" s="1" t="n">
        <v>45188</v>
      </c>
      <c r="C4500" s="1" t="n">
        <v>45846</v>
      </c>
      <c r="D4500" t="inlineStr">
        <is>
          <t>UPPSALA LÄN</t>
        </is>
      </c>
      <c r="E4500" t="inlineStr">
        <is>
          <t>UPPSALA</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44105-2023</t>
        </is>
      </c>
      <c r="B4501" s="1" t="n">
        <v>45188</v>
      </c>
      <c r="C4501" s="1" t="n">
        <v>45846</v>
      </c>
      <c r="D4501" t="inlineStr">
        <is>
          <t>UPPSALA LÄN</t>
        </is>
      </c>
      <c r="E4501" t="inlineStr">
        <is>
          <t>UPPSALA</t>
        </is>
      </c>
      <c r="G4501" t="n">
        <v>5.8</v>
      </c>
      <c r="H4501" t="n">
        <v>0</v>
      </c>
      <c r="I4501" t="n">
        <v>0</v>
      </c>
      <c r="J4501" t="n">
        <v>0</v>
      </c>
      <c r="K4501" t="n">
        <v>0</v>
      </c>
      <c r="L4501" t="n">
        <v>0</v>
      </c>
      <c r="M4501" t="n">
        <v>0</v>
      </c>
      <c r="N4501" t="n">
        <v>0</v>
      </c>
      <c r="O4501" t="n">
        <v>0</v>
      </c>
      <c r="P4501" t="n">
        <v>0</v>
      </c>
      <c r="Q4501" t="n">
        <v>0</v>
      </c>
      <c r="R4501" s="2" t="inlineStr"/>
    </row>
    <row r="4502" ht="15" customHeight="1">
      <c r="A4502" t="inlineStr">
        <is>
          <t>A 44131-2023</t>
        </is>
      </c>
      <c r="B4502" s="1" t="n">
        <v>45188</v>
      </c>
      <c r="C4502" s="1" t="n">
        <v>45846</v>
      </c>
      <c r="D4502" t="inlineStr">
        <is>
          <t>UPPSALA LÄN</t>
        </is>
      </c>
      <c r="E4502" t="inlineStr">
        <is>
          <t>ENKÖPING</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44333-2023</t>
        </is>
      </c>
      <c r="B4503" s="1" t="n">
        <v>45188</v>
      </c>
      <c r="C4503" s="1" t="n">
        <v>45846</v>
      </c>
      <c r="D4503" t="inlineStr">
        <is>
          <t>UPPSALA LÄN</t>
        </is>
      </c>
      <c r="E4503" t="inlineStr">
        <is>
          <t>UPPSALA</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44337-2023</t>
        </is>
      </c>
      <c r="B4504" s="1" t="n">
        <v>45188</v>
      </c>
      <c r="C4504" s="1" t="n">
        <v>45846</v>
      </c>
      <c r="D4504" t="inlineStr">
        <is>
          <t>UPPSALA LÄN</t>
        </is>
      </c>
      <c r="E4504" t="inlineStr">
        <is>
          <t>UPPSALA</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44257-2023</t>
        </is>
      </c>
      <c r="B4505" s="1" t="n">
        <v>45188</v>
      </c>
      <c r="C4505" s="1" t="n">
        <v>45846</v>
      </c>
      <c r="D4505" t="inlineStr">
        <is>
          <t>UPPSALA LÄN</t>
        </is>
      </c>
      <c r="E4505" t="inlineStr">
        <is>
          <t>UPPSALA</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44326-2023</t>
        </is>
      </c>
      <c r="B4506" s="1" t="n">
        <v>45188</v>
      </c>
      <c r="C4506" s="1" t="n">
        <v>45846</v>
      </c>
      <c r="D4506" t="inlineStr">
        <is>
          <t>UPPSALA LÄN</t>
        </is>
      </c>
      <c r="E4506" t="inlineStr">
        <is>
          <t>ENKÖPING</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45642-2023</t>
        </is>
      </c>
      <c r="B4507" s="1" t="n">
        <v>45188</v>
      </c>
      <c r="C4507" s="1" t="n">
        <v>45846</v>
      </c>
      <c r="D4507" t="inlineStr">
        <is>
          <t>UPPSALA LÄN</t>
        </is>
      </c>
      <c r="E4507" t="inlineStr">
        <is>
          <t>HEBY</t>
        </is>
      </c>
      <c r="F4507" t="inlineStr">
        <is>
          <t>Bergvik skog väst AB</t>
        </is>
      </c>
      <c r="G4507" t="n">
        <v>4.5</v>
      </c>
      <c r="H4507" t="n">
        <v>0</v>
      </c>
      <c r="I4507" t="n">
        <v>0</v>
      </c>
      <c r="J4507" t="n">
        <v>0</v>
      </c>
      <c r="K4507" t="n">
        <v>0</v>
      </c>
      <c r="L4507" t="n">
        <v>0</v>
      </c>
      <c r="M4507" t="n">
        <v>0</v>
      </c>
      <c r="N4507" t="n">
        <v>0</v>
      </c>
      <c r="O4507" t="n">
        <v>0</v>
      </c>
      <c r="P4507" t="n">
        <v>0</v>
      </c>
      <c r="Q4507" t="n">
        <v>0</v>
      </c>
      <c r="R4507" s="2" t="inlineStr"/>
    </row>
    <row r="4508" ht="15" customHeight="1">
      <c r="A4508" t="inlineStr">
        <is>
          <t>A 44438-2023</t>
        </is>
      </c>
      <c r="B4508" s="1" t="n">
        <v>45189</v>
      </c>
      <c r="C4508" s="1" t="n">
        <v>45846</v>
      </c>
      <c r="D4508" t="inlineStr">
        <is>
          <t>UPPSALA LÄN</t>
        </is>
      </c>
      <c r="E4508" t="inlineStr">
        <is>
          <t>TIERP</t>
        </is>
      </c>
      <c r="F4508" t="inlineStr">
        <is>
          <t>Bergvik skog öst AB</t>
        </is>
      </c>
      <c r="G4508" t="n">
        <v>6.9</v>
      </c>
      <c r="H4508" t="n">
        <v>0</v>
      </c>
      <c r="I4508" t="n">
        <v>0</v>
      </c>
      <c r="J4508" t="n">
        <v>0</v>
      </c>
      <c r="K4508" t="n">
        <v>0</v>
      </c>
      <c r="L4508" t="n">
        <v>0</v>
      </c>
      <c r="M4508" t="n">
        <v>0</v>
      </c>
      <c r="N4508" t="n">
        <v>0</v>
      </c>
      <c r="O4508" t="n">
        <v>0</v>
      </c>
      <c r="P4508" t="n">
        <v>0</v>
      </c>
      <c r="Q4508" t="n">
        <v>0</v>
      </c>
      <c r="R4508" s="2" t="inlineStr"/>
    </row>
    <row r="4509" ht="15" customHeight="1">
      <c r="A4509" t="inlineStr">
        <is>
          <t>A 44430-2023</t>
        </is>
      </c>
      <c r="B4509" s="1" t="n">
        <v>45189</v>
      </c>
      <c r="C4509" s="1" t="n">
        <v>45846</v>
      </c>
      <c r="D4509" t="inlineStr">
        <is>
          <t>UPPSALA LÄN</t>
        </is>
      </c>
      <c r="E4509" t="inlineStr">
        <is>
          <t>TIERP</t>
        </is>
      </c>
      <c r="F4509" t="inlineStr">
        <is>
          <t>Bergvik skog öst AB</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44636-2023</t>
        </is>
      </c>
      <c r="B4510" s="1" t="n">
        <v>45189</v>
      </c>
      <c r="C4510" s="1" t="n">
        <v>45846</v>
      </c>
      <c r="D4510" t="inlineStr">
        <is>
          <t>UPPSALA LÄN</t>
        </is>
      </c>
      <c r="E4510" t="inlineStr">
        <is>
          <t>ÖSTHAMMAR</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44614-2023</t>
        </is>
      </c>
      <c r="B4511" s="1" t="n">
        <v>45189</v>
      </c>
      <c r="C4511" s="1" t="n">
        <v>45846</v>
      </c>
      <c r="D4511" t="inlineStr">
        <is>
          <t>UPPSALA LÄN</t>
        </is>
      </c>
      <c r="E4511" t="inlineStr">
        <is>
          <t>ÖSTHAMMAR</t>
        </is>
      </c>
      <c r="F4511" t="inlineStr">
        <is>
          <t>Övriga Aktiebolag</t>
        </is>
      </c>
      <c r="G4511" t="n">
        <v>17.8</v>
      </c>
      <c r="H4511" t="n">
        <v>0</v>
      </c>
      <c r="I4511" t="n">
        <v>0</v>
      </c>
      <c r="J4511" t="n">
        <v>0</v>
      </c>
      <c r="K4511" t="n">
        <v>0</v>
      </c>
      <c r="L4511" t="n">
        <v>0</v>
      </c>
      <c r="M4511" t="n">
        <v>0</v>
      </c>
      <c r="N4511" t="n">
        <v>0</v>
      </c>
      <c r="O4511" t="n">
        <v>0</v>
      </c>
      <c r="P4511" t="n">
        <v>0</v>
      </c>
      <c r="Q4511" t="n">
        <v>0</v>
      </c>
      <c r="R4511" s="2" t="inlineStr"/>
    </row>
    <row r="4512" ht="15" customHeight="1">
      <c r="A4512" t="inlineStr">
        <is>
          <t>A 44739-2023</t>
        </is>
      </c>
      <c r="B4512" s="1" t="n">
        <v>45190</v>
      </c>
      <c r="C4512" s="1" t="n">
        <v>45846</v>
      </c>
      <c r="D4512" t="inlineStr">
        <is>
          <t>UPPSALA LÄN</t>
        </is>
      </c>
      <c r="E4512" t="inlineStr">
        <is>
          <t>TIERP</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44756-2023</t>
        </is>
      </c>
      <c r="B4513" s="1" t="n">
        <v>45190</v>
      </c>
      <c r="C4513" s="1" t="n">
        <v>45846</v>
      </c>
      <c r="D4513" t="inlineStr">
        <is>
          <t>UPPSALA LÄN</t>
        </is>
      </c>
      <c r="E4513" t="inlineStr">
        <is>
          <t>TIERP</t>
        </is>
      </c>
      <c r="G4513" t="n">
        <v>18.1</v>
      </c>
      <c r="H4513" t="n">
        <v>0</v>
      </c>
      <c r="I4513" t="n">
        <v>0</v>
      </c>
      <c r="J4513" t="n">
        <v>0</v>
      </c>
      <c r="K4513" t="n">
        <v>0</v>
      </c>
      <c r="L4513" t="n">
        <v>0</v>
      </c>
      <c r="M4513" t="n">
        <v>0</v>
      </c>
      <c r="N4513" t="n">
        <v>0</v>
      </c>
      <c r="O4513" t="n">
        <v>0</v>
      </c>
      <c r="P4513" t="n">
        <v>0</v>
      </c>
      <c r="Q4513" t="n">
        <v>0</v>
      </c>
      <c r="R4513" s="2" t="inlineStr"/>
    </row>
    <row r="4514" ht="15" customHeight="1">
      <c r="A4514" t="inlineStr">
        <is>
          <t>A 44762-2023</t>
        </is>
      </c>
      <c r="B4514" s="1" t="n">
        <v>45190</v>
      </c>
      <c r="C4514" s="1" t="n">
        <v>45846</v>
      </c>
      <c r="D4514" t="inlineStr">
        <is>
          <t>UPPSALA LÄN</t>
        </is>
      </c>
      <c r="E4514" t="inlineStr">
        <is>
          <t>TIERP</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44815-2023</t>
        </is>
      </c>
      <c r="B4515" s="1" t="n">
        <v>45190</v>
      </c>
      <c r="C4515" s="1" t="n">
        <v>45846</v>
      </c>
      <c r="D4515" t="inlineStr">
        <is>
          <t>UPPSALA LÄN</t>
        </is>
      </c>
      <c r="E4515" t="inlineStr">
        <is>
          <t>UPPSALA</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44830-2023</t>
        </is>
      </c>
      <c r="B4516" s="1" t="n">
        <v>45190</v>
      </c>
      <c r="C4516" s="1" t="n">
        <v>45846</v>
      </c>
      <c r="D4516" t="inlineStr">
        <is>
          <t>UPPSALA LÄN</t>
        </is>
      </c>
      <c r="E4516" t="inlineStr">
        <is>
          <t>UPPSALA</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44785-2023</t>
        </is>
      </c>
      <c r="B4517" s="1" t="n">
        <v>45190</v>
      </c>
      <c r="C4517" s="1" t="n">
        <v>45846</v>
      </c>
      <c r="D4517" t="inlineStr">
        <is>
          <t>UPPSALA LÄN</t>
        </is>
      </c>
      <c r="E4517" t="inlineStr">
        <is>
          <t>UPPSALA</t>
        </is>
      </c>
      <c r="G4517" t="n">
        <v>5.8</v>
      </c>
      <c r="H4517" t="n">
        <v>0</v>
      </c>
      <c r="I4517" t="n">
        <v>0</v>
      </c>
      <c r="J4517" t="n">
        <v>0</v>
      </c>
      <c r="K4517" t="n">
        <v>0</v>
      </c>
      <c r="L4517" t="n">
        <v>0</v>
      </c>
      <c r="M4517" t="n">
        <v>0</v>
      </c>
      <c r="N4517" t="n">
        <v>0</v>
      </c>
      <c r="O4517" t="n">
        <v>0</v>
      </c>
      <c r="P4517" t="n">
        <v>0</v>
      </c>
      <c r="Q4517" t="n">
        <v>0</v>
      </c>
      <c r="R4517" s="2" t="inlineStr"/>
    </row>
    <row r="4518" ht="15" customHeight="1">
      <c r="A4518" t="inlineStr">
        <is>
          <t>A 44831-2023</t>
        </is>
      </c>
      <c r="B4518" s="1" t="n">
        <v>45190</v>
      </c>
      <c r="C4518" s="1" t="n">
        <v>45846</v>
      </c>
      <c r="D4518" t="inlineStr">
        <is>
          <t>UPPSALA LÄN</t>
        </is>
      </c>
      <c r="E4518" t="inlineStr">
        <is>
          <t>TIERP</t>
        </is>
      </c>
      <c r="F4518" t="inlineStr">
        <is>
          <t>Bergvik skog öst AB</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46103-2023</t>
        </is>
      </c>
      <c r="B4519" s="1" t="n">
        <v>45190</v>
      </c>
      <c r="C4519" s="1" t="n">
        <v>45846</v>
      </c>
      <c r="D4519" t="inlineStr">
        <is>
          <t>UPPSALA LÄN</t>
        </is>
      </c>
      <c r="E4519" t="inlineStr">
        <is>
          <t>ENKÖPING</t>
        </is>
      </c>
      <c r="G4519" t="n">
        <v>4.6</v>
      </c>
      <c r="H4519" t="n">
        <v>0</v>
      </c>
      <c r="I4519" t="n">
        <v>0</v>
      </c>
      <c r="J4519" t="n">
        <v>0</v>
      </c>
      <c r="K4519" t="n">
        <v>0</v>
      </c>
      <c r="L4519" t="n">
        <v>0</v>
      </c>
      <c r="M4519" t="n">
        <v>0</v>
      </c>
      <c r="N4519" t="n">
        <v>0</v>
      </c>
      <c r="O4519" t="n">
        <v>0</v>
      </c>
      <c r="P4519" t="n">
        <v>0</v>
      </c>
      <c r="Q4519" t="n">
        <v>0</v>
      </c>
      <c r="R4519" s="2" t="inlineStr"/>
    </row>
    <row r="4520" ht="15" customHeight="1">
      <c r="A4520" t="inlineStr">
        <is>
          <t>A 46188-2023</t>
        </is>
      </c>
      <c r="B4520" s="1" t="n">
        <v>45190</v>
      </c>
      <c r="C4520" s="1" t="n">
        <v>45846</v>
      </c>
      <c r="D4520" t="inlineStr">
        <is>
          <t>UPPSALA LÄN</t>
        </is>
      </c>
      <c r="E4520" t="inlineStr">
        <is>
          <t>TIERP</t>
        </is>
      </c>
      <c r="F4520" t="inlineStr">
        <is>
          <t>Bergvik skog väst AB</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45058-2023</t>
        </is>
      </c>
      <c r="B4521" s="1" t="n">
        <v>45191</v>
      </c>
      <c r="C4521" s="1" t="n">
        <v>45846</v>
      </c>
      <c r="D4521" t="inlineStr">
        <is>
          <t>UPPSALA LÄN</t>
        </is>
      </c>
      <c r="E4521" t="inlineStr">
        <is>
          <t>ENKÖPING</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45142-2023</t>
        </is>
      </c>
      <c r="B4522" s="1" t="n">
        <v>45191</v>
      </c>
      <c r="C4522" s="1" t="n">
        <v>45846</v>
      </c>
      <c r="D4522" t="inlineStr">
        <is>
          <t>UPPSALA LÄN</t>
        </is>
      </c>
      <c r="E4522" t="inlineStr">
        <is>
          <t>ENKÖPING</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45095-2023</t>
        </is>
      </c>
      <c r="B4523" s="1" t="n">
        <v>45191</v>
      </c>
      <c r="C4523" s="1" t="n">
        <v>45846</v>
      </c>
      <c r="D4523" t="inlineStr">
        <is>
          <t>UPPSALA LÄN</t>
        </is>
      </c>
      <c r="E4523" t="inlineStr">
        <is>
          <t>ENKÖPING</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45208-2023</t>
        </is>
      </c>
      <c r="B4524" s="1" t="n">
        <v>45191</v>
      </c>
      <c r="C4524" s="1" t="n">
        <v>45846</v>
      </c>
      <c r="D4524" t="inlineStr">
        <is>
          <t>UPPSALA LÄN</t>
        </is>
      </c>
      <c r="E4524" t="inlineStr">
        <is>
          <t>ENKÖPING</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45244-2023</t>
        </is>
      </c>
      <c r="B4525" s="1" t="n">
        <v>45191</v>
      </c>
      <c r="C4525" s="1" t="n">
        <v>45846</v>
      </c>
      <c r="D4525" t="inlineStr">
        <is>
          <t>UPPSALA LÄN</t>
        </is>
      </c>
      <c r="E4525" t="inlineStr">
        <is>
          <t>UPPSALA</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45307-2023</t>
        </is>
      </c>
      <c r="B4526" s="1" t="n">
        <v>45191</v>
      </c>
      <c r="C4526" s="1" t="n">
        <v>45846</v>
      </c>
      <c r="D4526" t="inlineStr">
        <is>
          <t>UPPSALA LÄN</t>
        </is>
      </c>
      <c r="E4526" t="inlineStr">
        <is>
          <t>ÖSTHAMMAR</t>
        </is>
      </c>
      <c r="F4526" t="inlineStr">
        <is>
          <t>Bergvik skog öst AB</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45080-2023</t>
        </is>
      </c>
      <c r="B4527" s="1" t="n">
        <v>45191</v>
      </c>
      <c r="C4527" s="1" t="n">
        <v>45846</v>
      </c>
      <c r="D4527" t="inlineStr">
        <is>
          <t>UPPSALA LÄN</t>
        </is>
      </c>
      <c r="E4527" t="inlineStr">
        <is>
          <t>TIERP</t>
        </is>
      </c>
      <c r="F4527" t="inlineStr">
        <is>
          <t>Bergvik skog öst AB</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45141-2023</t>
        </is>
      </c>
      <c r="B4528" s="1" t="n">
        <v>45191</v>
      </c>
      <c r="C4528" s="1" t="n">
        <v>45846</v>
      </c>
      <c r="D4528" t="inlineStr">
        <is>
          <t>UPPSALA LÄN</t>
        </is>
      </c>
      <c r="E4528" t="inlineStr">
        <is>
          <t>TIERP</t>
        </is>
      </c>
      <c r="F4528" t="inlineStr">
        <is>
          <t>Kyrkan</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45223-2023</t>
        </is>
      </c>
      <c r="B4529" s="1" t="n">
        <v>45191</v>
      </c>
      <c r="C4529" s="1" t="n">
        <v>45846</v>
      </c>
      <c r="D4529" t="inlineStr">
        <is>
          <t>UPPSALA LÄN</t>
        </is>
      </c>
      <c r="E4529" t="inlineStr">
        <is>
          <t>UPPSALA</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45489-2023</t>
        </is>
      </c>
      <c r="B4530" s="1" t="n">
        <v>45194</v>
      </c>
      <c r="C4530" s="1" t="n">
        <v>45846</v>
      </c>
      <c r="D4530" t="inlineStr">
        <is>
          <t>UPPSALA LÄN</t>
        </is>
      </c>
      <c r="E4530" t="inlineStr">
        <is>
          <t>UPPSALA</t>
        </is>
      </c>
      <c r="F4530" t="inlineStr">
        <is>
          <t>Allmännings- och besparingsskogar</t>
        </is>
      </c>
      <c r="G4530" t="n">
        <v>15.8</v>
      </c>
      <c r="H4530" t="n">
        <v>0</v>
      </c>
      <c r="I4530" t="n">
        <v>0</v>
      </c>
      <c r="J4530" t="n">
        <v>0</v>
      </c>
      <c r="K4530" t="n">
        <v>0</v>
      </c>
      <c r="L4530" t="n">
        <v>0</v>
      </c>
      <c r="M4530" t="n">
        <v>0</v>
      </c>
      <c r="N4530" t="n">
        <v>0</v>
      </c>
      <c r="O4530" t="n">
        <v>0</v>
      </c>
      <c r="P4530" t="n">
        <v>0</v>
      </c>
      <c r="Q4530" t="n">
        <v>0</v>
      </c>
      <c r="R4530" s="2" t="inlineStr"/>
    </row>
    <row r="4531" ht="15" customHeight="1">
      <c r="A4531" t="inlineStr">
        <is>
          <t>A 45527-2023</t>
        </is>
      </c>
      <c r="B4531" s="1" t="n">
        <v>45194</v>
      </c>
      <c r="C4531" s="1" t="n">
        <v>45846</v>
      </c>
      <c r="D4531" t="inlineStr">
        <is>
          <t>UPPSALA LÄN</t>
        </is>
      </c>
      <c r="E4531" t="inlineStr">
        <is>
          <t>ÄLVKARLEBY</t>
        </is>
      </c>
      <c r="F4531" t="inlineStr">
        <is>
          <t>Bergvik skog väst AB</t>
        </is>
      </c>
      <c r="G4531" t="n">
        <v>3.5</v>
      </c>
      <c r="H4531" t="n">
        <v>0</v>
      </c>
      <c r="I4531" t="n">
        <v>0</v>
      </c>
      <c r="J4531" t="n">
        <v>0</v>
      </c>
      <c r="K4531" t="n">
        <v>0</v>
      </c>
      <c r="L4531" t="n">
        <v>0</v>
      </c>
      <c r="M4531" t="n">
        <v>0</v>
      </c>
      <c r="N4531" t="n">
        <v>0</v>
      </c>
      <c r="O4531" t="n">
        <v>0</v>
      </c>
      <c r="P4531" t="n">
        <v>0</v>
      </c>
      <c r="Q4531" t="n">
        <v>0</v>
      </c>
      <c r="R4531" s="2" t="inlineStr"/>
    </row>
    <row r="4532" ht="15" customHeight="1">
      <c r="A4532" t="inlineStr">
        <is>
          <t>A 45525-2023</t>
        </is>
      </c>
      <c r="B4532" s="1" t="n">
        <v>45194</v>
      </c>
      <c r="C4532" s="1" t="n">
        <v>45846</v>
      </c>
      <c r="D4532" t="inlineStr">
        <is>
          <t>UPPSALA LÄN</t>
        </is>
      </c>
      <c r="E4532" t="inlineStr">
        <is>
          <t>KNIVSTA</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45529-2023</t>
        </is>
      </c>
      <c r="B4533" s="1" t="n">
        <v>45194</v>
      </c>
      <c r="C4533" s="1" t="n">
        <v>45846</v>
      </c>
      <c r="D4533" t="inlineStr">
        <is>
          <t>UPPSALA LÄN</t>
        </is>
      </c>
      <c r="E4533" t="inlineStr">
        <is>
          <t>ÄLVKARLEBY</t>
        </is>
      </c>
      <c r="F4533" t="inlineStr">
        <is>
          <t>Bergvik skog väst AB</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45550-2023</t>
        </is>
      </c>
      <c r="B4534" s="1" t="n">
        <v>45194</v>
      </c>
      <c r="C4534" s="1" t="n">
        <v>45846</v>
      </c>
      <c r="D4534" t="inlineStr">
        <is>
          <t>UPPSALA LÄN</t>
        </is>
      </c>
      <c r="E4534" t="inlineStr">
        <is>
          <t>ÖSTHAMMAR</t>
        </is>
      </c>
      <c r="F4534" t="inlineStr">
        <is>
          <t>Bergvik skog öst AB</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45575-2023</t>
        </is>
      </c>
      <c r="B4535" s="1" t="n">
        <v>45194</v>
      </c>
      <c r="C4535" s="1" t="n">
        <v>45846</v>
      </c>
      <c r="D4535" t="inlineStr">
        <is>
          <t>UPPSALA LÄN</t>
        </is>
      </c>
      <c r="E4535" t="inlineStr">
        <is>
          <t>UPPSALA</t>
        </is>
      </c>
      <c r="F4535" t="inlineStr">
        <is>
          <t>Bergvik skog öst AB</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45580-2023</t>
        </is>
      </c>
      <c r="B4536" s="1" t="n">
        <v>45194</v>
      </c>
      <c r="C4536" s="1" t="n">
        <v>45846</v>
      </c>
      <c r="D4536" t="inlineStr">
        <is>
          <t>UPPSALA LÄN</t>
        </is>
      </c>
      <c r="E4536" t="inlineStr">
        <is>
          <t>ÖSTHAMMAR</t>
        </is>
      </c>
      <c r="F4536" t="inlineStr">
        <is>
          <t>Bergvik skog öst AB</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45578-2023</t>
        </is>
      </c>
      <c r="B4537" s="1" t="n">
        <v>45194</v>
      </c>
      <c r="C4537" s="1" t="n">
        <v>45846</v>
      </c>
      <c r="D4537" t="inlineStr">
        <is>
          <t>UPPSALA LÄN</t>
        </is>
      </c>
      <c r="E4537" t="inlineStr">
        <is>
          <t>UPPSALA</t>
        </is>
      </c>
      <c r="F4537" t="inlineStr">
        <is>
          <t>Bergvik skog öst AB</t>
        </is>
      </c>
      <c r="G4537" t="n">
        <v>6.3</v>
      </c>
      <c r="H4537" t="n">
        <v>0</v>
      </c>
      <c r="I4537" t="n">
        <v>0</v>
      </c>
      <c r="J4537" t="n">
        <v>0</v>
      </c>
      <c r="K4537" t="n">
        <v>0</v>
      </c>
      <c r="L4537" t="n">
        <v>0</v>
      </c>
      <c r="M4537" t="n">
        <v>0</v>
      </c>
      <c r="N4537" t="n">
        <v>0</v>
      </c>
      <c r="O4537" t="n">
        <v>0</v>
      </c>
      <c r="P4537" t="n">
        <v>0</v>
      </c>
      <c r="Q4537" t="n">
        <v>0</v>
      </c>
      <c r="R4537" s="2" t="inlineStr"/>
    </row>
    <row r="4538" ht="15" customHeight="1">
      <c r="A4538" t="inlineStr">
        <is>
          <t>A 45592-2023</t>
        </is>
      </c>
      <c r="B4538" s="1" t="n">
        <v>45194</v>
      </c>
      <c r="C4538" s="1" t="n">
        <v>45846</v>
      </c>
      <c r="D4538" t="inlineStr">
        <is>
          <t>UPPSALA LÄN</t>
        </is>
      </c>
      <c r="E4538" t="inlineStr">
        <is>
          <t>UPPSALA</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45655-2023</t>
        </is>
      </c>
      <c r="B4539" s="1" t="n">
        <v>45194</v>
      </c>
      <c r="C4539" s="1" t="n">
        <v>45846</v>
      </c>
      <c r="D4539" t="inlineStr">
        <is>
          <t>UPPSALA LÄN</t>
        </is>
      </c>
      <c r="E4539" t="inlineStr">
        <is>
          <t>ÖSTHAMMAR</t>
        </is>
      </c>
      <c r="F4539" t="inlineStr">
        <is>
          <t>Bergvik skog öst AB</t>
        </is>
      </c>
      <c r="G4539" t="n">
        <v>6.4</v>
      </c>
      <c r="H4539" t="n">
        <v>0</v>
      </c>
      <c r="I4539" t="n">
        <v>0</v>
      </c>
      <c r="J4539" t="n">
        <v>0</v>
      </c>
      <c r="K4539" t="n">
        <v>0</v>
      </c>
      <c r="L4539" t="n">
        <v>0</v>
      </c>
      <c r="M4539" t="n">
        <v>0</v>
      </c>
      <c r="N4539" t="n">
        <v>0</v>
      </c>
      <c r="O4539" t="n">
        <v>0</v>
      </c>
      <c r="P4539" t="n">
        <v>0</v>
      </c>
      <c r="Q4539" t="n">
        <v>0</v>
      </c>
      <c r="R4539" s="2" t="inlineStr"/>
    </row>
    <row r="4540" ht="15" customHeight="1">
      <c r="A4540" t="inlineStr">
        <is>
          <t>A 45662-2023</t>
        </is>
      </c>
      <c r="B4540" s="1" t="n">
        <v>45194</v>
      </c>
      <c r="C4540" s="1" t="n">
        <v>45846</v>
      </c>
      <c r="D4540" t="inlineStr">
        <is>
          <t>UPPSALA LÄN</t>
        </is>
      </c>
      <c r="E4540" t="inlineStr">
        <is>
          <t>UPPSALA</t>
        </is>
      </c>
      <c r="F4540" t="inlineStr">
        <is>
          <t>Bergvik skog öst AB</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46495-2023</t>
        </is>
      </c>
      <c r="B4541" s="1" t="n">
        <v>45194</v>
      </c>
      <c r="C4541" s="1" t="n">
        <v>45846</v>
      </c>
      <c r="D4541" t="inlineStr">
        <is>
          <t>UPPSALA LÄN</t>
        </is>
      </c>
      <c r="E4541" t="inlineStr">
        <is>
          <t>TIERP</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45561-2023</t>
        </is>
      </c>
      <c r="B4542" s="1" t="n">
        <v>45194</v>
      </c>
      <c r="C4542" s="1" t="n">
        <v>45846</v>
      </c>
      <c r="D4542" t="inlineStr">
        <is>
          <t>UPPSALA LÄN</t>
        </is>
      </c>
      <c r="E4542" t="inlineStr">
        <is>
          <t>ÖSTHAMMAR</t>
        </is>
      </c>
      <c r="F4542" t="inlineStr">
        <is>
          <t>Bergvik skog öst AB</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45618-2023</t>
        </is>
      </c>
      <c r="B4543" s="1" t="n">
        <v>45194</v>
      </c>
      <c r="C4543" s="1" t="n">
        <v>45846</v>
      </c>
      <c r="D4543" t="inlineStr">
        <is>
          <t>UPPSALA LÄN</t>
        </is>
      </c>
      <c r="E4543" t="inlineStr">
        <is>
          <t>ÖSTHAMMAR</t>
        </is>
      </c>
      <c r="F4543" t="inlineStr">
        <is>
          <t>Bergvik skog öst AB</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45661-2023</t>
        </is>
      </c>
      <c r="B4544" s="1" t="n">
        <v>45194</v>
      </c>
      <c r="C4544" s="1" t="n">
        <v>45846</v>
      </c>
      <c r="D4544" t="inlineStr">
        <is>
          <t>UPPSALA LÄN</t>
        </is>
      </c>
      <c r="E4544" t="inlineStr">
        <is>
          <t>UPPSALA</t>
        </is>
      </c>
      <c r="F4544" t="inlineStr">
        <is>
          <t>Bergvik skog öst AB</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45528-2023</t>
        </is>
      </c>
      <c r="B4545" s="1" t="n">
        <v>45194</v>
      </c>
      <c r="C4545" s="1" t="n">
        <v>45846</v>
      </c>
      <c r="D4545" t="inlineStr">
        <is>
          <t>UPPSALA LÄN</t>
        </is>
      </c>
      <c r="E4545" t="inlineStr">
        <is>
          <t>ÄLVKARLEBY</t>
        </is>
      </c>
      <c r="F4545" t="inlineStr">
        <is>
          <t>Bergvik skog väst AB</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45635-2023</t>
        </is>
      </c>
      <c r="B4546" s="1" t="n">
        <v>45194</v>
      </c>
      <c r="C4546" s="1" t="n">
        <v>45846</v>
      </c>
      <c r="D4546" t="inlineStr">
        <is>
          <t>UPPSALA LÄN</t>
        </is>
      </c>
      <c r="E4546" t="inlineStr">
        <is>
          <t>ÖSTHAMMAR</t>
        </is>
      </c>
      <c r="F4546" t="inlineStr">
        <is>
          <t>Bergvik skog öst AB</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45646-2023</t>
        </is>
      </c>
      <c r="B4547" s="1" t="n">
        <v>45194</v>
      </c>
      <c r="C4547" s="1" t="n">
        <v>45846</v>
      </c>
      <c r="D4547" t="inlineStr">
        <is>
          <t>UPPSALA LÄN</t>
        </is>
      </c>
      <c r="E4547" t="inlineStr">
        <is>
          <t>ÖSTHAMMAR</t>
        </is>
      </c>
      <c r="F4547" t="inlineStr">
        <is>
          <t>Bergvik skog öst AB</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46485-2023</t>
        </is>
      </c>
      <c r="B4548" s="1" t="n">
        <v>45194</v>
      </c>
      <c r="C4548" s="1" t="n">
        <v>45846</v>
      </c>
      <c r="D4548" t="inlineStr">
        <is>
          <t>UPPSALA LÄN</t>
        </is>
      </c>
      <c r="E4548" t="inlineStr">
        <is>
          <t>ÖSTHAMMAR</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45795-2023</t>
        </is>
      </c>
      <c r="B4549" s="1" t="n">
        <v>45195</v>
      </c>
      <c r="C4549" s="1" t="n">
        <v>45846</v>
      </c>
      <c r="D4549" t="inlineStr">
        <is>
          <t>UPPSALA LÄN</t>
        </is>
      </c>
      <c r="E4549" t="inlineStr">
        <is>
          <t>ÖSTHAMMAR</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45892-2023</t>
        </is>
      </c>
      <c r="B4550" s="1" t="n">
        <v>45195</v>
      </c>
      <c r="C4550" s="1" t="n">
        <v>45846</v>
      </c>
      <c r="D4550" t="inlineStr">
        <is>
          <t>UPPSALA LÄN</t>
        </is>
      </c>
      <c r="E4550" t="inlineStr">
        <is>
          <t>UPPSALA</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45917-2023</t>
        </is>
      </c>
      <c r="B4551" s="1" t="n">
        <v>45195</v>
      </c>
      <c r="C4551" s="1" t="n">
        <v>45846</v>
      </c>
      <c r="D4551" t="inlineStr">
        <is>
          <t>UPPSALA LÄN</t>
        </is>
      </c>
      <c r="E4551" t="inlineStr">
        <is>
          <t>HEBY</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45885-2023</t>
        </is>
      </c>
      <c r="B4552" s="1" t="n">
        <v>45195</v>
      </c>
      <c r="C4552" s="1" t="n">
        <v>45846</v>
      </c>
      <c r="D4552" t="inlineStr">
        <is>
          <t>UPPSALA LÄN</t>
        </is>
      </c>
      <c r="E4552" t="inlineStr">
        <is>
          <t>UPPSALA</t>
        </is>
      </c>
      <c r="G4552" t="n">
        <v>6.5</v>
      </c>
      <c r="H4552" t="n">
        <v>0</v>
      </c>
      <c r="I4552" t="n">
        <v>0</v>
      </c>
      <c r="J4552" t="n">
        <v>0</v>
      </c>
      <c r="K4552" t="n">
        <v>0</v>
      </c>
      <c r="L4552" t="n">
        <v>0</v>
      </c>
      <c r="M4552" t="n">
        <v>0</v>
      </c>
      <c r="N4552" t="n">
        <v>0</v>
      </c>
      <c r="O4552" t="n">
        <v>0</v>
      </c>
      <c r="P4552" t="n">
        <v>0</v>
      </c>
      <c r="Q4552" t="n">
        <v>0</v>
      </c>
      <c r="R4552" s="2" t="inlineStr"/>
    </row>
    <row r="4553" ht="15" customHeight="1">
      <c r="A4553" t="inlineStr">
        <is>
          <t>A 45916-2023</t>
        </is>
      </c>
      <c r="B4553" s="1" t="n">
        <v>45195</v>
      </c>
      <c r="C4553" s="1" t="n">
        <v>45846</v>
      </c>
      <c r="D4553" t="inlineStr">
        <is>
          <t>UPPSALA LÄN</t>
        </is>
      </c>
      <c r="E4553" t="inlineStr">
        <is>
          <t>HEBY</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45821-2023</t>
        </is>
      </c>
      <c r="B4554" s="1" t="n">
        <v>45195</v>
      </c>
      <c r="C4554" s="1" t="n">
        <v>45846</v>
      </c>
      <c r="D4554" t="inlineStr">
        <is>
          <t>UPPSALA LÄN</t>
        </is>
      </c>
      <c r="E4554" t="inlineStr">
        <is>
          <t>HEBY</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45871-2023</t>
        </is>
      </c>
      <c r="B4555" s="1" t="n">
        <v>45195</v>
      </c>
      <c r="C4555" s="1" t="n">
        <v>45846</v>
      </c>
      <c r="D4555" t="inlineStr">
        <is>
          <t>UPPSALA LÄN</t>
        </is>
      </c>
      <c r="E4555" t="inlineStr">
        <is>
          <t>ÄLVKARLEBY</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46113-2023</t>
        </is>
      </c>
      <c r="B4556" s="1" t="n">
        <v>45196</v>
      </c>
      <c r="C4556" s="1" t="n">
        <v>45846</v>
      </c>
      <c r="D4556" t="inlineStr">
        <is>
          <t>UPPSALA LÄN</t>
        </is>
      </c>
      <c r="E4556" t="inlineStr">
        <is>
          <t>ÄLVKARLEBY</t>
        </is>
      </c>
      <c r="F4556" t="inlineStr">
        <is>
          <t>Bergvik skog väst AB</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46005-2023</t>
        </is>
      </c>
      <c r="B4557" s="1" t="n">
        <v>45196</v>
      </c>
      <c r="C4557" s="1" t="n">
        <v>45846</v>
      </c>
      <c r="D4557" t="inlineStr">
        <is>
          <t>UPPSALA LÄN</t>
        </is>
      </c>
      <c r="E4557" t="inlineStr">
        <is>
          <t>ÖSTHAMMAR</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46186-2023</t>
        </is>
      </c>
      <c r="B4558" s="1" t="n">
        <v>45196</v>
      </c>
      <c r="C4558" s="1" t="n">
        <v>45846</v>
      </c>
      <c r="D4558" t="inlineStr">
        <is>
          <t>UPPSALA LÄN</t>
        </is>
      </c>
      <c r="E4558" t="inlineStr">
        <is>
          <t>ENKÖPING</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46157-2023</t>
        </is>
      </c>
      <c r="B4559" s="1" t="n">
        <v>45196</v>
      </c>
      <c r="C4559" s="1" t="n">
        <v>45846</v>
      </c>
      <c r="D4559" t="inlineStr">
        <is>
          <t>UPPSALA LÄN</t>
        </is>
      </c>
      <c r="E4559" t="inlineStr">
        <is>
          <t>ÖSTHAMMAR</t>
        </is>
      </c>
      <c r="F4559" t="inlineStr">
        <is>
          <t>Övriga Aktiebolag</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46106-2023</t>
        </is>
      </c>
      <c r="B4560" s="1" t="n">
        <v>45196</v>
      </c>
      <c r="C4560" s="1" t="n">
        <v>45846</v>
      </c>
      <c r="D4560" t="inlineStr">
        <is>
          <t>UPPSALA LÄN</t>
        </is>
      </c>
      <c r="E4560" t="inlineStr">
        <is>
          <t>ÄLVKARLEBY</t>
        </is>
      </c>
      <c r="F4560" t="inlineStr">
        <is>
          <t>Bergvik skog väst AB</t>
        </is>
      </c>
      <c r="G4560" t="n">
        <v>6</v>
      </c>
      <c r="H4560" t="n">
        <v>0</v>
      </c>
      <c r="I4560" t="n">
        <v>0</v>
      </c>
      <c r="J4560" t="n">
        <v>0</v>
      </c>
      <c r="K4560" t="n">
        <v>0</v>
      </c>
      <c r="L4560" t="n">
        <v>0</v>
      </c>
      <c r="M4560" t="n">
        <v>0</v>
      </c>
      <c r="N4560" t="n">
        <v>0</v>
      </c>
      <c r="O4560" t="n">
        <v>0</v>
      </c>
      <c r="P4560" t="n">
        <v>0</v>
      </c>
      <c r="Q4560" t="n">
        <v>0</v>
      </c>
      <c r="R4560" s="2" t="inlineStr"/>
    </row>
    <row r="4561" ht="15" customHeight="1">
      <c r="A4561" t="inlineStr">
        <is>
          <t>A 46160-2023</t>
        </is>
      </c>
      <c r="B4561" s="1" t="n">
        <v>45196</v>
      </c>
      <c r="C4561" s="1" t="n">
        <v>45846</v>
      </c>
      <c r="D4561" t="inlineStr">
        <is>
          <t>UPPSALA LÄN</t>
        </is>
      </c>
      <c r="E4561" t="inlineStr">
        <is>
          <t>KNIVSTA</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46429-2023</t>
        </is>
      </c>
      <c r="B4562" s="1" t="n">
        <v>45197</v>
      </c>
      <c r="C4562" s="1" t="n">
        <v>45846</v>
      </c>
      <c r="D4562" t="inlineStr">
        <is>
          <t>UPPSALA LÄN</t>
        </is>
      </c>
      <c r="E4562" t="inlineStr">
        <is>
          <t>ÄLVKARLEBY</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46436-2023</t>
        </is>
      </c>
      <c r="B4563" s="1" t="n">
        <v>45197</v>
      </c>
      <c r="C4563" s="1" t="n">
        <v>45846</v>
      </c>
      <c r="D4563" t="inlineStr">
        <is>
          <t>UPPSALA LÄN</t>
        </is>
      </c>
      <c r="E4563" t="inlineStr">
        <is>
          <t>ÄLVKARLEBY</t>
        </is>
      </c>
      <c r="F4563" t="inlineStr">
        <is>
          <t>Bergvik skog väst AB</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46477-2023</t>
        </is>
      </c>
      <c r="B4564" s="1" t="n">
        <v>45197</v>
      </c>
      <c r="C4564" s="1" t="n">
        <v>45846</v>
      </c>
      <c r="D4564" t="inlineStr">
        <is>
          <t>UPPSALA LÄN</t>
        </is>
      </c>
      <c r="E4564" t="inlineStr">
        <is>
          <t>ÄLVKARLEBY</t>
        </is>
      </c>
      <c r="G4564" t="n">
        <v>3.6</v>
      </c>
      <c r="H4564" t="n">
        <v>0</v>
      </c>
      <c r="I4564" t="n">
        <v>0</v>
      </c>
      <c r="J4564" t="n">
        <v>0</v>
      </c>
      <c r="K4564" t="n">
        <v>0</v>
      </c>
      <c r="L4564" t="n">
        <v>0</v>
      </c>
      <c r="M4564" t="n">
        <v>0</v>
      </c>
      <c r="N4564" t="n">
        <v>0</v>
      </c>
      <c r="O4564" t="n">
        <v>0</v>
      </c>
      <c r="P4564" t="n">
        <v>0</v>
      </c>
      <c r="Q4564" t="n">
        <v>0</v>
      </c>
      <c r="R4564" s="2" t="inlineStr"/>
    </row>
    <row r="4565" ht="15" customHeight="1">
      <c r="A4565" t="inlineStr">
        <is>
          <t>A 46335-2023</t>
        </is>
      </c>
      <c r="B4565" s="1" t="n">
        <v>45197</v>
      </c>
      <c r="C4565" s="1" t="n">
        <v>45846</v>
      </c>
      <c r="D4565" t="inlineStr">
        <is>
          <t>UPPSALA LÄN</t>
        </is>
      </c>
      <c r="E4565" t="inlineStr">
        <is>
          <t>UPPSALA</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46399-2023</t>
        </is>
      </c>
      <c r="B4566" s="1" t="n">
        <v>45197</v>
      </c>
      <c r="C4566" s="1" t="n">
        <v>45846</v>
      </c>
      <c r="D4566" t="inlineStr">
        <is>
          <t>UPPSALA LÄN</t>
        </is>
      </c>
      <c r="E4566" t="inlineStr">
        <is>
          <t>ÖSTHAMMAR</t>
        </is>
      </c>
      <c r="G4566" t="n">
        <v>5.8</v>
      </c>
      <c r="H4566" t="n">
        <v>0</v>
      </c>
      <c r="I4566" t="n">
        <v>0</v>
      </c>
      <c r="J4566" t="n">
        <v>0</v>
      </c>
      <c r="K4566" t="n">
        <v>0</v>
      </c>
      <c r="L4566" t="n">
        <v>0</v>
      </c>
      <c r="M4566" t="n">
        <v>0</v>
      </c>
      <c r="N4566" t="n">
        <v>0</v>
      </c>
      <c r="O4566" t="n">
        <v>0</v>
      </c>
      <c r="P4566" t="n">
        <v>0</v>
      </c>
      <c r="Q4566" t="n">
        <v>0</v>
      </c>
      <c r="R4566" s="2" t="inlineStr"/>
    </row>
    <row r="4567" ht="15" customHeight="1">
      <c r="A4567" t="inlineStr">
        <is>
          <t>A 46430-2023</t>
        </is>
      </c>
      <c r="B4567" s="1" t="n">
        <v>45197</v>
      </c>
      <c r="C4567" s="1" t="n">
        <v>45846</v>
      </c>
      <c r="D4567" t="inlineStr">
        <is>
          <t>UPPSALA LÄN</t>
        </is>
      </c>
      <c r="E4567" t="inlineStr">
        <is>
          <t>HEBY</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46522-2023</t>
        </is>
      </c>
      <c r="B4568" s="1" t="n">
        <v>45197</v>
      </c>
      <c r="C4568" s="1" t="n">
        <v>45846</v>
      </c>
      <c r="D4568" t="inlineStr">
        <is>
          <t>UPPSALA LÄN</t>
        </is>
      </c>
      <c r="E4568" t="inlineStr">
        <is>
          <t>TIERP</t>
        </is>
      </c>
      <c r="G4568" t="n">
        <v>16.1</v>
      </c>
      <c r="H4568" t="n">
        <v>0</v>
      </c>
      <c r="I4568" t="n">
        <v>0</v>
      </c>
      <c r="J4568" t="n">
        <v>0</v>
      </c>
      <c r="K4568" t="n">
        <v>0</v>
      </c>
      <c r="L4568" t="n">
        <v>0</v>
      </c>
      <c r="M4568" t="n">
        <v>0</v>
      </c>
      <c r="N4568" t="n">
        <v>0</v>
      </c>
      <c r="O4568" t="n">
        <v>0</v>
      </c>
      <c r="P4568" t="n">
        <v>0</v>
      </c>
      <c r="Q4568" t="n">
        <v>0</v>
      </c>
      <c r="R4568" s="2" t="inlineStr"/>
    </row>
    <row r="4569" ht="15" customHeight="1">
      <c r="A4569" t="inlineStr">
        <is>
          <t>A 46785-2023</t>
        </is>
      </c>
      <c r="B4569" s="1" t="n">
        <v>45198</v>
      </c>
      <c r="C4569" s="1" t="n">
        <v>45846</v>
      </c>
      <c r="D4569" t="inlineStr">
        <is>
          <t>UPPSALA LÄN</t>
        </is>
      </c>
      <c r="E4569" t="inlineStr">
        <is>
          <t>ÖSTHAMMAR</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46730-2023</t>
        </is>
      </c>
      <c r="B4570" s="1" t="n">
        <v>45198</v>
      </c>
      <c r="C4570" s="1" t="n">
        <v>45846</v>
      </c>
      <c r="D4570" t="inlineStr">
        <is>
          <t>UPPSALA LÄN</t>
        </is>
      </c>
      <c r="E4570" t="inlineStr">
        <is>
          <t>TIERP</t>
        </is>
      </c>
      <c r="F4570" t="inlineStr">
        <is>
          <t>Bergvik skog öst AB</t>
        </is>
      </c>
      <c r="G4570" t="n">
        <v>8.800000000000001</v>
      </c>
      <c r="H4570" t="n">
        <v>0</v>
      </c>
      <c r="I4570" t="n">
        <v>0</v>
      </c>
      <c r="J4570" t="n">
        <v>0</v>
      </c>
      <c r="K4570" t="n">
        <v>0</v>
      </c>
      <c r="L4570" t="n">
        <v>0</v>
      </c>
      <c r="M4570" t="n">
        <v>0</v>
      </c>
      <c r="N4570" t="n">
        <v>0</v>
      </c>
      <c r="O4570" t="n">
        <v>0</v>
      </c>
      <c r="P4570" t="n">
        <v>0</v>
      </c>
      <c r="Q4570" t="n">
        <v>0</v>
      </c>
      <c r="R4570" s="2" t="inlineStr"/>
    </row>
    <row r="4571" ht="15" customHeight="1">
      <c r="A4571" t="inlineStr">
        <is>
          <t>A 46869-2023</t>
        </is>
      </c>
      <c r="B4571" s="1" t="n">
        <v>45200</v>
      </c>
      <c r="C4571" s="1" t="n">
        <v>45846</v>
      </c>
      <c r="D4571" t="inlineStr">
        <is>
          <t>UPPSALA LÄN</t>
        </is>
      </c>
      <c r="E4571" t="inlineStr">
        <is>
          <t>UPPSALA</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47114-2023</t>
        </is>
      </c>
      <c r="B4572" s="1" t="n">
        <v>45201</v>
      </c>
      <c r="C4572" s="1" t="n">
        <v>45846</v>
      </c>
      <c r="D4572" t="inlineStr">
        <is>
          <t>UPPSALA LÄN</t>
        </is>
      </c>
      <c r="E4572" t="inlineStr">
        <is>
          <t>ÖSTHAMMAR</t>
        </is>
      </c>
      <c r="F4572" t="inlineStr">
        <is>
          <t>Bergvik skog öst AB</t>
        </is>
      </c>
      <c r="G4572" t="n">
        <v>7</v>
      </c>
      <c r="H4572" t="n">
        <v>0</v>
      </c>
      <c r="I4572" t="n">
        <v>0</v>
      </c>
      <c r="J4572" t="n">
        <v>0</v>
      </c>
      <c r="K4572" t="n">
        <v>0</v>
      </c>
      <c r="L4572" t="n">
        <v>0</v>
      </c>
      <c r="M4572" t="n">
        <v>0</v>
      </c>
      <c r="N4572" t="n">
        <v>0</v>
      </c>
      <c r="O4572" t="n">
        <v>0</v>
      </c>
      <c r="P4572" t="n">
        <v>0</v>
      </c>
      <c r="Q4572" t="n">
        <v>0</v>
      </c>
      <c r="R4572" s="2" t="inlineStr"/>
    </row>
    <row r="4573" ht="15" customHeight="1">
      <c r="A4573" t="inlineStr">
        <is>
          <t>A 47034-2023</t>
        </is>
      </c>
      <c r="B4573" s="1" t="n">
        <v>45201</v>
      </c>
      <c r="C4573" s="1" t="n">
        <v>45846</v>
      </c>
      <c r="D4573" t="inlineStr">
        <is>
          <t>UPPSALA LÄN</t>
        </is>
      </c>
      <c r="E4573" t="inlineStr">
        <is>
          <t>TIERP</t>
        </is>
      </c>
      <c r="F4573" t="inlineStr">
        <is>
          <t>Bergvik skog öst AB</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46995-2023</t>
        </is>
      </c>
      <c r="B4574" s="1" t="n">
        <v>45201</v>
      </c>
      <c r="C4574" s="1" t="n">
        <v>45846</v>
      </c>
      <c r="D4574" t="inlineStr">
        <is>
          <t>UPPSALA LÄN</t>
        </is>
      </c>
      <c r="E4574" t="inlineStr">
        <is>
          <t>UPPSALA</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47083-2023</t>
        </is>
      </c>
      <c r="B4575" s="1" t="n">
        <v>45201</v>
      </c>
      <c r="C4575" s="1" t="n">
        <v>45846</v>
      </c>
      <c r="D4575" t="inlineStr">
        <is>
          <t>UPPSALA LÄN</t>
        </is>
      </c>
      <c r="E4575" t="inlineStr">
        <is>
          <t>UPPSALA</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48515-2023</t>
        </is>
      </c>
      <c r="B4576" s="1" t="n">
        <v>45201</v>
      </c>
      <c r="C4576" s="1" t="n">
        <v>45846</v>
      </c>
      <c r="D4576" t="inlineStr">
        <is>
          <t>UPPSALA LÄN</t>
        </is>
      </c>
      <c r="E4576" t="inlineStr">
        <is>
          <t>ÖSTHAMMAR</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47221-2023</t>
        </is>
      </c>
      <c r="B4577" s="1" t="n">
        <v>45202</v>
      </c>
      <c r="C4577" s="1" t="n">
        <v>45846</v>
      </c>
      <c r="D4577" t="inlineStr">
        <is>
          <t>UPPSALA LÄN</t>
        </is>
      </c>
      <c r="E4577" t="inlineStr">
        <is>
          <t>UPPSALA</t>
        </is>
      </c>
      <c r="G4577" t="n">
        <v>8.6</v>
      </c>
      <c r="H4577" t="n">
        <v>0</v>
      </c>
      <c r="I4577" t="n">
        <v>0</v>
      </c>
      <c r="J4577" t="n">
        <v>0</v>
      </c>
      <c r="K4577" t="n">
        <v>0</v>
      </c>
      <c r="L4577" t="n">
        <v>0</v>
      </c>
      <c r="M4577" t="n">
        <v>0</v>
      </c>
      <c r="N4577" t="n">
        <v>0</v>
      </c>
      <c r="O4577" t="n">
        <v>0</v>
      </c>
      <c r="P4577" t="n">
        <v>0</v>
      </c>
      <c r="Q4577" t="n">
        <v>0</v>
      </c>
      <c r="R4577" s="2" t="inlineStr"/>
    </row>
    <row r="4578" ht="15" customHeight="1">
      <c r="A4578" t="inlineStr">
        <is>
          <t>A 47390-2023</t>
        </is>
      </c>
      <c r="B4578" s="1" t="n">
        <v>45202</v>
      </c>
      <c r="C4578" s="1" t="n">
        <v>45846</v>
      </c>
      <c r="D4578" t="inlineStr">
        <is>
          <t>UPPSALA LÄN</t>
        </is>
      </c>
      <c r="E4578" t="inlineStr">
        <is>
          <t>ÖSTHAMMAR</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47314-2023</t>
        </is>
      </c>
      <c r="B4579" s="1" t="n">
        <v>45202</v>
      </c>
      <c r="C4579" s="1" t="n">
        <v>45846</v>
      </c>
      <c r="D4579" t="inlineStr">
        <is>
          <t>UPPSALA LÄN</t>
        </is>
      </c>
      <c r="E4579" t="inlineStr">
        <is>
          <t>UPPSALA</t>
        </is>
      </c>
      <c r="F4579" t="inlineStr">
        <is>
          <t>Bergvik skog öst AB</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47428-2023</t>
        </is>
      </c>
      <c r="B4580" s="1" t="n">
        <v>45202</v>
      </c>
      <c r="C4580" s="1" t="n">
        <v>45846</v>
      </c>
      <c r="D4580" t="inlineStr">
        <is>
          <t>UPPSALA LÄN</t>
        </is>
      </c>
      <c r="E4580" t="inlineStr">
        <is>
          <t>ENKÖPING</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47374-2023</t>
        </is>
      </c>
      <c r="B4581" s="1" t="n">
        <v>45202</v>
      </c>
      <c r="C4581" s="1" t="n">
        <v>45846</v>
      </c>
      <c r="D4581" t="inlineStr">
        <is>
          <t>UPPSALA LÄN</t>
        </is>
      </c>
      <c r="E4581" t="inlineStr">
        <is>
          <t>ÖSTHAMMAR</t>
        </is>
      </c>
      <c r="F4581" t="inlineStr">
        <is>
          <t>Bergvik skog öst AB</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47287-2023</t>
        </is>
      </c>
      <c r="B4582" s="1" t="n">
        <v>45202</v>
      </c>
      <c r="C4582" s="1" t="n">
        <v>45846</v>
      </c>
      <c r="D4582" t="inlineStr">
        <is>
          <t>UPPSALA LÄN</t>
        </is>
      </c>
      <c r="E4582" t="inlineStr">
        <is>
          <t>UPPSALA</t>
        </is>
      </c>
      <c r="F4582" t="inlineStr">
        <is>
          <t>Holmen skog AB</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47316-2023</t>
        </is>
      </c>
      <c r="B4583" s="1" t="n">
        <v>45202</v>
      </c>
      <c r="C4583" s="1" t="n">
        <v>45846</v>
      </c>
      <c r="D4583" t="inlineStr">
        <is>
          <t>UPPSALA LÄN</t>
        </is>
      </c>
      <c r="E4583" t="inlineStr">
        <is>
          <t>UPPSALA</t>
        </is>
      </c>
      <c r="F4583" t="inlineStr">
        <is>
          <t>Bergvik skog öst AB</t>
        </is>
      </c>
      <c r="G4583" t="n">
        <v>0.3</v>
      </c>
      <c r="H4583" t="n">
        <v>0</v>
      </c>
      <c r="I4583" t="n">
        <v>0</v>
      </c>
      <c r="J4583" t="n">
        <v>0</v>
      </c>
      <c r="K4583" t="n">
        <v>0</v>
      </c>
      <c r="L4583" t="n">
        <v>0</v>
      </c>
      <c r="M4583" t="n">
        <v>0</v>
      </c>
      <c r="N4583" t="n">
        <v>0</v>
      </c>
      <c r="O4583" t="n">
        <v>0</v>
      </c>
      <c r="P4583" t="n">
        <v>0</v>
      </c>
      <c r="Q4583" t="n">
        <v>0</v>
      </c>
      <c r="R4583" s="2" t="inlineStr"/>
    </row>
    <row r="4584" ht="15" customHeight="1">
      <c r="A4584" t="inlineStr">
        <is>
          <t>A 47341-2023</t>
        </is>
      </c>
      <c r="B4584" s="1" t="n">
        <v>45202</v>
      </c>
      <c r="C4584" s="1" t="n">
        <v>45846</v>
      </c>
      <c r="D4584" t="inlineStr">
        <is>
          <t>UPPSALA LÄN</t>
        </is>
      </c>
      <c r="E4584" t="inlineStr">
        <is>
          <t>ÖSTHAMMAR</t>
        </is>
      </c>
      <c r="G4584" t="n">
        <v>4.9</v>
      </c>
      <c r="H4584" t="n">
        <v>0</v>
      </c>
      <c r="I4584" t="n">
        <v>0</v>
      </c>
      <c r="J4584" t="n">
        <v>0</v>
      </c>
      <c r="K4584" t="n">
        <v>0</v>
      </c>
      <c r="L4584" t="n">
        <v>0</v>
      </c>
      <c r="M4584" t="n">
        <v>0</v>
      </c>
      <c r="N4584" t="n">
        <v>0</v>
      </c>
      <c r="O4584" t="n">
        <v>0</v>
      </c>
      <c r="P4584" t="n">
        <v>0</v>
      </c>
      <c r="Q4584" t="n">
        <v>0</v>
      </c>
      <c r="R4584" s="2" t="inlineStr"/>
    </row>
    <row r="4585" ht="15" customHeight="1">
      <c r="A4585" t="inlineStr">
        <is>
          <t>A 47421-2023</t>
        </is>
      </c>
      <c r="B4585" s="1" t="n">
        <v>45202</v>
      </c>
      <c r="C4585" s="1" t="n">
        <v>45846</v>
      </c>
      <c r="D4585" t="inlineStr">
        <is>
          <t>UPPSALA LÄN</t>
        </is>
      </c>
      <c r="E4585" t="inlineStr">
        <is>
          <t>HEBY</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47548-2023</t>
        </is>
      </c>
      <c r="B4586" s="1" t="n">
        <v>45203</v>
      </c>
      <c r="C4586" s="1" t="n">
        <v>45846</v>
      </c>
      <c r="D4586" t="inlineStr">
        <is>
          <t>UPPSALA LÄN</t>
        </is>
      </c>
      <c r="E4586" t="inlineStr">
        <is>
          <t>ÄLVKARLEBY</t>
        </is>
      </c>
      <c r="F4586" t="inlineStr">
        <is>
          <t>Bergvik skog väst AB</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47570-2023</t>
        </is>
      </c>
      <c r="B4587" s="1" t="n">
        <v>45203</v>
      </c>
      <c r="C4587" s="1" t="n">
        <v>45846</v>
      </c>
      <c r="D4587" t="inlineStr">
        <is>
          <t>UPPSALA LÄN</t>
        </is>
      </c>
      <c r="E4587" t="inlineStr">
        <is>
          <t>ÄLVKARLEBY</t>
        </is>
      </c>
      <c r="F4587" t="inlineStr">
        <is>
          <t>Bergvik skog väst AB</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47522-2023</t>
        </is>
      </c>
      <c r="B4588" s="1" t="n">
        <v>45203</v>
      </c>
      <c r="C4588" s="1" t="n">
        <v>45846</v>
      </c>
      <c r="D4588" t="inlineStr">
        <is>
          <t>UPPSALA LÄN</t>
        </is>
      </c>
      <c r="E4588" t="inlineStr">
        <is>
          <t>ÖSTHAMMAR</t>
        </is>
      </c>
      <c r="F4588" t="inlineStr">
        <is>
          <t>Bergvik skog öst AB</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47554-2023</t>
        </is>
      </c>
      <c r="B4589" s="1" t="n">
        <v>45203</v>
      </c>
      <c r="C4589" s="1" t="n">
        <v>45846</v>
      </c>
      <c r="D4589" t="inlineStr">
        <is>
          <t>UPPSALA LÄN</t>
        </is>
      </c>
      <c r="E4589" t="inlineStr">
        <is>
          <t>ÄLVKARLEBY</t>
        </is>
      </c>
      <c r="F4589" t="inlineStr">
        <is>
          <t>Bergvik skog väst AB</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47559-2023</t>
        </is>
      </c>
      <c r="B4590" s="1" t="n">
        <v>45203</v>
      </c>
      <c r="C4590" s="1" t="n">
        <v>45846</v>
      </c>
      <c r="D4590" t="inlineStr">
        <is>
          <t>UPPSALA LÄN</t>
        </is>
      </c>
      <c r="E4590" t="inlineStr">
        <is>
          <t>ÄLVKARLEBY</t>
        </is>
      </c>
      <c r="F4590" t="inlineStr">
        <is>
          <t>Bergvik skog väst AB</t>
        </is>
      </c>
      <c r="G4590" t="n">
        <v>4.9</v>
      </c>
      <c r="H4590" t="n">
        <v>0</v>
      </c>
      <c r="I4590" t="n">
        <v>0</v>
      </c>
      <c r="J4590" t="n">
        <v>0</v>
      </c>
      <c r="K4590" t="n">
        <v>0</v>
      </c>
      <c r="L4590" t="n">
        <v>0</v>
      </c>
      <c r="M4590" t="n">
        <v>0</v>
      </c>
      <c r="N4590" t="n">
        <v>0</v>
      </c>
      <c r="O4590" t="n">
        <v>0</v>
      </c>
      <c r="P4590" t="n">
        <v>0</v>
      </c>
      <c r="Q4590" t="n">
        <v>0</v>
      </c>
      <c r="R4590" s="2" t="inlineStr"/>
    </row>
    <row r="4591" ht="15" customHeight="1">
      <c r="A4591" t="inlineStr">
        <is>
          <t>A 47553-2023</t>
        </is>
      </c>
      <c r="B4591" s="1" t="n">
        <v>45203</v>
      </c>
      <c r="C4591" s="1" t="n">
        <v>45846</v>
      </c>
      <c r="D4591" t="inlineStr">
        <is>
          <t>UPPSALA LÄN</t>
        </is>
      </c>
      <c r="E4591" t="inlineStr">
        <is>
          <t>ENKÖPING</t>
        </is>
      </c>
      <c r="G4591" t="n">
        <v>13.3</v>
      </c>
      <c r="H4591" t="n">
        <v>0</v>
      </c>
      <c r="I4591" t="n">
        <v>0</v>
      </c>
      <c r="J4591" t="n">
        <v>0</v>
      </c>
      <c r="K4591" t="n">
        <v>0</v>
      </c>
      <c r="L4591" t="n">
        <v>0</v>
      </c>
      <c r="M4591" t="n">
        <v>0</v>
      </c>
      <c r="N4591" t="n">
        <v>0</v>
      </c>
      <c r="O4591" t="n">
        <v>0</v>
      </c>
      <c r="P4591" t="n">
        <v>0</v>
      </c>
      <c r="Q4591" t="n">
        <v>0</v>
      </c>
      <c r="R4591" s="2" t="inlineStr"/>
    </row>
    <row r="4592" ht="15" customHeight="1">
      <c r="A4592" t="inlineStr">
        <is>
          <t>A 47618-2023</t>
        </is>
      </c>
      <c r="B4592" s="1" t="n">
        <v>45203</v>
      </c>
      <c r="C4592" s="1" t="n">
        <v>45846</v>
      </c>
      <c r="D4592" t="inlineStr">
        <is>
          <t>UPPSALA LÄN</t>
        </is>
      </c>
      <c r="E4592" t="inlineStr">
        <is>
          <t>UPPSALA</t>
        </is>
      </c>
      <c r="F4592" t="inlineStr">
        <is>
          <t>Bergvik skog öst AB</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48736-2023</t>
        </is>
      </c>
      <c r="B4593" s="1" t="n">
        <v>45203</v>
      </c>
      <c r="C4593" s="1" t="n">
        <v>45846</v>
      </c>
      <c r="D4593" t="inlineStr">
        <is>
          <t>UPPSALA LÄN</t>
        </is>
      </c>
      <c r="E4593" t="inlineStr">
        <is>
          <t>TIERP</t>
        </is>
      </c>
      <c r="F4593" t="inlineStr">
        <is>
          <t>Bergvik skog väst AB</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48735-2023</t>
        </is>
      </c>
      <c r="B4594" s="1" t="n">
        <v>45203</v>
      </c>
      <c r="C4594" s="1" t="n">
        <v>45846</v>
      </c>
      <c r="D4594" t="inlineStr">
        <is>
          <t>UPPSALA LÄN</t>
        </is>
      </c>
      <c r="E4594" t="inlineStr">
        <is>
          <t>TIERP</t>
        </is>
      </c>
      <c r="F4594" t="inlineStr">
        <is>
          <t>Bergvik skog väst AB</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47960-2023</t>
        </is>
      </c>
      <c r="B4595" s="1" t="n">
        <v>45204</v>
      </c>
      <c r="C4595" s="1" t="n">
        <v>45846</v>
      </c>
      <c r="D4595" t="inlineStr">
        <is>
          <t>UPPSALA LÄN</t>
        </is>
      </c>
      <c r="E4595" t="inlineStr">
        <is>
          <t>TIERP</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47977-2023</t>
        </is>
      </c>
      <c r="B4596" s="1" t="n">
        <v>45204</v>
      </c>
      <c r="C4596" s="1" t="n">
        <v>45846</v>
      </c>
      <c r="D4596" t="inlineStr">
        <is>
          <t>UPPSALA LÄN</t>
        </is>
      </c>
      <c r="E4596" t="inlineStr">
        <is>
          <t>TIERP</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47968-2023</t>
        </is>
      </c>
      <c r="B4597" s="1" t="n">
        <v>45204</v>
      </c>
      <c r="C4597" s="1" t="n">
        <v>45846</v>
      </c>
      <c r="D4597" t="inlineStr">
        <is>
          <t>UPPSALA LÄN</t>
        </is>
      </c>
      <c r="E4597" t="inlineStr">
        <is>
          <t>TIERP</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48032-2023</t>
        </is>
      </c>
      <c r="B4598" s="1" t="n">
        <v>45204</v>
      </c>
      <c r="C4598" s="1" t="n">
        <v>45846</v>
      </c>
      <c r="D4598" t="inlineStr">
        <is>
          <t>UPPSALA LÄN</t>
        </is>
      </c>
      <c r="E4598" t="inlineStr">
        <is>
          <t>ÖSTHAMMAR</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48171-2023</t>
        </is>
      </c>
      <c r="B4599" s="1" t="n">
        <v>45205</v>
      </c>
      <c r="C4599" s="1" t="n">
        <v>45846</v>
      </c>
      <c r="D4599" t="inlineStr">
        <is>
          <t>UPPSALA LÄN</t>
        </is>
      </c>
      <c r="E4599" t="inlineStr">
        <is>
          <t>ÖSTHAMMAR</t>
        </is>
      </c>
      <c r="F4599" t="inlineStr">
        <is>
          <t>Bergvik skog öst AB</t>
        </is>
      </c>
      <c r="G4599" t="n">
        <v>5.3</v>
      </c>
      <c r="H4599" t="n">
        <v>0</v>
      </c>
      <c r="I4599" t="n">
        <v>0</v>
      </c>
      <c r="J4599" t="n">
        <v>0</v>
      </c>
      <c r="K4599" t="n">
        <v>0</v>
      </c>
      <c r="L4599" t="n">
        <v>0</v>
      </c>
      <c r="M4599" t="n">
        <v>0</v>
      </c>
      <c r="N4599" t="n">
        <v>0</v>
      </c>
      <c r="O4599" t="n">
        <v>0</v>
      </c>
      <c r="P4599" t="n">
        <v>0</v>
      </c>
      <c r="Q4599" t="n">
        <v>0</v>
      </c>
      <c r="R4599" s="2" t="inlineStr"/>
    </row>
    <row r="4600" ht="15" customHeight="1">
      <c r="A4600" t="inlineStr">
        <is>
          <t>A 48562-2023</t>
        </is>
      </c>
      <c r="B4600" s="1" t="n">
        <v>45208</v>
      </c>
      <c r="C4600" s="1" t="n">
        <v>45846</v>
      </c>
      <c r="D4600" t="inlineStr">
        <is>
          <t>UPPSALA LÄN</t>
        </is>
      </c>
      <c r="E4600" t="inlineStr">
        <is>
          <t>UPPSALA</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48564-2023</t>
        </is>
      </c>
      <c r="B4601" s="1" t="n">
        <v>45208</v>
      </c>
      <c r="C4601" s="1" t="n">
        <v>45846</v>
      </c>
      <c r="D4601" t="inlineStr">
        <is>
          <t>UPPSALA LÄN</t>
        </is>
      </c>
      <c r="E4601" t="inlineStr">
        <is>
          <t>UPPSALA</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48571-2023</t>
        </is>
      </c>
      <c r="B4602" s="1" t="n">
        <v>45208</v>
      </c>
      <c r="C4602" s="1" t="n">
        <v>45846</v>
      </c>
      <c r="D4602" t="inlineStr">
        <is>
          <t>UPPSALA LÄN</t>
        </is>
      </c>
      <c r="E4602" t="inlineStr">
        <is>
          <t>UPPSALA</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48584-2023</t>
        </is>
      </c>
      <c r="B4603" s="1" t="n">
        <v>45208</v>
      </c>
      <c r="C4603" s="1" t="n">
        <v>45846</v>
      </c>
      <c r="D4603" t="inlineStr">
        <is>
          <t>UPPSALA LÄN</t>
        </is>
      </c>
      <c r="E4603" t="inlineStr">
        <is>
          <t>UPPSALA</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48614-2023</t>
        </is>
      </c>
      <c r="B4604" s="1" t="n">
        <v>45208</v>
      </c>
      <c r="C4604" s="1" t="n">
        <v>45846</v>
      </c>
      <c r="D4604" t="inlineStr">
        <is>
          <t>UPPSALA LÄN</t>
        </is>
      </c>
      <c r="E4604" t="inlineStr">
        <is>
          <t>ÄLVKARLEBY</t>
        </is>
      </c>
      <c r="F4604" t="inlineStr">
        <is>
          <t>Bergvik skog öst AB</t>
        </is>
      </c>
      <c r="G4604" t="n">
        <v>5.4</v>
      </c>
      <c r="H4604" t="n">
        <v>0</v>
      </c>
      <c r="I4604" t="n">
        <v>0</v>
      </c>
      <c r="J4604" t="n">
        <v>0</v>
      </c>
      <c r="K4604" t="n">
        <v>0</v>
      </c>
      <c r="L4604" t="n">
        <v>0</v>
      </c>
      <c r="M4604" t="n">
        <v>0</v>
      </c>
      <c r="N4604" t="n">
        <v>0</v>
      </c>
      <c r="O4604" t="n">
        <v>0</v>
      </c>
      <c r="P4604" t="n">
        <v>0</v>
      </c>
      <c r="Q4604" t="n">
        <v>0</v>
      </c>
      <c r="R4604" s="2" t="inlineStr"/>
    </row>
    <row r="4605" ht="15" customHeight="1">
      <c r="A4605" t="inlineStr">
        <is>
          <t>A 48620-2023</t>
        </is>
      </c>
      <c r="B4605" s="1" t="n">
        <v>45208</v>
      </c>
      <c r="C4605" s="1" t="n">
        <v>45846</v>
      </c>
      <c r="D4605" t="inlineStr">
        <is>
          <t>UPPSALA LÄN</t>
        </is>
      </c>
      <c r="E4605" t="inlineStr">
        <is>
          <t>ÄLVKARLEBY</t>
        </is>
      </c>
      <c r="F4605" t="inlineStr">
        <is>
          <t>Bergvik skog öst AB</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48719-2023</t>
        </is>
      </c>
      <c r="B4606" s="1" t="n">
        <v>45208</v>
      </c>
      <c r="C4606" s="1" t="n">
        <v>45846</v>
      </c>
      <c r="D4606" t="inlineStr">
        <is>
          <t>UPPSALA LÄN</t>
        </is>
      </c>
      <c r="E4606" t="inlineStr">
        <is>
          <t>ÖSTHAMMAR</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48674-2023</t>
        </is>
      </c>
      <c r="B4607" s="1" t="n">
        <v>45208</v>
      </c>
      <c r="C4607" s="1" t="n">
        <v>45846</v>
      </c>
      <c r="D4607" t="inlineStr">
        <is>
          <t>UPPSALA LÄN</t>
        </is>
      </c>
      <c r="E4607" t="inlineStr">
        <is>
          <t>ÄLVKARLEBY</t>
        </is>
      </c>
      <c r="F4607" t="inlineStr">
        <is>
          <t>Bergvik skog öst AB</t>
        </is>
      </c>
      <c r="G4607" t="n">
        <v>15.5</v>
      </c>
      <c r="H4607" t="n">
        <v>0</v>
      </c>
      <c r="I4607" t="n">
        <v>0</v>
      </c>
      <c r="J4607" t="n">
        <v>0</v>
      </c>
      <c r="K4607" t="n">
        <v>0</v>
      </c>
      <c r="L4607" t="n">
        <v>0</v>
      </c>
      <c r="M4607" t="n">
        <v>0</v>
      </c>
      <c r="N4607" t="n">
        <v>0</v>
      </c>
      <c r="O4607" t="n">
        <v>0</v>
      </c>
      <c r="P4607" t="n">
        <v>0</v>
      </c>
      <c r="Q4607" t="n">
        <v>0</v>
      </c>
      <c r="R4607" s="2" t="inlineStr"/>
    </row>
    <row r="4608" ht="15" customHeight="1">
      <c r="A4608" t="inlineStr">
        <is>
          <t>A 49707-2023</t>
        </is>
      </c>
      <c r="B4608" s="1" t="n">
        <v>45208</v>
      </c>
      <c r="C4608" s="1" t="n">
        <v>45846</v>
      </c>
      <c r="D4608" t="inlineStr">
        <is>
          <t>UPPSALA LÄN</t>
        </is>
      </c>
      <c r="E4608" t="inlineStr">
        <is>
          <t>HEBY</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48843-2023</t>
        </is>
      </c>
      <c r="B4609" s="1" t="n">
        <v>45209</v>
      </c>
      <c r="C4609" s="1" t="n">
        <v>45846</v>
      </c>
      <c r="D4609" t="inlineStr">
        <is>
          <t>UPPSALA LÄN</t>
        </is>
      </c>
      <c r="E4609" t="inlineStr">
        <is>
          <t>ENKÖPING</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48905-2023</t>
        </is>
      </c>
      <c r="B4610" s="1" t="n">
        <v>45209</v>
      </c>
      <c r="C4610" s="1" t="n">
        <v>45846</v>
      </c>
      <c r="D4610" t="inlineStr">
        <is>
          <t>UPPSALA LÄN</t>
        </is>
      </c>
      <c r="E4610" t="inlineStr">
        <is>
          <t>TIERP</t>
        </is>
      </c>
      <c r="F4610" t="inlineStr">
        <is>
          <t>Bergvik skog öst AB</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48960-2023</t>
        </is>
      </c>
      <c r="B4611" s="1" t="n">
        <v>45209</v>
      </c>
      <c r="C4611" s="1" t="n">
        <v>45846</v>
      </c>
      <c r="D4611" t="inlineStr">
        <is>
          <t>UPPSALA LÄN</t>
        </is>
      </c>
      <c r="E4611" t="inlineStr">
        <is>
          <t>HEBY</t>
        </is>
      </c>
      <c r="F4611" t="inlineStr">
        <is>
          <t>Bergvik skog öst AB</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48948-2023</t>
        </is>
      </c>
      <c r="B4612" s="1" t="n">
        <v>45209</v>
      </c>
      <c r="C4612" s="1" t="n">
        <v>45846</v>
      </c>
      <c r="D4612" t="inlineStr">
        <is>
          <t>UPPSALA LÄN</t>
        </is>
      </c>
      <c r="E4612" t="inlineStr">
        <is>
          <t>HEBY</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48956-2023</t>
        </is>
      </c>
      <c r="B4613" s="1" t="n">
        <v>45209</v>
      </c>
      <c r="C4613" s="1" t="n">
        <v>45846</v>
      </c>
      <c r="D4613" t="inlineStr">
        <is>
          <t>UPPSALA LÄN</t>
        </is>
      </c>
      <c r="E4613" t="inlineStr">
        <is>
          <t>HEBY</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48939-2023</t>
        </is>
      </c>
      <c r="B4614" s="1" t="n">
        <v>45209</v>
      </c>
      <c r="C4614" s="1" t="n">
        <v>45846</v>
      </c>
      <c r="D4614" t="inlineStr">
        <is>
          <t>UPPSALA LÄN</t>
        </is>
      </c>
      <c r="E4614" t="inlineStr">
        <is>
          <t>HEBY</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48958-2023</t>
        </is>
      </c>
      <c r="B4615" s="1" t="n">
        <v>45209</v>
      </c>
      <c r="C4615" s="1" t="n">
        <v>45846</v>
      </c>
      <c r="D4615" t="inlineStr">
        <is>
          <t>UPPSALA LÄN</t>
        </is>
      </c>
      <c r="E4615" t="inlineStr">
        <is>
          <t>TIERP</t>
        </is>
      </c>
      <c r="F4615" t="inlineStr">
        <is>
          <t>Bergvik skog öst AB</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48989-2023</t>
        </is>
      </c>
      <c r="B4616" s="1" t="n">
        <v>45209</v>
      </c>
      <c r="C4616" s="1" t="n">
        <v>45846</v>
      </c>
      <c r="D4616" t="inlineStr">
        <is>
          <t>UPPSALA LÄN</t>
        </is>
      </c>
      <c r="E4616" t="inlineStr">
        <is>
          <t>ÖSTHAMMAR</t>
        </is>
      </c>
      <c r="F4616" t="inlineStr">
        <is>
          <t>Övriga Aktiebolag</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49189-2023</t>
        </is>
      </c>
      <c r="B4617" s="1" t="n">
        <v>45210</v>
      </c>
      <c r="C4617" s="1" t="n">
        <v>45846</v>
      </c>
      <c r="D4617" t="inlineStr">
        <is>
          <t>UPPSALA LÄN</t>
        </is>
      </c>
      <c r="E4617" t="inlineStr">
        <is>
          <t>UPPSALA</t>
        </is>
      </c>
      <c r="G4617" t="n">
        <v>7.3</v>
      </c>
      <c r="H4617" t="n">
        <v>0</v>
      </c>
      <c r="I4617" t="n">
        <v>0</v>
      </c>
      <c r="J4617" t="n">
        <v>0</v>
      </c>
      <c r="K4617" t="n">
        <v>0</v>
      </c>
      <c r="L4617" t="n">
        <v>0</v>
      </c>
      <c r="M4617" t="n">
        <v>0</v>
      </c>
      <c r="N4617" t="n">
        <v>0</v>
      </c>
      <c r="O4617" t="n">
        <v>0</v>
      </c>
      <c r="P4617" t="n">
        <v>0</v>
      </c>
      <c r="Q4617" t="n">
        <v>0</v>
      </c>
      <c r="R4617" s="2" t="inlineStr"/>
    </row>
    <row r="4618" ht="15" customHeight="1">
      <c r="A4618" t="inlineStr">
        <is>
          <t>A 49248-2023</t>
        </is>
      </c>
      <c r="B4618" s="1" t="n">
        <v>45210</v>
      </c>
      <c r="C4618" s="1" t="n">
        <v>45846</v>
      </c>
      <c r="D4618" t="inlineStr">
        <is>
          <t>UPPSALA LÄN</t>
        </is>
      </c>
      <c r="E4618" t="inlineStr">
        <is>
          <t>ÖSTHAMMAR</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49066-2023</t>
        </is>
      </c>
      <c r="B4619" s="1" t="n">
        <v>45210</v>
      </c>
      <c r="C4619" s="1" t="n">
        <v>45846</v>
      </c>
      <c r="D4619" t="inlineStr">
        <is>
          <t>UPPSALA LÄN</t>
        </is>
      </c>
      <c r="E4619" t="inlineStr">
        <is>
          <t>ÖSTHAMMAR</t>
        </is>
      </c>
      <c r="F4619" t="inlineStr">
        <is>
          <t>Bergvik skog öst AB</t>
        </is>
      </c>
      <c r="G4619" t="n">
        <v>13.1</v>
      </c>
      <c r="H4619" t="n">
        <v>0</v>
      </c>
      <c r="I4619" t="n">
        <v>0</v>
      </c>
      <c r="J4619" t="n">
        <v>0</v>
      </c>
      <c r="K4619" t="n">
        <v>0</v>
      </c>
      <c r="L4619" t="n">
        <v>0</v>
      </c>
      <c r="M4619" t="n">
        <v>0</v>
      </c>
      <c r="N4619" t="n">
        <v>0</v>
      </c>
      <c r="O4619" t="n">
        <v>0</v>
      </c>
      <c r="P4619" t="n">
        <v>0</v>
      </c>
      <c r="Q4619" t="n">
        <v>0</v>
      </c>
      <c r="R4619" s="2" t="inlineStr"/>
    </row>
    <row r="4620" ht="15" customHeight="1">
      <c r="A4620" t="inlineStr">
        <is>
          <t>A 49088-2023</t>
        </is>
      </c>
      <c r="B4620" s="1" t="n">
        <v>45210</v>
      </c>
      <c r="C4620" s="1" t="n">
        <v>45846</v>
      </c>
      <c r="D4620" t="inlineStr">
        <is>
          <t>UPPSALA LÄN</t>
        </is>
      </c>
      <c r="E4620" t="inlineStr">
        <is>
          <t>HEBY</t>
        </is>
      </c>
      <c r="F4620" t="inlineStr">
        <is>
          <t>Bergvik skog öst AB</t>
        </is>
      </c>
      <c r="G4620" t="n">
        <v>5.1</v>
      </c>
      <c r="H4620" t="n">
        <v>0</v>
      </c>
      <c r="I4620" t="n">
        <v>0</v>
      </c>
      <c r="J4620" t="n">
        <v>0</v>
      </c>
      <c r="K4620" t="n">
        <v>0</v>
      </c>
      <c r="L4620" t="n">
        <v>0</v>
      </c>
      <c r="M4620" t="n">
        <v>0</v>
      </c>
      <c r="N4620" t="n">
        <v>0</v>
      </c>
      <c r="O4620" t="n">
        <v>0</v>
      </c>
      <c r="P4620" t="n">
        <v>0</v>
      </c>
      <c r="Q4620" t="n">
        <v>0</v>
      </c>
      <c r="R4620" s="2" t="inlineStr"/>
    </row>
    <row r="4621" ht="15" customHeight="1">
      <c r="A4621" t="inlineStr">
        <is>
          <t>A 49172-2023</t>
        </is>
      </c>
      <c r="B4621" s="1" t="n">
        <v>45210</v>
      </c>
      <c r="C4621" s="1" t="n">
        <v>45846</v>
      </c>
      <c r="D4621" t="inlineStr">
        <is>
          <t>UPPSALA LÄN</t>
        </is>
      </c>
      <c r="E4621" t="inlineStr">
        <is>
          <t>ÖSTHAMMAR</t>
        </is>
      </c>
      <c r="F4621" t="inlineStr">
        <is>
          <t>Övriga Aktiebolag</t>
        </is>
      </c>
      <c r="G4621" t="n">
        <v>13.1</v>
      </c>
      <c r="H4621" t="n">
        <v>0</v>
      </c>
      <c r="I4621" t="n">
        <v>0</v>
      </c>
      <c r="J4621" t="n">
        <v>0</v>
      </c>
      <c r="K4621" t="n">
        <v>0</v>
      </c>
      <c r="L4621" t="n">
        <v>0</v>
      </c>
      <c r="M4621" t="n">
        <v>0</v>
      </c>
      <c r="N4621" t="n">
        <v>0</v>
      </c>
      <c r="O4621" t="n">
        <v>0</v>
      </c>
      <c r="P4621" t="n">
        <v>0</v>
      </c>
      <c r="Q4621" t="n">
        <v>0</v>
      </c>
      <c r="R4621" s="2" t="inlineStr"/>
    </row>
    <row r="4622" ht="15" customHeight="1">
      <c r="A4622" t="inlineStr">
        <is>
          <t>A 49201-2023</t>
        </is>
      </c>
      <c r="B4622" s="1" t="n">
        <v>45210</v>
      </c>
      <c r="C4622" s="1" t="n">
        <v>45846</v>
      </c>
      <c r="D4622" t="inlineStr">
        <is>
          <t>UPPSALA LÄN</t>
        </is>
      </c>
      <c r="E4622" t="inlineStr">
        <is>
          <t>UPPSALA</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49138-2023</t>
        </is>
      </c>
      <c r="B4623" s="1" t="n">
        <v>45210</v>
      </c>
      <c r="C4623" s="1" t="n">
        <v>45846</v>
      </c>
      <c r="D4623" t="inlineStr">
        <is>
          <t>UPPSALA LÄN</t>
        </is>
      </c>
      <c r="E4623" t="inlineStr">
        <is>
          <t>HEBY</t>
        </is>
      </c>
      <c r="F4623" t="inlineStr">
        <is>
          <t>Bergvik skog öst AB</t>
        </is>
      </c>
      <c r="G4623" t="n">
        <v>5.2</v>
      </c>
      <c r="H4623" t="n">
        <v>0</v>
      </c>
      <c r="I4623" t="n">
        <v>0</v>
      </c>
      <c r="J4623" t="n">
        <v>0</v>
      </c>
      <c r="K4623" t="n">
        <v>0</v>
      </c>
      <c r="L4623" t="n">
        <v>0</v>
      </c>
      <c r="M4623" t="n">
        <v>0</v>
      </c>
      <c r="N4623" t="n">
        <v>0</v>
      </c>
      <c r="O4623" t="n">
        <v>0</v>
      </c>
      <c r="P4623" t="n">
        <v>0</v>
      </c>
      <c r="Q4623" t="n">
        <v>0</v>
      </c>
      <c r="R4623" s="2" t="inlineStr"/>
    </row>
    <row r="4624" ht="15" customHeight="1">
      <c r="A4624" t="inlineStr">
        <is>
          <t>A 49266-2023</t>
        </is>
      </c>
      <c r="B4624" s="1" t="n">
        <v>45210</v>
      </c>
      <c r="C4624" s="1" t="n">
        <v>45846</v>
      </c>
      <c r="D4624" t="inlineStr">
        <is>
          <t>UPPSALA LÄN</t>
        </is>
      </c>
      <c r="E4624" t="inlineStr">
        <is>
          <t>ÖSTHAMMAR</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49432-2023</t>
        </is>
      </c>
      <c r="B4625" s="1" t="n">
        <v>45211</v>
      </c>
      <c r="C4625" s="1" t="n">
        <v>45846</v>
      </c>
      <c r="D4625" t="inlineStr">
        <is>
          <t>UPPSALA LÄN</t>
        </is>
      </c>
      <c r="E4625" t="inlineStr">
        <is>
          <t>ÄLVKARLEBY</t>
        </is>
      </c>
      <c r="F4625" t="inlineStr">
        <is>
          <t>Bergvik skog väst AB</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49682-2023</t>
        </is>
      </c>
      <c r="B4626" s="1" t="n">
        <v>45212</v>
      </c>
      <c r="C4626" s="1" t="n">
        <v>45846</v>
      </c>
      <c r="D4626" t="inlineStr">
        <is>
          <t>UPPSALA LÄN</t>
        </is>
      </c>
      <c r="E4626" t="inlineStr">
        <is>
          <t>UPPSALA</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49829-2023</t>
        </is>
      </c>
      <c r="B4627" s="1" t="n">
        <v>45212</v>
      </c>
      <c r="C4627" s="1" t="n">
        <v>45846</v>
      </c>
      <c r="D4627" t="inlineStr">
        <is>
          <t>UPPSALA LÄN</t>
        </is>
      </c>
      <c r="E4627" t="inlineStr">
        <is>
          <t>ÖSTHAMMAR</t>
        </is>
      </c>
      <c r="F4627" t="inlineStr">
        <is>
          <t>Bergvik skog öst AB</t>
        </is>
      </c>
      <c r="G4627" t="n">
        <v>13.8</v>
      </c>
      <c r="H4627" t="n">
        <v>0</v>
      </c>
      <c r="I4627" t="n">
        <v>0</v>
      </c>
      <c r="J4627" t="n">
        <v>0</v>
      </c>
      <c r="K4627" t="n">
        <v>0</v>
      </c>
      <c r="L4627" t="n">
        <v>0</v>
      </c>
      <c r="M4627" t="n">
        <v>0</v>
      </c>
      <c r="N4627" t="n">
        <v>0</v>
      </c>
      <c r="O4627" t="n">
        <v>0</v>
      </c>
      <c r="P4627" t="n">
        <v>0</v>
      </c>
      <c r="Q4627" t="n">
        <v>0</v>
      </c>
      <c r="R4627" s="2" t="inlineStr"/>
    </row>
    <row r="4628" ht="15" customHeight="1">
      <c r="A4628" t="inlineStr">
        <is>
          <t>A 49833-2023</t>
        </is>
      </c>
      <c r="B4628" s="1" t="n">
        <v>45212</v>
      </c>
      <c r="C4628" s="1" t="n">
        <v>45846</v>
      </c>
      <c r="D4628" t="inlineStr">
        <is>
          <t>UPPSALA LÄN</t>
        </is>
      </c>
      <c r="E4628" t="inlineStr">
        <is>
          <t>ÖSTHAMMAR</t>
        </is>
      </c>
      <c r="F4628" t="inlineStr">
        <is>
          <t>Bergvik skog öst AB</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49831-2023</t>
        </is>
      </c>
      <c r="B4629" s="1" t="n">
        <v>45212</v>
      </c>
      <c r="C4629" s="1" t="n">
        <v>45846</v>
      </c>
      <c r="D4629" t="inlineStr">
        <is>
          <t>UPPSALA LÄN</t>
        </is>
      </c>
      <c r="E4629" t="inlineStr">
        <is>
          <t>ÖSTHAMMAR</t>
        </is>
      </c>
      <c r="F4629" t="inlineStr">
        <is>
          <t>Bergvik skog öst AB</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49897-2023</t>
        </is>
      </c>
      <c r="B4630" s="1" t="n">
        <v>45213</v>
      </c>
      <c r="C4630" s="1" t="n">
        <v>45846</v>
      </c>
      <c r="D4630" t="inlineStr">
        <is>
          <t>UPPSALA LÄN</t>
        </is>
      </c>
      <c r="E4630" t="inlineStr">
        <is>
          <t>ÖSTHAMMAR</t>
        </is>
      </c>
      <c r="G4630" t="n">
        <v>9.199999999999999</v>
      </c>
      <c r="H4630" t="n">
        <v>0</v>
      </c>
      <c r="I4630" t="n">
        <v>0</v>
      </c>
      <c r="J4630" t="n">
        <v>0</v>
      </c>
      <c r="K4630" t="n">
        <v>0</v>
      </c>
      <c r="L4630" t="n">
        <v>0</v>
      </c>
      <c r="M4630" t="n">
        <v>0</v>
      </c>
      <c r="N4630" t="n">
        <v>0</v>
      </c>
      <c r="O4630" t="n">
        <v>0</v>
      </c>
      <c r="P4630" t="n">
        <v>0</v>
      </c>
      <c r="Q4630" t="n">
        <v>0</v>
      </c>
      <c r="R4630" s="2" t="inlineStr"/>
    </row>
    <row r="4631" ht="15" customHeight="1">
      <c r="A4631" t="inlineStr">
        <is>
          <t>A 49899-2023</t>
        </is>
      </c>
      <c r="B4631" s="1" t="n">
        <v>45213</v>
      </c>
      <c r="C4631" s="1" t="n">
        <v>45846</v>
      </c>
      <c r="D4631" t="inlineStr">
        <is>
          <t>UPPSALA LÄN</t>
        </is>
      </c>
      <c r="E4631" t="inlineStr">
        <is>
          <t>ÖSTHAMMAR</t>
        </is>
      </c>
      <c r="G4631" t="n">
        <v>6.2</v>
      </c>
      <c r="H4631" t="n">
        <v>0</v>
      </c>
      <c r="I4631" t="n">
        <v>0</v>
      </c>
      <c r="J4631" t="n">
        <v>0</v>
      </c>
      <c r="K4631" t="n">
        <v>0</v>
      </c>
      <c r="L4631" t="n">
        <v>0</v>
      </c>
      <c r="M4631" t="n">
        <v>0</v>
      </c>
      <c r="N4631" t="n">
        <v>0</v>
      </c>
      <c r="O4631" t="n">
        <v>0</v>
      </c>
      <c r="P4631" t="n">
        <v>0</v>
      </c>
      <c r="Q4631" t="n">
        <v>0</v>
      </c>
      <c r="R4631" s="2" t="inlineStr"/>
    </row>
    <row r="4632" ht="15" customHeight="1">
      <c r="A4632" t="inlineStr">
        <is>
          <t>A 49892-2023</t>
        </is>
      </c>
      <c r="B4632" s="1" t="n">
        <v>45213</v>
      </c>
      <c r="C4632" s="1" t="n">
        <v>45846</v>
      </c>
      <c r="D4632" t="inlineStr">
        <is>
          <t>UPPSALA LÄN</t>
        </is>
      </c>
      <c r="E4632" t="inlineStr">
        <is>
          <t>ÖSTHAMMAR</t>
        </is>
      </c>
      <c r="F4632" t="inlineStr">
        <is>
          <t>Bergvik skog öst AB</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49996-2023</t>
        </is>
      </c>
      <c r="B4633" s="1" t="n">
        <v>45215</v>
      </c>
      <c r="C4633" s="1" t="n">
        <v>45846</v>
      </c>
      <c r="D4633" t="inlineStr">
        <is>
          <t>UPPSALA LÄN</t>
        </is>
      </c>
      <c r="E4633" t="inlineStr">
        <is>
          <t>UPPSALA</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50048-2023</t>
        </is>
      </c>
      <c r="B4634" s="1" t="n">
        <v>45215</v>
      </c>
      <c r="C4634" s="1" t="n">
        <v>45846</v>
      </c>
      <c r="D4634" t="inlineStr">
        <is>
          <t>UPPSALA LÄN</t>
        </is>
      </c>
      <c r="E4634" t="inlineStr">
        <is>
          <t>ÄLVKARLEBY</t>
        </is>
      </c>
      <c r="F4634" t="inlineStr">
        <is>
          <t>Bergvik skog väst AB</t>
        </is>
      </c>
      <c r="G4634" t="n">
        <v>5.8</v>
      </c>
      <c r="H4634" t="n">
        <v>0</v>
      </c>
      <c r="I4634" t="n">
        <v>0</v>
      </c>
      <c r="J4634" t="n">
        <v>0</v>
      </c>
      <c r="K4634" t="n">
        <v>0</v>
      </c>
      <c r="L4634" t="n">
        <v>0</v>
      </c>
      <c r="M4634" t="n">
        <v>0</v>
      </c>
      <c r="N4634" t="n">
        <v>0</v>
      </c>
      <c r="O4634" t="n">
        <v>0</v>
      </c>
      <c r="P4634" t="n">
        <v>0</v>
      </c>
      <c r="Q4634" t="n">
        <v>0</v>
      </c>
      <c r="R4634" s="2" t="inlineStr"/>
    </row>
    <row r="4635" ht="15" customHeight="1">
      <c r="A4635" t="inlineStr">
        <is>
          <t>A 50006-2023</t>
        </is>
      </c>
      <c r="B4635" s="1" t="n">
        <v>45215</v>
      </c>
      <c r="C4635" s="1" t="n">
        <v>45846</v>
      </c>
      <c r="D4635" t="inlineStr">
        <is>
          <t>UPPSALA LÄN</t>
        </is>
      </c>
      <c r="E4635" t="inlineStr">
        <is>
          <t>ENKÖPING</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50118-2023</t>
        </is>
      </c>
      <c r="B4636" s="1" t="n">
        <v>45215</v>
      </c>
      <c r="C4636" s="1" t="n">
        <v>45846</v>
      </c>
      <c r="D4636" t="inlineStr">
        <is>
          <t>UPPSALA LÄN</t>
        </is>
      </c>
      <c r="E4636" t="inlineStr">
        <is>
          <t>UPPSALA</t>
        </is>
      </c>
      <c r="G4636" t="n">
        <v>12.7</v>
      </c>
      <c r="H4636" t="n">
        <v>0</v>
      </c>
      <c r="I4636" t="n">
        <v>0</v>
      </c>
      <c r="J4636" t="n">
        <v>0</v>
      </c>
      <c r="K4636" t="n">
        <v>0</v>
      </c>
      <c r="L4636" t="n">
        <v>0</v>
      </c>
      <c r="M4636" t="n">
        <v>0</v>
      </c>
      <c r="N4636" t="n">
        <v>0</v>
      </c>
      <c r="O4636" t="n">
        <v>0</v>
      </c>
      <c r="P4636" t="n">
        <v>0</v>
      </c>
      <c r="Q4636" t="n">
        <v>0</v>
      </c>
      <c r="R4636" s="2" t="inlineStr"/>
    </row>
    <row r="4637" ht="15" customHeight="1">
      <c r="A4637" t="inlineStr">
        <is>
          <t>A 50128-2023</t>
        </is>
      </c>
      <c r="B4637" s="1" t="n">
        <v>45215</v>
      </c>
      <c r="C4637" s="1" t="n">
        <v>45846</v>
      </c>
      <c r="D4637" t="inlineStr">
        <is>
          <t>UPPSALA LÄN</t>
        </is>
      </c>
      <c r="E4637" t="inlineStr">
        <is>
          <t>ÖSTHAMMAR</t>
        </is>
      </c>
      <c r="G4637" t="n">
        <v>7.8</v>
      </c>
      <c r="H4637" t="n">
        <v>0</v>
      </c>
      <c r="I4637" t="n">
        <v>0</v>
      </c>
      <c r="J4637" t="n">
        <v>0</v>
      </c>
      <c r="K4637" t="n">
        <v>0</v>
      </c>
      <c r="L4637" t="n">
        <v>0</v>
      </c>
      <c r="M4637" t="n">
        <v>0</v>
      </c>
      <c r="N4637" t="n">
        <v>0</v>
      </c>
      <c r="O4637" t="n">
        <v>0</v>
      </c>
      <c r="P4637" t="n">
        <v>0</v>
      </c>
      <c r="Q4637" t="n">
        <v>0</v>
      </c>
      <c r="R4637" s="2" t="inlineStr"/>
    </row>
    <row r="4638" ht="15" customHeight="1">
      <c r="A4638" t="inlineStr">
        <is>
          <t>A 50189-2023</t>
        </is>
      </c>
      <c r="B4638" s="1" t="n">
        <v>45215</v>
      </c>
      <c r="C4638" s="1" t="n">
        <v>45846</v>
      </c>
      <c r="D4638" t="inlineStr">
        <is>
          <t>UPPSALA LÄN</t>
        </is>
      </c>
      <c r="E4638" t="inlineStr">
        <is>
          <t>ÖSTHAMMAR</t>
        </is>
      </c>
      <c r="F4638" t="inlineStr">
        <is>
          <t>Bergvik skog öst AB</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50116-2023</t>
        </is>
      </c>
      <c r="B4639" s="1" t="n">
        <v>45215</v>
      </c>
      <c r="C4639" s="1" t="n">
        <v>45846</v>
      </c>
      <c r="D4639" t="inlineStr">
        <is>
          <t>UPPSALA LÄN</t>
        </is>
      </c>
      <c r="E4639" t="inlineStr">
        <is>
          <t>HEBY</t>
        </is>
      </c>
      <c r="F4639" t="inlineStr">
        <is>
          <t>Kyrkan</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50120-2023</t>
        </is>
      </c>
      <c r="B4640" s="1" t="n">
        <v>45215</v>
      </c>
      <c r="C4640" s="1" t="n">
        <v>45846</v>
      </c>
      <c r="D4640" t="inlineStr">
        <is>
          <t>UPPSALA LÄN</t>
        </is>
      </c>
      <c r="E4640" t="inlineStr">
        <is>
          <t>ÖSTHAMMAR</t>
        </is>
      </c>
      <c r="F4640" t="inlineStr">
        <is>
          <t>Övriga Aktiebolag</t>
        </is>
      </c>
      <c r="G4640" t="n">
        <v>14.2</v>
      </c>
      <c r="H4640" t="n">
        <v>0</v>
      </c>
      <c r="I4640" t="n">
        <v>0</v>
      </c>
      <c r="J4640" t="n">
        <v>0</v>
      </c>
      <c r="K4640" t="n">
        <v>0</v>
      </c>
      <c r="L4640" t="n">
        <v>0</v>
      </c>
      <c r="M4640" t="n">
        <v>0</v>
      </c>
      <c r="N4640" t="n">
        <v>0</v>
      </c>
      <c r="O4640" t="n">
        <v>0</v>
      </c>
      <c r="P4640" t="n">
        <v>0</v>
      </c>
      <c r="Q4640" t="n">
        <v>0</v>
      </c>
      <c r="R4640" s="2" t="inlineStr"/>
    </row>
    <row r="4641" ht="15" customHeight="1">
      <c r="A4641" t="inlineStr">
        <is>
          <t>A 50188-2023</t>
        </is>
      </c>
      <c r="B4641" s="1" t="n">
        <v>45215</v>
      </c>
      <c r="C4641" s="1" t="n">
        <v>45846</v>
      </c>
      <c r="D4641" t="inlineStr">
        <is>
          <t>UPPSALA LÄN</t>
        </is>
      </c>
      <c r="E4641" t="inlineStr">
        <is>
          <t>ÖSTHAMMAR</t>
        </is>
      </c>
      <c r="F4641" t="inlineStr">
        <is>
          <t>Bergvik skog öst AB</t>
        </is>
      </c>
      <c r="G4641" t="n">
        <v>8.4</v>
      </c>
      <c r="H4641" t="n">
        <v>0</v>
      </c>
      <c r="I4641" t="n">
        <v>0</v>
      </c>
      <c r="J4641" t="n">
        <v>0</v>
      </c>
      <c r="K4641" t="n">
        <v>0</v>
      </c>
      <c r="L4641" t="n">
        <v>0</v>
      </c>
      <c r="M4641" t="n">
        <v>0</v>
      </c>
      <c r="N4641" t="n">
        <v>0</v>
      </c>
      <c r="O4641" t="n">
        <v>0</v>
      </c>
      <c r="P4641" t="n">
        <v>0</v>
      </c>
      <c r="Q4641" t="n">
        <v>0</v>
      </c>
      <c r="R4641" s="2" t="inlineStr"/>
    </row>
    <row r="4642" ht="15" customHeight="1">
      <c r="A4642" t="inlineStr">
        <is>
          <t>A 51521-2023</t>
        </is>
      </c>
      <c r="B4642" s="1" t="n">
        <v>45215</v>
      </c>
      <c r="C4642" s="1" t="n">
        <v>45846</v>
      </c>
      <c r="D4642" t="inlineStr">
        <is>
          <t>UPPSALA LÄN</t>
        </is>
      </c>
      <c r="E4642" t="inlineStr">
        <is>
          <t>HEBY</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51843-2023</t>
        </is>
      </c>
      <c r="B4643" s="1" t="n">
        <v>45215</v>
      </c>
      <c r="C4643" s="1" t="n">
        <v>45846</v>
      </c>
      <c r="D4643" t="inlineStr">
        <is>
          <t>UPPSALA LÄN</t>
        </is>
      </c>
      <c r="E4643" t="inlineStr">
        <is>
          <t>UPPSALA</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50267-2023</t>
        </is>
      </c>
      <c r="B4644" s="1" t="n">
        <v>45216</v>
      </c>
      <c r="C4644" s="1" t="n">
        <v>45846</v>
      </c>
      <c r="D4644" t="inlineStr">
        <is>
          <t>UPPSALA LÄN</t>
        </is>
      </c>
      <c r="E4644" t="inlineStr">
        <is>
          <t>UPPSALA</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50281-2023</t>
        </is>
      </c>
      <c r="B4645" s="1" t="n">
        <v>45216</v>
      </c>
      <c r="C4645" s="1" t="n">
        <v>45846</v>
      </c>
      <c r="D4645" t="inlineStr">
        <is>
          <t>UPPSALA LÄN</t>
        </is>
      </c>
      <c r="E4645" t="inlineStr">
        <is>
          <t>HEBY</t>
        </is>
      </c>
      <c r="G4645" t="n">
        <v>10.9</v>
      </c>
      <c r="H4645" t="n">
        <v>0</v>
      </c>
      <c r="I4645" t="n">
        <v>0</v>
      </c>
      <c r="J4645" t="n">
        <v>0</v>
      </c>
      <c r="K4645" t="n">
        <v>0</v>
      </c>
      <c r="L4645" t="n">
        <v>0</v>
      </c>
      <c r="M4645" t="n">
        <v>0</v>
      </c>
      <c r="N4645" t="n">
        <v>0</v>
      </c>
      <c r="O4645" t="n">
        <v>0</v>
      </c>
      <c r="P4645" t="n">
        <v>0</v>
      </c>
      <c r="Q4645" t="n">
        <v>0</v>
      </c>
      <c r="R4645" s="2" t="inlineStr"/>
    </row>
    <row r="4646" ht="15" customHeight="1">
      <c r="A4646" t="inlineStr">
        <is>
          <t>A 50442-2023</t>
        </is>
      </c>
      <c r="B4646" s="1" t="n">
        <v>45216</v>
      </c>
      <c r="C4646" s="1" t="n">
        <v>45846</v>
      </c>
      <c r="D4646" t="inlineStr">
        <is>
          <t>UPPSALA LÄN</t>
        </is>
      </c>
      <c r="E4646" t="inlineStr">
        <is>
          <t>HEBY</t>
        </is>
      </c>
      <c r="F4646" t="inlineStr">
        <is>
          <t>Kyrkan</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50473-2023</t>
        </is>
      </c>
      <c r="B4647" s="1" t="n">
        <v>45216</v>
      </c>
      <c r="C4647" s="1" t="n">
        <v>45846</v>
      </c>
      <c r="D4647" t="inlineStr">
        <is>
          <t>UPPSALA LÄN</t>
        </is>
      </c>
      <c r="E4647" t="inlineStr">
        <is>
          <t>UPPSALA</t>
        </is>
      </c>
      <c r="F4647" t="inlineStr">
        <is>
          <t>Allmännings- och besparingsskogar</t>
        </is>
      </c>
      <c r="G4647" t="n">
        <v>7.6</v>
      </c>
      <c r="H4647" t="n">
        <v>0</v>
      </c>
      <c r="I4647" t="n">
        <v>0</v>
      </c>
      <c r="J4647" t="n">
        <v>0</v>
      </c>
      <c r="K4647" t="n">
        <v>0</v>
      </c>
      <c r="L4647" t="n">
        <v>0</v>
      </c>
      <c r="M4647" t="n">
        <v>0</v>
      </c>
      <c r="N4647" t="n">
        <v>0</v>
      </c>
      <c r="O4647" t="n">
        <v>0</v>
      </c>
      <c r="P4647" t="n">
        <v>0</v>
      </c>
      <c r="Q4647" t="n">
        <v>0</v>
      </c>
      <c r="R4647" s="2" t="inlineStr"/>
    </row>
    <row r="4648" ht="15" customHeight="1">
      <c r="A4648" t="inlineStr">
        <is>
          <t>A 50419-2023</t>
        </is>
      </c>
      <c r="B4648" s="1" t="n">
        <v>45216</v>
      </c>
      <c r="C4648" s="1" t="n">
        <v>45846</v>
      </c>
      <c r="D4648" t="inlineStr">
        <is>
          <t>UPPSALA LÄN</t>
        </is>
      </c>
      <c r="E4648" t="inlineStr">
        <is>
          <t>ENKÖPING</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50395-2023</t>
        </is>
      </c>
      <c r="B4649" s="1" t="n">
        <v>45216</v>
      </c>
      <c r="C4649" s="1" t="n">
        <v>45846</v>
      </c>
      <c r="D4649" t="inlineStr">
        <is>
          <t>UPPSALA LÄN</t>
        </is>
      </c>
      <c r="E4649" t="inlineStr">
        <is>
          <t>UPPSALA</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50644-2023</t>
        </is>
      </c>
      <c r="B4650" s="1" t="n">
        <v>45217</v>
      </c>
      <c r="C4650" s="1" t="n">
        <v>45846</v>
      </c>
      <c r="D4650" t="inlineStr">
        <is>
          <t>UPPSALA LÄN</t>
        </is>
      </c>
      <c r="E4650" t="inlineStr">
        <is>
          <t>TIERP</t>
        </is>
      </c>
      <c r="F4650" t="inlineStr">
        <is>
          <t>Bergvik skog väst AB</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50683-2023</t>
        </is>
      </c>
      <c r="B4651" s="1" t="n">
        <v>45217</v>
      </c>
      <c r="C4651" s="1" t="n">
        <v>45846</v>
      </c>
      <c r="D4651" t="inlineStr">
        <is>
          <t>UPPSALA LÄN</t>
        </is>
      </c>
      <c r="E4651" t="inlineStr">
        <is>
          <t>TIERP</t>
        </is>
      </c>
      <c r="F4651" t="inlineStr">
        <is>
          <t>Övriga Aktiebolag</t>
        </is>
      </c>
      <c r="G4651" t="n">
        <v>28.8</v>
      </c>
      <c r="H4651" t="n">
        <v>0</v>
      </c>
      <c r="I4651" t="n">
        <v>0</v>
      </c>
      <c r="J4651" t="n">
        <v>0</v>
      </c>
      <c r="K4651" t="n">
        <v>0</v>
      </c>
      <c r="L4651" t="n">
        <v>0</v>
      </c>
      <c r="M4651" t="n">
        <v>0</v>
      </c>
      <c r="N4651" t="n">
        <v>0</v>
      </c>
      <c r="O4651" t="n">
        <v>0</v>
      </c>
      <c r="P4651" t="n">
        <v>0</v>
      </c>
      <c r="Q4651" t="n">
        <v>0</v>
      </c>
      <c r="R4651" s="2" t="inlineStr"/>
    </row>
    <row r="4652" ht="15" customHeight="1">
      <c r="A4652" t="inlineStr">
        <is>
          <t>A 50574-2023</t>
        </is>
      </c>
      <c r="B4652" s="1" t="n">
        <v>45217</v>
      </c>
      <c r="C4652" s="1" t="n">
        <v>45846</v>
      </c>
      <c r="D4652" t="inlineStr">
        <is>
          <t>UPPSALA LÄN</t>
        </is>
      </c>
      <c r="E4652" t="inlineStr">
        <is>
          <t>TIERP</t>
        </is>
      </c>
      <c r="G4652" t="n">
        <v>5</v>
      </c>
      <c r="H4652" t="n">
        <v>0</v>
      </c>
      <c r="I4652" t="n">
        <v>0</v>
      </c>
      <c r="J4652" t="n">
        <v>0</v>
      </c>
      <c r="K4652" t="n">
        <v>0</v>
      </c>
      <c r="L4652" t="n">
        <v>0</v>
      </c>
      <c r="M4652" t="n">
        <v>0</v>
      </c>
      <c r="N4652" t="n">
        <v>0</v>
      </c>
      <c r="O4652" t="n">
        <v>0</v>
      </c>
      <c r="P4652" t="n">
        <v>0</v>
      </c>
      <c r="Q4652" t="n">
        <v>0</v>
      </c>
      <c r="R4652" s="2" t="inlineStr"/>
    </row>
    <row r="4653" ht="15" customHeight="1">
      <c r="A4653" t="inlineStr">
        <is>
          <t>A 50656-2023</t>
        </is>
      </c>
      <c r="B4653" s="1" t="n">
        <v>45217</v>
      </c>
      <c r="C4653" s="1" t="n">
        <v>45846</v>
      </c>
      <c r="D4653" t="inlineStr">
        <is>
          <t>UPPSALA LÄN</t>
        </is>
      </c>
      <c r="E4653" t="inlineStr">
        <is>
          <t>TIERP</t>
        </is>
      </c>
      <c r="F4653" t="inlineStr">
        <is>
          <t>Bergvik skog väst AB</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50998-2023</t>
        </is>
      </c>
      <c r="B4654" s="1" t="n">
        <v>45218</v>
      </c>
      <c r="C4654" s="1" t="n">
        <v>45846</v>
      </c>
      <c r="D4654" t="inlineStr">
        <is>
          <t>UPPSALA LÄN</t>
        </is>
      </c>
      <c r="E4654" t="inlineStr">
        <is>
          <t>ÖSTHAMMAR</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51016-2023</t>
        </is>
      </c>
      <c r="B4655" s="1" t="n">
        <v>45218</v>
      </c>
      <c r="C4655" s="1" t="n">
        <v>45846</v>
      </c>
      <c r="D4655" t="inlineStr">
        <is>
          <t>UPPSALA LÄN</t>
        </is>
      </c>
      <c r="E4655" t="inlineStr">
        <is>
          <t>UPPSALA</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51091-2023</t>
        </is>
      </c>
      <c r="B4656" s="1" t="n">
        <v>45218</v>
      </c>
      <c r="C4656" s="1" t="n">
        <v>45846</v>
      </c>
      <c r="D4656" t="inlineStr">
        <is>
          <t>UPPSALA LÄN</t>
        </is>
      </c>
      <c r="E4656" t="inlineStr">
        <is>
          <t>HEBY</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51082-2023</t>
        </is>
      </c>
      <c r="B4657" s="1" t="n">
        <v>45218</v>
      </c>
      <c r="C4657" s="1" t="n">
        <v>45846</v>
      </c>
      <c r="D4657" t="inlineStr">
        <is>
          <t>UPPSALA LÄN</t>
        </is>
      </c>
      <c r="E4657" t="inlineStr">
        <is>
          <t>HEBY</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51080-2023</t>
        </is>
      </c>
      <c r="B4658" s="1" t="n">
        <v>45218</v>
      </c>
      <c r="C4658" s="1" t="n">
        <v>45846</v>
      </c>
      <c r="D4658" t="inlineStr">
        <is>
          <t>UPPSALA LÄN</t>
        </is>
      </c>
      <c r="E4658" t="inlineStr">
        <is>
          <t>HEBY</t>
        </is>
      </c>
      <c r="G4658" t="n">
        <v>5.1</v>
      </c>
      <c r="H4658" t="n">
        <v>0</v>
      </c>
      <c r="I4658" t="n">
        <v>0</v>
      </c>
      <c r="J4658" t="n">
        <v>0</v>
      </c>
      <c r="K4658" t="n">
        <v>0</v>
      </c>
      <c r="L4658" t="n">
        <v>0</v>
      </c>
      <c r="M4658" t="n">
        <v>0</v>
      </c>
      <c r="N4658" t="n">
        <v>0</v>
      </c>
      <c r="O4658" t="n">
        <v>0</v>
      </c>
      <c r="P4658" t="n">
        <v>0</v>
      </c>
      <c r="Q4658" t="n">
        <v>0</v>
      </c>
      <c r="R4658" s="2" t="inlineStr"/>
    </row>
    <row r="4659" ht="15" customHeight="1">
      <c r="A4659" t="inlineStr">
        <is>
          <t>A 51006-2023</t>
        </is>
      </c>
      <c r="B4659" s="1" t="n">
        <v>45218</v>
      </c>
      <c r="C4659" s="1" t="n">
        <v>45846</v>
      </c>
      <c r="D4659" t="inlineStr">
        <is>
          <t>UPPSALA LÄN</t>
        </is>
      </c>
      <c r="E4659" t="inlineStr">
        <is>
          <t>UPPSALA</t>
        </is>
      </c>
      <c r="G4659" t="n">
        <v>7.5</v>
      </c>
      <c r="H4659" t="n">
        <v>0</v>
      </c>
      <c r="I4659" t="n">
        <v>0</v>
      </c>
      <c r="J4659" t="n">
        <v>0</v>
      </c>
      <c r="K4659" t="n">
        <v>0</v>
      </c>
      <c r="L4659" t="n">
        <v>0</v>
      </c>
      <c r="M4659" t="n">
        <v>0</v>
      </c>
      <c r="N4659" t="n">
        <v>0</v>
      </c>
      <c r="O4659" t="n">
        <v>0</v>
      </c>
      <c r="P4659" t="n">
        <v>0</v>
      </c>
      <c r="Q4659" t="n">
        <v>0</v>
      </c>
      <c r="R4659" s="2" t="inlineStr"/>
    </row>
    <row r="4660" ht="15" customHeight="1">
      <c r="A4660" t="inlineStr">
        <is>
          <t>A 51030-2023</t>
        </is>
      </c>
      <c r="B4660" s="1" t="n">
        <v>45218</v>
      </c>
      <c r="C4660" s="1" t="n">
        <v>45846</v>
      </c>
      <c r="D4660" t="inlineStr">
        <is>
          <t>UPPSALA LÄN</t>
        </is>
      </c>
      <c r="E4660" t="inlineStr">
        <is>
          <t>TIERP</t>
        </is>
      </c>
      <c r="F4660" t="inlineStr">
        <is>
          <t>Bergvik skog öst AB</t>
        </is>
      </c>
      <c r="G4660" t="n">
        <v>4.7</v>
      </c>
      <c r="H4660" t="n">
        <v>0</v>
      </c>
      <c r="I4660" t="n">
        <v>0</v>
      </c>
      <c r="J4660" t="n">
        <v>0</v>
      </c>
      <c r="K4660" t="n">
        <v>0</v>
      </c>
      <c r="L4660" t="n">
        <v>0</v>
      </c>
      <c r="M4660" t="n">
        <v>0</v>
      </c>
      <c r="N4660" t="n">
        <v>0</v>
      </c>
      <c r="O4660" t="n">
        <v>0</v>
      </c>
      <c r="P4660" t="n">
        <v>0</v>
      </c>
      <c r="Q4660" t="n">
        <v>0</v>
      </c>
      <c r="R4660" s="2" t="inlineStr"/>
    </row>
    <row r="4661" ht="15" customHeight="1">
      <c r="A4661" t="inlineStr">
        <is>
          <t>A 51085-2023</t>
        </is>
      </c>
      <c r="B4661" s="1" t="n">
        <v>45218</v>
      </c>
      <c r="C4661" s="1" t="n">
        <v>45846</v>
      </c>
      <c r="D4661" t="inlineStr">
        <is>
          <t>UPPSALA LÄN</t>
        </is>
      </c>
      <c r="E4661" t="inlineStr">
        <is>
          <t>HEBY</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51120-2023</t>
        </is>
      </c>
      <c r="B4662" s="1" t="n">
        <v>45219</v>
      </c>
      <c r="C4662" s="1" t="n">
        <v>45846</v>
      </c>
      <c r="D4662" t="inlineStr">
        <is>
          <t>UPPSALA LÄN</t>
        </is>
      </c>
      <c r="E4662" t="inlineStr">
        <is>
          <t>ENKÖPING</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51354-2023</t>
        </is>
      </c>
      <c r="B4663" s="1" t="n">
        <v>45219</v>
      </c>
      <c r="C4663" s="1" t="n">
        <v>45846</v>
      </c>
      <c r="D4663" t="inlineStr">
        <is>
          <t>UPPSALA LÄN</t>
        </is>
      </c>
      <c r="E4663" t="inlineStr">
        <is>
          <t>HEBY</t>
        </is>
      </c>
      <c r="F4663" t="inlineStr">
        <is>
          <t>Bergvik skog väst AB</t>
        </is>
      </c>
      <c r="G4663" t="n">
        <v>11.3</v>
      </c>
      <c r="H4663" t="n">
        <v>0</v>
      </c>
      <c r="I4663" t="n">
        <v>0</v>
      </c>
      <c r="J4663" t="n">
        <v>0</v>
      </c>
      <c r="K4663" t="n">
        <v>0</v>
      </c>
      <c r="L4663" t="n">
        <v>0</v>
      </c>
      <c r="M4663" t="n">
        <v>0</v>
      </c>
      <c r="N4663" t="n">
        <v>0</v>
      </c>
      <c r="O4663" t="n">
        <v>0</v>
      </c>
      <c r="P4663" t="n">
        <v>0</v>
      </c>
      <c r="Q4663" t="n">
        <v>0</v>
      </c>
      <c r="R4663" s="2" t="inlineStr"/>
    </row>
    <row r="4664" ht="15" customHeight="1">
      <c r="A4664" t="inlineStr">
        <is>
          <t>A 51361-2023</t>
        </is>
      </c>
      <c r="B4664" s="1" t="n">
        <v>45219</v>
      </c>
      <c r="C4664" s="1" t="n">
        <v>45846</v>
      </c>
      <c r="D4664" t="inlineStr">
        <is>
          <t>UPPSALA LÄN</t>
        </is>
      </c>
      <c r="E4664" t="inlineStr">
        <is>
          <t>TIERP</t>
        </is>
      </c>
      <c r="F4664" t="inlineStr">
        <is>
          <t>Bergvik skog väst AB</t>
        </is>
      </c>
      <c r="G4664" t="n">
        <v>8.300000000000001</v>
      </c>
      <c r="H4664" t="n">
        <v>0</v>
      </c>
      <c r="I4664" t="n">
        <v>0</v>
      </c>
      <c r="J4664" t="n">
        <v>0</v>
      </c>
      <c r="K4664" t="n">
        <v>0</v>
      </c>
      <c r="L4664" t="n">
        <v>0</v>
      </c>
      <c r="M4664" t="n">
        <v>0</v>
      </c>
      <c r="N4664" t="n">
        <v>0</v>
      </c>
      <c r="O4664" t="n">
        <v>0</v>
      </c>
      <c r="P4664" t="n">
        <v>0</v>
      </c>
      <c r="Q4664" t="n">
        <v>0</v>
      </c>
      <c r="R4664" s="2" t="inlineStr"/>
    </row>
    <row r="4665" ht="15" customHeight="1">
      <c r="A4665" t="inlineStr">
        <is>
          <t>A 51313-2023</t>
        </is>
      </c>
      <c r="B4665" s="1" t="n">
        <v>45219</v>
      </c>
      <c r="C4665" s="1" t="n">
        <v>45846</v>
      </c>
      <c r="D4665" t="inlineStr">
        <is>
          <t>UPPSALA LÄN</t>
        </is>
      </c>
      <c r="E4665" t="inlineStr">
        <is>
          <t>ENKÖPING</t>
        </is>
      </c>
      <c r="F4665" t="inlineStr">
        <is>
          <t>Allmännings- och besparingsskogar</t>
        </is>
      </c>
      <c r="G4665" t="n">
        <v>7.7</v>
      </c>
      <c r="H4665" t="n">
        <v>0</v>
      </c>
      <c r="I4665" t="n">
        <v>0</v>
      </c>
      <c r="J4665" t="n">
        <v>0</v>
      </c>
      <c r="K4665" t="n">
        <v>0</v>
      </c>
      <c r="L4665" t="n">
        <v>0</v>
      </c>
      <c r="M4665" t="n">
        <v>0</v>
      </c>
      <c r="N4665" t="n">
        <v>0</v>
      </c>
      <c r="O4665" t="n">
        <v>0</v>
      </c>
      <c r="P4665" t="n">
        <v>0</v>
      </c>
      <c r="Q4665" t="n">
        <v>0</v>
      </c>
      <c r="R4665" s="2" t="inlineStr"/>
    </row>
    <row r="4666" ht="15" customHeight="1">
      <c r="A4666" t="inlineStr">
        <is>
          <t>A 51364-2023</t>
        </is>
      </c>
      <c r="B4666" s="1" t="n">
        <v>45219</v>
      </c>
      <c r="C4666" s="1" t="n">
        <v>45846</v>
      </c>
      <c r="D4666" t="inlineStr">
        <is>
          <t>UPPSALA LÄN</t>
        </is>
      </c>
      <c r="E4666" t="inlineStr">
        <is>
          <t>TIERP</t>
        </is>
      </c>
      <c r="F4666" t="inlineStr">
        <is>
          <t>Bergvik skog väst AB</t>
        </is>
      </c>
      <c r="G4666" t="n">
        <v>9.699999999999999</v>
      </c>
      <c r="H4666" t="n">
        <v>0</v>
      </c>
      <c r="I4666" t="n">
        <v>0</v>
      </c>
      <c r="J4666" t="n">
        <v>0</v>
      </c>
      <c r="K4666" t="n">
        <v>0</v>
      </c>
      <c r="L4666" t="n">
        <v>0</v>
      </c>
      <c r="M4666" t="n">
        <v>0</v>
      </c>
      <c r="N4666" t="n">
        <v>0</v>
      </c>
      <c r="O4666" t="n">
        <v>0</v>
      </c>
      <c r="P4666" t="n">
        <v>0</v>
      </c>
      <c r="Q4666" t="n">
        <v>0</v>
      </c>
      <c r="R4666" s="2" t="inlineStr"/>
    </row>
    <row r="4667" ht="15" customHeight="1">
      <c r="A4667" t="inlineStr">
        <is>
          <t>A 51542-2023</t>
        </is>
      </c>
      <c r="B4667" s="1" t="n">
        <v>45222</v>
      </c>
      <c r="C4667" s="1" t="n">
        <v>45846</v>
      </c>
      <c r="D4667" t="inlineStr">
        <is>
          <t>UPPSALA LÄN</t>
        </is>
      </c>
      <c r="E4667" t="inlineStr">
        <is>
          <t>UPPSALA</t>
        </is>
      </c>
      <c r="G4667" t="n">
        <v>4.9</v>
      </c>
      <c r="H4667" t="n">
        <v>0</v>
      </c>
      <c r="I4667" t="n">
        <v>0</v>
      </c>
      <c r="J4667" t="n">
        <v>0</v>
      </c>
      <c r="K4667" t="n">
        <v>0</v>
      </c>
      <c r="L4667" t="n">
        <v>0</v>
      </c>
      <c r="M4667" t="n">
        <v>0</v>
      </c>
      <c r="N4667" t="n">
        <v>0</v>
      </c>
      <c r="O4667" t="n">
        <v>0</v>
      </c>
      <c r="P4667" t="n">
        <v>0</v>
      </c>
      <c r="Q4667" t="n">
        <v>0</v>
      </c>
      <c r="R4667" s="2" t="inlineStr"/>
    </row>
    <row r="4668" ht="15" customHeight="1">
      <c r="A4668" t="inlineStr">
        <is>
          <t>A 51622-2023</t>
        </is>
      </c>
      <c r="B4668" s="1" t="n">
        <v>45222</v>
      </c>
      <c r="C4668" s="1" t="n">
        <v>45846</v>
      </c>
      <c r="D4668" t="inlineStr">
        <is>
          <t>UPPSALA LÄN</t>
        </is>
      </c>
      <c r="E4668" t="inlineStr">
        <is>
          <t>KNIVSTA</t>
        </is>
      </c>
      <c r="G4668" t="n">
        <v>5.6</v>
      </c>
      <c r="H4668" t="n">
        <v>0</v>
      </c>
      <c r="I4668" t="n">
        <v>0</v>
      </c>
      <c r="J4668" t="n">
        <v>0</v>
      </c>
      <c r="K4668" t="n">
        <v>0</v>
      </c>
      <c r="L4668" t="n">
        <v>0</v>
      </c>
      <c r="M4668" t="n">
        <v>0</v>
      </c>
      <c r="N4668" t="n">
        <v>0</v>
      </c>
      <c r="O4668" t="n">
        <v>0</v>
      </c>
      <c r="P4668" t="n">
        <v>0</v>
      </c>
      <c r="Q4668" t="n">
        <v>0</v>
      </c>
      <c r="R4668" s="2" t="inlineStr"/>
    </row>
    <row r="4669" ht="15" customHeight="1">
      <c r="A4669" t="inlineStr">
        <is>
          <t>A 51688-2023</t>
        </is>
      </c>
      <c r="B4669" s="1" t="n">
        <v>45222</v>
      </c>
      <c r="C4669" s="1" t="n">
        <v>45846</v>
      </c>
      <c r="D4669" t="inlineStr">
        <is>
          <t>UPPSALA LÄN</t>
        </is>
      </c>
      <c r="E4669" t="inlineStr">
        <is>
          <t>ENKÖPING</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51707-2023</t>
        </is>
      </c>
      <c r="B4670" s="1" t="n">
        <v>45222</v>
      </c>
      <c r="C4670" s="1" t="n">
        <v>45846</v>
      </c>
      <c r="D4670" t="inlineStr">
        <is>
          <t>UPPSALA LÄN</t>
        </is>
      </c>
      <c r="E4670" t="inlineStr">
        <is>
          <t>TIERP</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51716-2023</t>
        </is>
      </c>
      <c r="B4671" s="1" t="n">
        <v>45222</v>
      </c>
      <c r="C4671" s="1" t="n">
        <v>45846</v>
      </c>
      <c r="D4671" t="inlineStr">
        <is>
          <t>UPPSALA LÄN</t>
        </is>
      </c>
      <c r="E4671" t="inlineStr">
        <is>
          <t>TIERP</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51734-2023</t>
        </is>
      </c>
      <c r="B4672" s="1" t="n">
        <v>45222</v>
      </c>
      <c r="C4672" s="1" t="n">
        <v>45846</v>
      </c>
      <c r="D4672" t="inlineStr">
        <is>
          <t>UPPSALA LÄN</t>
        </is>
      </c>
      <c r="E4672" t="inlineStr">
        <is>
          <t>UPPSALA</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51755-2023</t>
        </is>
      </c>
      <c r="B4673" s="1" t="n">
        <v>45222</v>
      </c>
      <c r="C4673" s="1" t="n">
        <v>45846</v>
      </c>
      <c r="D4673" t="inlineStr">
        <is>
          <t>UPPSALA LÄN</t>
        </is>
      </c>
      <c r="E4673" t="inlineStr">
        <is>
          <t>TIERP</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51767-2023</t>
        </is>
      </c>
      <c r="B4674" s="1" t="n">
        <v>45222</v>
      </c>
      <c r="C4674" s="1" t="n">
        <v>45846</v>
      </c>
      <c r="D4674" t="inlineStr">
        <is>
          <t>UPPSALA LÄN</t>
        </is>
      </c>
      <c r="E4674" t="inlineStr">
        <is>
          <t>TIERP</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51731-2023</t>
        </is>
      </c>
      <c r="B4675" s="1" t="n">
        <v>45222</v>
      </c>
      <c r="C4675" s="1" t="n">
        <v>45846</v>
      </c>
      <c r="D4675" t="inlineStr">
        <is>
          <t>UPPSALA LÄN</t>
        </is>
      </c>
      <c r="E4675" t="inlineStr">
        <is>
          <t>UPPSALA</t>
        </is>
      </c>
      <c r="G4675" t="n">
        <v>4.5</v>
      </c>
      <c r="H4675" t="n">
        <v>0</v>
      </c>
      <c r="I4675" t="n">
        <v>0</v>
      </c>
      <c r="J4675" t="n">
        <v>0</v>
      </c>
      <c r="K4675" t="n">
        <v>0</v>
      </c>
      <c r="L4675" t="n">
        <v>0</v>
      </c>
      <c r="M4675" t="n">
        <v>0</v>
      </c>
      <c r="N4675" t="n">
        <v>0</v>
      </c>
      <c r="O4675" t="n">
        <v>0</v>
      </c>
      <c r="P4675" t="n">
        <v>0</v>
      </c>
      <c r="Q4675" t="n">
        <v>0</v>
      </c>
      <c r="R4675" s="2" t="inlineStr"/>
    </row>
    <row r="4676" ht="15" customHeight="1">
      <c r="A4676" t="inlineStr">
        <is>
          <t>A 51756-2023</t>
        </is>
      </c>
      <c r="B4676" s="1" t="n">
        <v>45222</v>
      </c>
      <c r="C4676" s="1" t="n">
        <v>45846</v>
      </c>
      <c r="D4676" t="inlineStr">
        <is>
          <t>UPPSALA LÄN</t>
        </is>
      </c>
      <c r="E4676" t="inlineStr">
        <is>
          <t>TIERP</t>
        </is>
      </c>
      <c r="G4676" t="n">
        <v>0.3</v>
      </c>
      <c r="H4676" t="n">
        <v>0</v>
      </c>
      <c r="I4676" t="n">
        <v>0</v>
      </c>
      <c r="J4676" t="n">
        <v>0</v>
      </c>
      <c r="K4676" t="n">
        <v>0</v>
      </c>
      <c r="L4676" t="n">
        <v>0</v>
      </c>
      <c r="M4676" t="n">
        <v>0</v>
      </c>
      <c r="N4676" t="n">
        <v>0</v>
      </c>
      <c r="O4676" t="n">
        <v>0</v>
      </c>
      <c r="P4676" t="n">
        <v>0</v>
      </c>
      <c r="Q4676" t="n">
        <v>0</v>
      </c>
      <c r="R4676" s="2" t="inlineStr"/>
    </row>
    <row r="4677" ht="15" customHeight="1">
      <c r="A4677" t="inlineStr">
        <is>
          <t>A 51633-2023</t>
        </is>
      </c>
      <c r="B4677" s="1" t="n">
        <v>45222</v>
      </c>
      <c r="C4677" s="1" t="n">
        <v>45846</v>
      </c>
      <c r="D4677" t="inlineStr">
        <is>
          <t>UPPSALA LÄN</t>
        </is>
      </c>
      <c r="E4677" t="inlineStr">
        <is>
          <t>KNIVSTA</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51741-2023</t>
        </is>
      </c>
      <c r="B4678" s="1" t="n">
        <v>45222</v>
      </c>
      <c r="C4678" s="1" t="n">
        <v>45846</v>
      </c>
      <c r="D4678" t="inlineStr">
        <is>
          <t>UPPSALA LÄN</t>
        </is>
      </c>
      <c r="E4678" t="inlineStr">
        <is>
          <t>TIERP</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51769-2023</t>
        </is>
      </c>
      <c r="B4679" s="1" t="n">
        <v>45222</v>
      </c>
      <c r="C4679" s="1" t="n">
        <v>45846</v>
      </c>
      <c r="D4679" t="inlineStr">
        <is>
          <t>UPPSALA LÄN</t>
        </is>
      </c>
      <c r="E4679" t="inlineStr">
        <is>
          <t>TIERP</t>
        </is>
      </c>
      <c r="G4679" t="n">
        <v>7.3</v>
      </c>
      <c r="H4679" t="n">
        <v>0</v>
      </c>
      <c r="I4679" t="n">
        <v>0</v>
      </c>
      <c r="J4679" t="n">
        <v>0</v>
      </c>
      <c r="K4679" t="n">
        <v>0</v>
      </c>
      <c r="L4679" t="n">
        <v>0</v>
      </c>
      <c r="M4679" t="n">
        <v>0</v>
      </c>
      <c r="N4679" t="n">
        <v>0</v>
      </c>
      <c r="O4679" t="n">
        <v>0</v>
      </c>
      <c r="P4679" t="n">
        <v>0</v>
      </c>
      <c r="Q4679" t="n">
        <v>0</v>
      </c>
      <c r="R4679" s="2" t="inlineStr"/>
    </row>
    <row r="4680" ht="15" customHeight="1">
      <c r="A4680" t="inlineStr">
        <is>
          <t>A 51576-2023</t>
        </is>
      </c>
      <c r="B4680" s="1" t="n">
        <v>45222</v>
      </c>
      <c r="C4680" s="1" t="n">
        <v>45846</v>
      </c>
      <c r="D4680" t="inlineStr">
        <is>
          <t>UPPSALA LÄN</t>
        </is>
      </c>
      <c r="E4680" t="inlineStr">
        <is>
          <t>UPPSALA</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51697-2023</t>
        </is>
      </c>
      <c r="B4681" s="1" t="n">
        <v>45222</v>
      </c>
      <c r="C4681" s="1" t="n">
        <v>45846</v>
      </c>
      <c r="D4681" t="inlineStr">
        <is>
          <t>UPPSALA LÄN</t>
        </is>
      </c>
      <c r="E4681" t="inlineStr">
        <is>
          <t>UPPSALA</t>
        </is>
      </c>
      <c r="G4681" t="n">
        <v>6.5</v>
      </c>
      <c r="H4681" t="n">
        <v>0</v>
      </c>
      <c r="I4681" t="n">
        <v>0</v>
      </c>
      <c r="J4681" t="n">
        <v>0</v>
      </c>
      <c r="K4681" t="n">
        <v>0</v>
      </c>
      <c r="L4681" t="n">
        <v>0</v>
      </c>
      <c r="M4681" t="n">
        <v>0</v>
      </c>
      <c r="N4681" t="n">
        <v>0</v>
      </c>
      <c r="O4681" t="n">
        <v>0</v>
      </c>
      <c r="P4681" t="n">
        <v>0</v>
      </c>
      <c r="Q4681" t="n">
        <v>0</v>
      </c>
      <c r="R4681" s="2" t="inlineStr"/>
    </row>
    <row r="4682" ht="15" customHeight="1">
      <c r="A4682" t="inlineStr">
        <is>
          <t>A 51706-2023</t>
        </is>
      </c>
      <c r="B4682" s="1" t="n">
        <v>45222</v>
      </c>
      <c r="C4682" s="1" t="n">
        <v>45846</v>
      </c>
      <c r="D4682" t="inlineStr">
        <is>
          <t>UPPSALA LÄN</t>
        </is>
      </c>
      <c r="E4682" t="inlineStr">
        <is>
          <t>TIERP</t>
        </is>
      </c>
      <c r="F4682" t="inlineStr">
        <is>
          <t>Bergvik skog öst AB</t>
        </is>
      </c>
      <c r="G4682" t="n">
        <v>20.4</v>
      </c>
      <c r="H4682" t="n">
        <v>0</v>
      </c>
      <c r="I4682" t="n">
        <v>0</v>
      </c>
      <c r="J4682" t="n">
        <v>0</v>
      </c>
      <c r="K4682" t="n">
        <v>0</v>
      </c>
      <c r="L4682" t="n">
        <v>0</v>
      </c>
      <c r="M4682" t="n">
        <v>0</v>
      </c>
      <c r="N4682" t="n">
        <v>0</v>
      </c>
      <c r="O4682" t="n">
        <v>0</v>
      </c>
      <c r="P4682" t="n">
        <v>0</v>
      </c>
      <c r="Q4682" t="n">
        <v>0</v>
      </c>
      <c r="R4682" s="2" t="inlineStr"/>
    </row>
    <row r="4683" ht="15" customHeight="1">
      <c r="A4683" t="inlineStr">
        <is>
          <t>A 51738-2023</t>
        </is>
      </c>
      <c r="B4683" s="1" t="n">
        <v>45222</v>
      </c>
      <c r="C4683" s="1" t="n">
        <v>45846</v>
      </c>
      <c r="D4683" t="inlineStr">
        <is>
          <t>UPPSALA LÄN</t>
        </is>
      </c>
      <c r="E4683" t="inlineStr">
        <is>
          <t>TIERP</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51944-2023</t>
        </is>
      </c>
      <c r="B4684" s="1" t="n">
        <v>45223</v>
      </c>
      <c r="C4684" s="1" t="n">
        <v>45846</v>
      </c>
      <c r="D4684" t="inlineStr">
        <is>
          <t>UPPSALA LÄN</t>
        </is>
      </c>
      <c r="E4684" t="inlineStr">
        <is>
          <t>HEBY</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51974-2023</t>
        </is>
      </c>
      <c r="B4685" s="1" t="n">
        <v>45223</v>
      </c>
      <c r="C4685" s="1" t="n">
        <v>45846</v>
      </c>
      <c r="D4685" t="inlineStr">
        <is>
          <t>UPPSALA LÄN</t>
        </is>
      </c>
      <c r="E4685" t="inlineStr">
        <is>
          <t>TIERP</t>
        </is>
      </c>
      <c r="G4685" t="n">
        <v>5</v>
      </c>
      <c r="H4685" t="n">
        <v>0</v>
      </c>
      <c r="I4685" t="n">
        <v>0</v>
      </c>
      <c r="J4685" t="n">
        <v>0</v>
      </c>
      <c r="K4685" t="n">
        <v>0</v>
      </c>
      <c r="L4685" t="n">
        <v>0</v>
      </c>
      <c r="M4685" t="n">
        <v>0</v>
      </c>
      <c r="N4685" t="n">
        <v>0</v>
      </c>
      <c r="O4685" t="n">
        <v>0</v>
      </c>
      <c r="P4685" t="n">
        <v>0</v>
      </c>
      <c r="Q4685" t="n">
        <v>0</v>
      </c>
      <c r="R4685" s="2" t="inlineStr"/>
    </row>
    <row r="4686" ht="15" customHeight="1">
      <c r="A4686" t="inlineStr">
        <is>
          <t>A 51835-2023</t>
        </is>
      </c>
      <c r="B4686" s="1" t="n">
        <v>45223</v>
      </c>
      <c r="C4686" s="1" t="n">
        <v>45846</v>
      </c>
      <c r="D4686" t="inlineStr">
        <is>
          <t>UPPSALA LÄN</t>
        </is>
      </c>
      <c r="E4686" t="inlineStr">
        <is>
          <t>ENKÖPING</t>
        </is>
      </c>
      <c r="G4686" t="n">
        <v>4.7</v>
      </c>
      <c r="H4686" t="n">
        <v>0</v>
      </c>
      <c r="I4686" t="n">
        <v>0</v>
      </c>
      <c r="J4686" t="n">
        <v>0</v>
      </c>
      <c r="K4686" t="n">
        <v>0</v>
      </c>
      <c r="L4686" t="n">
        <v>0</v>
      </c>
      <c r="M4686" t="n">
        <v>0</v>
      </c>
      <c r="N4686" t="n">
        <v>0</v>
      </c>
      <c r="O4686" t="n">
        <v>0</v>
      </c>
      <c r="P4686" t="n">
        <v>0</v>
      </c>
      <c r="Q4686" t="n">
        <v>0</v>
      </c>
      <c r="R4686" s="2" t="inlineStr"/>
    </row>
    <row r="4687" ht="15" customHeight="1">
      <c r="A4687" t="inlineStr">
        <is>
          <t>A 51849-2023</t>
        </is>
      </c>
      <c r="B4687" s="1" t="n">
        <v>45223</v>
      </c>
      <c r="C4687" s="1" t="n">
        <v>45846</v>
      </c>
      <c r="D4687" t="inlineStr">
        <is>
          <t>UPPSALA LÄN</t>
        </is>
      </c>
      <c r="E4687" t="inlineStr">
        <is>
          <t>KNIVSTA</t>
        </is>
      </c>
      <c r="G4687" t="n">
        <v>16.3</v>
      </c>
      <c r="H4687" t="n">
        <v>0</v>
      </c>
      <c r="I4687" t="n">
        <v>0</v>
      </c>
      <c r="J4687" t="n">
        <v>0</v>
      </c>
      <c r="K4687" t="n">
        <v>0</v>
      </c>
      <c r="L4687" t="n">
        <v>0</v>
      </c>
      <c r="M4687" t="n">
        <v>0</v>
      </c>
      <c r="N4687" t="n">
        <v>0</v>
      </c>
      <c r="O4687" t="n">
        <v>0</v>
      </c>
      <c r="P4687" t="n">
        <v>0</v>
      </c>
      <c r="Q4687" t="n">
        <v>0</v>
      </c>
      <c r="R4687" s="2" t="inlineStr"/>
    </row>
    <row r="4688" ht="15" customHeight="1">
      <c r="A4688" t="inlineStr">
        <is>
          <t>A 51885-2023</t>
        </is>
      </c>
      <c r="B4688" s="1" t="n">
        <v>45223</v>
      </c>
      <c r="C4688" s="1" t="n">
        <v>45846</v>
      </c>
      <c r="D4688" t="inlineStr">
        <is>
          <t>UPPSALA LÄN</t>
        </is>
      </c>
      <c r="E4688" t="inlineStr">
        <is>
          <t>HEBY</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51984-2023</t>
        </is>
      </c>
      <c r="B4689" s="1" t="n">
        <v>45223</v>
      </c>
      <c r="C4689" s="1" t="n">
        <v>45846</v>
      </c>
      <c r="D4689" t="inlineStr">
        <is>
          <t>UPPSALA LÄN</t>
        </is>
      </c>
      <c r="E4689" t="inlineStr">
        <is>
          <t>TIERP</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51935-2023</t>
        </is>
      </c>
      <c r="B4690" s="1" t="n">
        <v>45223</v>
      </c>
      <c r="C4690" s="1" t="n">
        <v>45846</v>
      </c>
      <c r="D4690" t="inlineStr">
        <is>
          <t>UPPSALA LÄN</t>
        </is>
      </c>
      <c r="E4690" t="inlineStr">
        <is>
          <t>UPPSALA</t>
        </is>
      </c>
      <c r="G4690" t="n">
        <v>4.8</v>
      </c>
      <c r="H4690" t="n">
        <v>0</v>
      </c>
      <c r="I4690" t="n">
        <v>0</v>
      </c>
      <c r="J4690" t="n">
        <v>0</v>
      </c>
      <c r="K4690" t="n">
        <v>0</v>
      </c>
      <c r="L4690" t="n">
        <v>0</v>
      </c>
      <c r="M4690" t="n">
        <v>0</v>
      </c>
      <c r="N4690" t="n">
        <v>0</v>
      </c>
      <c r="O4690" t="n">
        <v>0</v>
      </c>
      <c r="P4690" t="n">
        <v>0</v>
      </c>
      <c r="Q4690" t="n">
        <v>0</v>
      </c>
      <c r="R4690" s="2" t="inlineStr"/>
    </row>
    <row r="4691" ht="15" customHeight="1">
      <c r="A4691" t="inlineStr">
        <is>
          <t>A 53595-2023</t>
        </is>
      </c>
      <c r="B4691" s="1" t="n">
        <v>45223</v>
      </c>
      <c r="C4691" s="1" t="n">
        <v>45846</v>
      </c>
      <c r="D4691" t="inlineStr">
        <is>
          <t>UPPSALA LÄN</t>
        </is>
      </c>
      <c r="E4691" t="inlineStr">
        <is>
          <t>ENKÖPING</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52273-2023</t>
        </is>
      </c>
      <c r="B4692" s="1" t="n">
        <v>45224</v>
      </c>
      <c r="C4692" s="1" t="n">
        <v>45846</v>
      </c>
      <c r="D4692" t="inlineStr">
        <is>
          <t>UPPSALA LÄN</t>
        </is>
      </c>
      <c r="E4692" t="inlineStr">
        <is>
          <t>UPPSALA</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52299-2023</t>
        </is>
      </c>
      <c r="B4693" s="1" t="n">
        <v>45224</v>
      </c>
      <c r="C4693" s="1" t="n">
        <v>45846</v>
      </c>
      <c r="D4693" t="inlineStr">
        <is>
          <t>UPPSALA LÄN</t>
        </is>
      </c>
      <c r="E4693" t="inlineStr">
        <is>
          <t>ENKÖPING</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52380-2023</t>
        </is>
      </c>
      <c r="B4694" s="1" t="n">
        <v>45224</v>
      </c>
      <c r="C4694" s="1" t="n">
        <v>45846</v>
      </c>
      <c r="D4694" t="inlineStr">
        <is>
          <t>UPPSALA LÄN</t>
        </is>
      </c>
      <c r="E4694" t="inlineStr">
        <is>
          <t>TIERP</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52366-2023</t>
        </is>
      </c>
      <c r="B4695" s="1" t="n">
        <v>45224</v>
      </c>
      <c r="C4695" s="1" t="n">
        <v>45846</v>
      </c>
      <c r="D4695" t="inlineStr">
        <is>
          <t>UPPSALA LÄN</t>
        </is>
      </c>
      <c r="E4695" t="inlineStr">
        <is>
          <t>ENKÖPING</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52492-2023</t>
        </is>
      </c>
      <c r="B4696" s="1" t="n">
        <v>45225</v>
      </c>
      <c r="C4696" s="1" t="n">
        <v>45846</v>
      </c>
      <c r="D4696" t="inlineStr">
        <is>
          <t>UPPSALA LÄN</t>
        </is>
      </c>
      <c r="E4696" t="inlineStr">
        <is>
          <t>UPPSALA</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52503-2023</t>
        </is>
      </c>
      <c r="B4697" s="1" t="n">
        <v>45225</v>
      </c>
      <c r="C4697" s="1" t="n">
        <v>45846</v>
      </c>
      <c r="D4697" t="inlineStr">
        <is>
          <t>UPPSALA LÄN</t>
        </is>
      </c>
      <c r="E4697" t="inlineStr">
        <is>
          <t>UPPSALA</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52518-2023</t>
        </is>
      </c>
      <c r="B4698" s="1" t="n">
        <v>45225</v>
      </c>
      <c r="C4698" s="1" t="n">
        <v>45846</v>
      </c>
      <c r="D4698" t="inlineStr">
        <is>
          <t>UPPSALA LÄN</t>
        </is>
      </c>
      <c r="E4698" t="inlineStr">
        <is>
          <t>UPPSALA</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52495-2023</t>
        </is>
      </c>
      <c r="B4699" s="1" t="n">
        <v>45225</v>
      </c>
      <c r="C4699" s="1" t="n">
        <v>45846</v>
      </c>
      <c r="D4699" t="inlineStr">
        <is>
          <t>UPPSALA LÄN</t>
        </is>
      </c>
      <c r="E4699" t="inlineStr">
        <is>
          <t>HEBY</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52670-2023</t>
        </is>
      </c>
      <c r="B4700" s="1" t="n">
        <v>45225</v>
      </c>
      <c r="C4700" s="1" t="n">
        <v>45846</v>
      </c>
      <c r="D4700" t="inlineStr">
        <is>
          <t>UPPSALA LÄN</t>
        </is>
      </c>
      <c r="E4700" t="inlineStr">
        <is>
          <t>HEBY</t>
        </is>
      </c>
      <c r="G4700" t="n">
        <v>5.8</v>
      </c>
      <c r="H4700" t="n">
        <v>0</v>
      </c>
      <c r="I4700" t="n">
        <v>0</v>
      </c>
      <c r="J4700" t="n">
        <v>0</v>
      </c>
      <c r="K4700" t="n">
        <v>0</v>
      </c>
      <c r="L4700" t="n">
        <v>0</v>
      </c>
      <c r="M4700" t="n">
        <v>0</v>
      </c>
      <c r="N4700" t="n">
        <v>0</v>
      </c>
      <c r="O4700" t="n">
        <v>0</v>
      </c>
      <c r="P4700" t="n">
        <v>0</v>
      </c>
      <c r="Q4700" t="n">
        <v>0</v>
      </c>
      <c r="R4700" s="2" t="inlineStr"/>
    </row>
    <row r="4701" ht="15" customHeight="1">
      <c r="A4701" t="inlineStr">
        <is>
          <t>A 52695-2023</t>
        </is>
      </c>
      <c r="B4701" s="1" t="n">
        <v>45225</v>
      </c>
      <c r="C4701" s="1" t="n">
        <v>45846</v>
      </c>
      <c r="D4701" t="inlineStr">
        <is>
          <t>UPPSALA LÄN</t>
        </is>
      </c>
      <c r="E4701" t="inlineStr">
        <is>
          <t>ÖSTHAMMAR</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52629-2023</t>
        </is>
      </c>
      <c r="B4702" s="1" t="n">
        <v>45225</v>
      </c>
      <c r="C4702" s="1" t="n">
        <v>45846</v>
      </c>
      <c r="D4702" t="inlineStr">
        <is>
          <t>UPPSALA LÄN</t>
        </is>
      </c>
      <c r="E4702" t="inlineStr">
        <is>
          <t>ÖSTHAMMAR</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52698-2023</t>
        </is>
      </c>
      <c r="B4703" s="1" t="n">
        <v>45225</v>
      </c>
      <c r="C4703" s="1" t="n">
        <v>45846</v>
      </c>
      <c r="D4703" t="inlineStr">
        <is>
          <t>UPPSALA LÄN</t>
        </is>
      </c>
      <c r="E4703" t="inlineStr">
        <is>
          <t>ÖSTHAMMAR</t>
        </is>
      </c>
      <c r="F4703" t="inlineStr">
        <is>
          <t>Bergvik skog öst AB</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52694-2023</t>
        </is>
      </c>
      <c r="B4704" s="1" t="n">
        <v>45225</v>
      </c>
      <c r="C4704" s="1" t="n">
        <v>45846</v>
      </c>
      <c r="D4704" t="inlineStr">
        <is>
          <t>UPPSALA LÄN</t>
        </is>
      </c>
      <c r="E4704" t="inlineStr">
        <is>
          <t>ÖSTHAMMAR</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52699-2023</t>
        </is>
      </c>
      <c r="B4705" s="1" t="n">
        <v>45225</v>
      </c>
      <c r="C4705" s="1" t="n">
        <v>45846</v>
      </c>
      <c r="D4705" t="inlineStr">
        <is>
          <t>UPPSALA LÄN</t>
        </is>
      </c>
      <c r="E4705" t="inlineStr">
        <is>
          <t>ÖSTHAMMAR</t>
        </is>
      </c>
      <c r="F4705" t="inlineStr">
        <is>
          <t>Bergvik skog öst AB</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54314-2023</t>
        </is>
      </c>
      <c r="B4706" s="1" t="n">
        <v>45225</v>
      </c>
      <c r="C4706" s="1" t="n">
        <v>45846</v>
      </c>
      <c r="D4706" t="inlineStr">
        <is>
          <t>UPPSALA LÄN</t>
        </is>
      </c>
      <c r="E4706" t="inlineStr">
        <is>
          <t>ÖSTHAMMAR</t>
        </is>
      </c>
      <c r="G4706" t="n">
        <v>5.1</v>
      </c>
      <c r="H4706" t="n">
        <v>0</v>
      </c>
      <c r="I4706" t="n">
        <v>0</v>
      </c>
      <c r="J4706" t="n">
        <v>0</v>
      </c>
      <c r="K4706" t="n">
        <v>0</v>
      </c>
      <c r="L4706" t="n">
        <v>0</v>
      </c>
      <c r="M4706" t="n">
        <v>0</v>
      </c>
      <c r="N4706" t="n">
        <v>0</v>
      </c>
      <c r="O4706" t="n">
        <v>0</v>
      </c>
      <c r="P4706" t="n">
        <v>0</v>
      </c>
      <c r="Q4706" t="n">
        <v>0</v>
      </c>
      <c r="R4706" s="2" t="inlineStr"/>
    </row>
    <row r="4707" ht="15" customHeight="1">
      <c r="A4707" t="inlineStr">
        <is>
          <t>A 54356-2023</t>
        </is>
      </c>
      <c r="B4707" s="1" t="n">
        <v>45225</v>
      </c>
      <c r="C4707" s="1" t="n">
        <v>45846</v>
      </c>
      <c r="D4707" t="inlineStr">
        <is>
          <t>UPPSALA LÄN</t>
        </is>
      </c>
      <c r="E4707" t="inlineStr">
        <is>
          <t>ENKÖPING</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54357-2023</t>
        </is>
      </c>
      <c r="B4708" s="1" t="n">
        <v>45225</v>
      </c>
      <c r="C4708" s="1" t="n">
        <v>45846</v>
      </c>
      <c r="D4708" t="inlineStr">
        <is>
          <t>UPPSALA LÄN</t>
        </is>
      </c>
      <c r="E4708" t="inlineStr">
        <is>
          <t>ENKÖPING</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52969-2023</t>
        </is>
      </c>
      <c r="B4709" s="1" t="n">
        <v>45226</v>
      </c>
      <c r="C4709" s="1" t="n">
        <v>45846</v>
      </c>
      <c r="D4709" t="inlineStr">
        <is>
          <t>UPPSALA LÄN</t>
        </is>
      </c>
      <c r="E4709" t="inlineStr">
        <is>
          <t>TIERP</t>
        </is>
      </c>
      <c r="G4709" t="n">
        <v>5.3</v>
      </c>
      <c r="H4709" t="n">
        <v>0</v>
      </c>
      <c r="I4709" t="n">
        <v>0</v>
      </c>
      <c r="J4709" t="n">
        <v>0</v>
      </c>
      <c r="K4709" t="n">
        <v>0</v>
      </c>
      <c r="L4709" t="n">
        <v>0</v>
      </c>
      <c r="M4709" t="n">
        <v>0</v>
      </c>
      <c r="N4709" t="n">
        <v>0</v>
      </c>
      <c r="O4709" t="n">
        <v>0</v>
      </c>
      <c r="P4709" t="n">
        <v>0</v>
      </c>
      <c r="Q4709" t="n">
        <v>0</v>
      </c>
      <c r="R4709" s="2" t="inlineStr"/>
    </row>
    <row r="4710" ht="15" customHeight="1">
      <c r="A4710" t="inlineStr">
        <is>
          <t>A 53208-2023</t>
        </is>
      </c>
      <c r="B4710" s="1" t="n">
        <v>45226</v>
      </c>
      <c r="C4710" s="1" t="n">
        <v>45846</v>
      </c>
      <c r="D4710" t="inlineStr">
        <is>
          <t>UPPSALA LÄN</t>
        </is>
      </c>
      <c r="E4710" t="inlineStr">
        <is>
          <t>ENKÖPING</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52966-2023</t>
        </is>
      </c>
      <c r="B4711" s="1" t="n">
        <v>45226</v>
      </c>
      <c r="C4711" s="1" t="n">
        <v>45846</v>
      </c>
      <c r="D4711" t="inlineStr">
        <is>
          <t>UPPSALA LÄN</t>
        </is>
      </c>
      <c r="E4711" t="inlineStr">
        <is>
          <t>TIERP</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53467-2023</t>
        </is>
      </c>
      <c r="B4712" s="1" t="n">
        <v>45229</v>
      </c>
      <c r="C4712" s="1" t="n">
        <v>45846</v>
      </c>
      <c r="D4712" t="inlineStr">
        <is>
          <t>UPPSALA LÄN</t>
        </is>
      </c>
      <c r="E4712" t="inlineStr">
        <is>
          <t>ÖSTHAMMAR</t>
        </is>
      </c>
      <c r="G4712" t="n">
        <v>26.1</v>
      </c>
      <c r="H4712" t="n">
        <v>0</v>
      </c>
      <c r="I4712" t="n">
        <v>0</v>
      </c>
      <c r="J4712" t="n">
        <v>0</v>
      </c>
      <c r="K4712" t="n">
        <v>0</v>
      </c>
      <c r="L4712" t="n">
        <v>0</v>
      </c>
      <c r="M4712" t="n">
        <v>0</v>
      </c>
      <c r="N4712" t="n">
        <v>0</v>
      </c>
      <c r="O4712" t="n">
        <v>0</v>
      </c>
      <c r="P4712" t="n">
        <v>0</v>
      </c>
      <c r="Q4712" t="n">
        <v>0</v>
      </c>
      <c r="R4712" s="2" t="inlineStr"/>
    </row>
    <row r="4713" ht="15" customHeight="1">
      <c r="A4713" t="inlineStr">
        <is>
          <t>A 53333-2023</t>
        </is>
      </c>
      <c r="B4713" s="1" t="n">
        <v>45229</v>
      </c>
      <c r="C4713" s="1" t="n">
        <v>45846</v>
      </c>
      <c r="D4713" t="inlineStr">
        <is>
          <t>UPPSALA LÄN</t>
        </is>
      </c>
      <c r="E4713" t="inlineStr">
        <is>
          <t>ENKÖPING</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53338-2023</t>
        </is>
      </c>
      <c r="B4714" s="1" t="n">
        <v>45229</v>
      </c>
      <c r="C4714" s="1" t="n">
        <v>45846</v>
      </c>
      <c r="D4714" t="inlineStr">
        <is>
          <t>UPPSALA LÄN</t>
        </is>
      </c>
      <c r="E4714" t="inlineStr">
        <is>
          <t>ENKÖPING</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53360-2023</t>
        </is>
      </c>
      <c r="B4715" s="1" t="n">
        <v>45229</v>
      </c>
      <c r="C4715" s="1" t="n">
        <v>45846</v>
      </c>
      <c r="D4715" t="inlineStr">
        <is>
          <t>UPPSALA LÄN</t>
        </is>
      </c>
      <c r="E4715" t="inlineStr">
        <is>
          <t>ÖSTHAMMAR</t>
        </is>
      </c>
      <c r="G4715" t="n">
        <v>4.8</v>
      </c>
      <c r="H4715" t="n">
        <v>0</v>
      </c>
      <c r="I4715" t="n">
        <v>0</v>
      </c>
      <c r="J4715" t="n">
        <v>0</v>
      </c>
      <c r="K4715" t="n">
        <v>0</v>
      </c>
      <c r="L4715" t="n">
        <v>0</v>
      </c>
      <c r="M4715" t="n">
        <v>0</v>
      </c>
      <c r="N4715" t="n">
        <v>0</v>
      </c>
      <c r="O4715" t="n">
        <v>0</v>
      </c>
      <c r="P4715" t="n">
        <v>0</v>
      </c>
      <c r="Q4715" t="n">
        <v>0</v>
      </c>
      <c r="R4715" s="2" t="inlineStr"/>
    </row>
    <row r="4716" ht="15" customHeight="1">
      <c r="A4716" t="inlineStr">
        <is>
          <t>A 53490-2023</t>
        </is>
      </c>
      <c r="B4716" s="1" t="n">
        <v>45229</v>
      </c>
      <c r="C4716" s="1" t="n">
        <v>45846</v>
      </c>
      <c r="D4716" t="inlineStr">
        <is>
          <t>UPPSALA LÄN</t>
        </is>
      </c>
      <c r="E4716" t="inlineStr">
        <is>
          <t>TIERP</t>
        </is>
      </c>
      <c r="G4716" t="n">
        <v>9.6</v>
      </c>
      <c r="H4716" t="n">
        <v>0</v>
      </c>
      <c r="I4716" t="n">
        <v>0</v>
      </c>
      <c r="J4716" t="n">
        <v>0</v>
      </c>
      <c r="K4716" t="n">
        <v>0</v>
      </c>
      <c r="L4716" t="n">
        <v>0</v>
      </c>
      <c r="M4716" t="n">
        <v>0</v>
      </c>
      <c r="N4716" t="n">
        <v>0</v>
      </c>
      <c r="O4716" t="n">
        <v>0</v>
      </c>
      <c r="P4716" t="n">
        <v>0</v>
      </c>
      <c r="Q4716" t="n">
        <v>0</v>
      </c>
      <c r="R4716" s="2" t="inlineStr"/>
    </row>
    <row r="4717" ht="15" customHeight="1">
      <c r="A4717" t="inlineStr">
        <is>
          <t>A 54737-2023</t>
        </is>
      </c>
      <c r="B4717" s="1" t="n">
        <v>45229</v>
      </c>
      <c r="C4717" s="1" t="n">
        <v>45846</v>
      </c>
      <c r="D4717" t="inlineStr">
        <is>
          <t>UPPSALA LÄN</t>
        </is>
      </c>
      <c r="E4717" t="inlineStr">
        <is>
          <t>TIERP</t>
        </is>
      </c>
      <c r="F4717" t="inlineStr">
        <is>
          <t>Bergvik skog väst AB</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53735-2023</t>
        </is>
      </c>
      <c r="B4718" s="1" t="n">
        <v>45230</v>
      </c>
      <c r="C4718" s="1" t="n">
        <v>45846</v>
      </c>
      <c r="D4718" t="inlineStr">
        <is>
          <t>UPPSALA LÄN</t>
        </is>
      </c>
      <c r="E4718" t="inlineStr">
        <is>
          <t>ÖSTHAMMAR</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53732-2023</t>
        </is>
      </c>
      <c r="B4719" s="1" t="n">
        <v>45230</v>
      </c>
      <c r="C4719" s="1" t="n">
        <v>45846</v>
      </c>
      <c r="D4719" t="inlineStr">
        <is>
          <t>UPPSALA LÄN</t>
        </is>
      </c>
      <c r="E4719" t="inlineStr">
        <is>
          <t>ÖSTHAMMAR</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53670-2023</t>
        </is>
      </c>
      <c r="B4720" s="1" t="n">
        <v>45230</v>
      </c>
      <c r="C4720" s="1" t="n">
        <v>45846</v>
      </c>
      <c r="D4720" t="inlineStr">
        <is>
          <t>UPPSALA LÄN</t>
        </is>
      </c>
      <c r="E4720" t="inlineStr">
        <is>
          <t>ÖSTHAMMAR</t>
        </is>
      </c>
      <c r="F4720" t="inlineStr">
        <is>
          <t>Bergvik skog öst AB</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53607-2023</t>
        </is>
      </c>
      <c r="B4721" s="1" t="n">
        <v>45230</v>
      </c>
      <c r="C4721" s="1" t="n">
        <v>45846</v>
      </c>
      <c r="D4721" t="inlineStr">
        <is>
          <t>UPPSALA LÄN</t>
        </is>
      </c>
      <c r="E4721" t="inlineStr">
        <is>
          <t>ENKÖPING</t>
        </is>
      </c>
      <c r="F4721" t="inlineStr">
        <is>
          <t>Allmännings- och besparingsskogar</t>
        </is>
      </c>
      <c r="G4721" t="n">
        <v>6.3</v>
      </c>
      <c r="H4721" t="n">
        <v>0</v>
      </c>
      <c r="I4721" t="n">
        <v>0</v>
      </c>
      <c r="J4721" t="n">
        <v>0</v>
      </c>
      <c r="K4721" t="n">
        <v>0</v>
      </c>
      <c r="L4721" t="n">
        <v>0</v>
      </c>
      <c r="M4721" t="n">
        <v>0</v>
      </c>
      <c r="N4721" t="n">
        <v>0</v>
      </c>
      <c r="O4721" t="n">
        <v>0</v>
      </c>
      <c r="P4721" t="n">
        <v>0</v>
      </c>
      <c r="Q4721" t="n">
        <v>0</v>
      </c>
      <c r="R4721" s="2" t="inlineStr"/>
    </row>
    <row r="4722" ht="15" customHeight="1">
      <c r="A4722" t="inlineStr">
        <is>
          <t>A 53646-2023</t>
        </is>
      </c>
      <c r="B4722" s="1" t="n">
        <v>45230</v>
      </c>
      <c r="C4722" s="1" t="n">
        <v>45846</v>
      </c>
      <c r="D4722" t="inlineStr">
        <is>
          <t>UPPSALA LÄN</t>
        </is>
      </c>
      <c r="E4722" t="inlineStr">
        <is>
          <t>TIERP</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53733-2023</t>
        </is>
      </c>
      <c r="B4723" s="1" t="n">
        <v>45230</v>
      </c>
      <c r="C4723" s="1" t="n">
        <v>45846</v>
      </c>
      <c r="D4723" t="inlineStr">
        <is>
          <t>UPPSALA LÄN</t>
        </is>
      </c>
      <c r="E4723" t="inlineStr">
        <is>
          <t>ÖSTHAMMAR</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53737-2023</t>
        </is>
      </c>
      <c r="B4724" s="1" t="n">
        <v>45230</v>
      </c>
      <c r="C4724" s="1" t="n">
        <v>45846</v>
      </c>
      <c r="D4724" t="inlineStr">
        <is>
          <t>UPPSALA LÄN</t>
        </is>
      </c>
      <c r="E4724" t="inlineStr">
        <is>
          <t>ÖSTHAMMAR</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53702-2023</t>
        </is>
      </c>
      <c r="B4725" s="1" t="n">
        <v>45230</v>
      </c>
      <c r="C4725" s="1" t="n">
        <v>45846</v>
      </c>
      <c r="D4725" t="inlineStr">
        <is>
          <t>UPPSALA LÄN</t>
        </is>
      </c>
      <c r="E4725" t="inlineStr">
        <is>
          <t>ÖSTHAMMAR</t>
        </is>
      </c>
      <c r="F4725" t="inlineStr">
        <is>
          <t>Övriga Aktiebolag</t>
        </is>
      </c>
      <c r="G4725" t="n">
        <v>6.6</v>
      </c>
      <c r="H4725" t="n">
        <v>0</v>
      </c>
      <c r="I4725" t="n">
        <v>0</v>
      </c>
      <c r="J4725" t="n">
        <v>0</v>
      </c>
      <c r="K4725" t="n">
        <v>0</v>
      </c>
      <c r="L4725" t="n">
        <v>0</v>
      </c>
      <c r="M4725" t="n">
        <v>0</v>
      </c>
      <c r="N4725" t="n">
        <v>0</v>
      </c>
      <c r="O4725" t="n">
        <v>0</v>
      </c>
      <c r="P4725" t="n">
        <v>0</v>
      </c>
      <c r="Q4725" t="n">
        <v>0</v>
      </c>
      <c r="R4725" s="2" t="inlineStr"/>
    </row>
    <row r="4726" ht="15" customHeight="1">
      <c r="A4726" t="inlineStr">
        <is>
          <t>A 53676-2023</t>
        </is>
      </c>
      <c r="B4726" s="1" t="n">
        <v>45230</v>
      </c>
      <c r="C4726" s="1" t="n">
        <v>45846</v>
      </c>
      <c r="D4726" t="inlineStr">
        <is>
          <t>UPPSALA LÄN</t>
        </is>
      </c>
      <c r="E4726" t="inlineStr">
        <is>
          <t>ÖSTHAMMAR</t>
        </is>
      </c>
      <c r="F4726" t="inlineStr">
        <is>
          <t>Bergvik skog öst AB</t>
        </is>
      </c>
      <c r="G4726" t="n">
        <v>9.300000000000001</v>
      </c>
      <c r="H4726" t="n">
        <v>0</v>
      </c>
      <c r="I4726" t="n">
        <v>0</v>
      </c>
      <c r="J4726" t="n">
        <v>0</v>
      </c>
      <c r="K4726" t="n">
        <v>0</v>
      </c>
      <c r="L4726" t="n">
        <v>0</v>
      </c>
      <c r="M4726" t="n">
        <v>0</v>
      </c>
      <c r="N4726" t="n">
        <v>0</v>
      </c>
      <c r="O4726" t="n">
        <v>0</v>
      </c>
      <c r="P4726" t="n">
        <v>0</v>
      </c>
      <c r="Q4726" t="n">
        <v>0</v>
      </c>
      <c r="R4726" s="2" t="inlineStr"/>
    </row>
    <row r="4727" ht="15" customHeight="1">
      <c r="A4727" t="inlineStr">
        <is>
          <t>A 53893-2023</t>
        </is>
      </c>
      <c r="B4727" s="1" t="n">
        <v>45231</v>
      </c>
      <c r="C4727" s="1" t="n">
        <v>45846</v>
      </c>
      <c r="D4727" t="inlineStr">
        <is>
          <t>UPPSALA LÄN</t>
        </is>
      </c>
      <c r="E4727" t="inlineStr">
        <is>
          <t>UPPSALA</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53911-2023</t>
        </is>
      </c>
      <c r="B4728" s="1" t="n">
        <v>45231</v>
      </c>
      <c r="C4728" s="1" t="n">
        <v>45846</v>
      </c>
      <c r="D4728" t="inlineStr">
        <is>
          <t>UPPSALA LÄN</t>
        </is>
      </c>
      <c r="E4728" t="inlineStr">
        <is>
          <t>HEBY</t>
        </is>
      </c>
      <c r="G4728" t="n">
        <v>10.3</v>
      </c>
      <c r="H4728" t="n">
        <v>0</v>
      </c>
      <c r="I4728" t="n">
        <v>0</v>
      </c>
      <c r="J4728" t="n">
        <v>0</v>
      </c>
      <c r="K4728" t="n">
        <v>0</v>
      </c>
      <c r="L4728" t="n">
        <v>0</v>
      </c>
      <c r="M4728" t="n">
        <v>0</v>
      </c>
      <c r="N4728" t="n">
        <v>0</v>
      </c>
      <c r="O4728" t="n">
        <v>0</v>
      </c>
      <c r="P4728" t="n">
        <v>0</v>
      </c>
      <c r="Q4728" t="n">
        <v>0</v>
      </c>
      <c r="R4728" s="2" t="inlineStr"/>
    </row>
    <row r="4729" ht="15" customHeight="1">
      <c r="A4729" t="inlineStr">
        <is>
          <t>A 53919-2023</t>
        </is>
      </c>
      <c r="B4729" s="1" t="n">
        <v>45231</v>
      </c>
      <c r="C4729" s="1" t="n">
        <v>45846</v>
      </c>
      <c r="D4729" t="inlineStr">
        <is>
          <t>UPPSALA LÄN</t>
        </is>
      </c>
      <c r="E4729" t="inlineStr">
        <is>
          <t>UPPSALA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53982-2023</t>
        </is>
      </c>
      <c r="B4730" s="1" t="n">
        <v>45231</v>
      </c>
      <c r="C4730" s="1" t="n">
        <v>45846</v>
      </c>
      <c r="D4730" t="inlineStr">
        <is>
          <t>UPPSALA LÄN</t>
        </is>
      </c>
      <c r="E4730" t="inlineStr">
        <is>
          <t>UPPSALA</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53824-2023</t>
        </is>
      </c>
      <c r="B4731" s="1" t="n">
        <v>45231</v>
      </c>
      <c r="C4731" s="1" t="n">
        <v>45846</v>
      </c>
      <c r="D4731" t="inlineStr">
        <is>
          <t>UPPSALA LÄN</t>
        </is>
      </c>
      <c r="E4731" t="inlineStr">
        <is>
          <t>HEBY</t>
        </is>
      </c>
      <c r="G4731" t="n">
        <v>15.6</v>
      </c>
      <c r="H4731" t="n">
        <v>0</v>
      </c>
      <c r="I4731" t="n">
        <v>0</v>
      </c>
      <c r="J4731" t="n">
        <v>0</v>
      </c>
      <c r="K4731" t="n">
        <v>0</v>
      </c>
      <c r="L4731" t="n">
        <v>0</v>
      </c>
      <c r="M4731" t="n">
        <v>0</v>
      </c>
      <c r="N4731" t="n">
        <v>0</v>
      </c>
      <c r="O4731" t="n">
        <v>0</v>
      </c>
      <c r="P4731" t="n">
        <v>0</v>
      </c>
      <c r="Q4731" t="n">
        <v>0</v>
      </c>
      <c r="R4731" s="2" t="inlineStr"/>
    </row>
    <row r="4732" ht="15" customHeight="1">
      <c r="A4732" t="inlineStr">
        <is>
          <t>A 53882-2023</t>
        </is>
      </c>
      <c r="B4732" s="1" t="n">
        <v>45231</v>
      </c>
      <c r="C4732" s="1" t="n">
        <v>45846</v>
      </c>
      <c r="D4732" t="inlineStr">
        <is>
          <t>UPPSALA LÄN</t>
        </is>
      </c>
      <c r="E4732" t="inlineStr">
        <is>
          <t>UPPSALA</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53900-2023</t>
        </is>
      </c>
      <c r="B4733" s="1" t="n">
        <v>45231</v>
      </c>
      <c r="C4733" s="1" t="n">
        <v>45846</v>
      </c>
      <c r="D4733" t="inlineStr">
        <is>
          <t>UPPSALA LÄN</t>
        </is>
      </c>
      <c r="E4733" t="inlineStr">
        <is>
          <t>UPPSALA</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53963-2023</t>
        </is>
      </c>
      <c r="B4734" s="1" t="n">
        <v>45231</v>
      </c>
      <c r="C4734" s="1" t="n">
        <v>45846</v>
      </c>
      <c r="D4734" t="inlineStr">
        <is>
          <t>UPPSALA LÄN</t>
        </is>
      </c>
      <c r="E4734" t="inlineStr">
        <is>
          <t>UPPSALA</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53967-2023</t>
        </is>
      </c>
      <c r="B4735" s="1" t="n">
        <v>45231</v>
      </c>
      <c r="C4735" s="1" t="n">
        <v>45846</v>
      </c>
      <c r="D4735" t="inlineStr">
        <is>
          <t>UPPSALA LÄN</t>
        </is>
      </c>
      <c r="E4735" t="inlineStr">
        <is>
          <t>UPPSALA</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53803-2023</t>
        </is>
      </c>
      <c r="B4736" s="1" t="n">
        <v>45231</v>
      </c>
      <c r="C4736" s="1" t="n">
        <v>45846</v>
      </c>
      <c r="D4736" t="inlineStr">
        <is>
          <t>UPPSALA LÄN</t>
        </is>
      </c>
      <c r="E4736" t="inlineStr">
        <is>
          <t>UPPSALA</t>
        </is>
      </c>
      <c r="G4736" t="n">
        <v>17.6</v>
      </c>
      <c r="H4736" t="n">
        <v>0</v>
      </c>
      <c r="I4736" t="n">
        <v>0</v>
      </c>
      <c r="J4736" t="n">
        <v>0</v>
      </c>
      <c r="K4736" t="n">
        <v>0</v>
      </c>
      <c r="L4736" t="n">
        <v>0</v>
      </c>
      <c r="M4736" t="n">
        <v>0</v>
      </c>
      <c r="N4736" t="n">
        <v>0</v>
      </c>
      <c r="O4736" t="n">
        <v>0</v>
      </c>
      <c r="P4736" t="n">
        <v>0</v>
      </c>
      <c r="Q4736" t="n">
        <v>0</v>
      </c>
      <c r="R4736" s="2" t="inlineStr"/>
    </row>
    <row r="4737" ht="15" customHeight="1">
      <c r="A4737" t="inlineStr">
        <is>
          <t>A 53906-2023</t>
        </is>
      </c>
      <c r="B4737" s="1" t="n">
        <v>45231</v>
      </c>
      <c r="C4737" s="1" t="n">
        <v>45846</v>
      </c>
      <c r="D4737" t="inlineStr">
        <is>
          <t>UPPSALA LÄN</t>
        </is>
      </c>
      <c r="E4737" t="inlineStr">
        <is>
          <t>UPPSALA</t>
        </is>
      </c>
      <c r="G4737" t="n">
        <v>13.2</v>
      </c>
      <c r="H4737" t="n">
        <v>0</v>
      </c>
      <c r="I4737" t="n">
        <v>0</v>
      </c>
      <c r="J4737" t="n">
        <v>0</v>
      </c>
      <c r="K4737" t="n">
        <v>0</v>
      </c>
      <c r="L4737" t="n">
        <v>0</v>
      </c>
      <c r="M4737" t="n">
        <v>0</v>
      </c>
      <c r="N4737" t="n">
        <v>0</v>
      </c>
      <c r="O4737" t="n">
        <v>0</v>
      </c>
      <c r="P4737" t="n">
        <v>0</v>
      </c>
      <c r="Q4737" t="n">
        <v>0</v>
      </c>
      <c r="R4737" s="2" t="inlineStr"/>
    </row>
    <row r="4738" ht="15" customHeight="1">
      <c r="A4738" t="inlineStr">
        <is>
          <t>A 54018-2023</t>
        </is>
      </c>
      <c r="B4738" s="1" t="n">
        <v>45231</v>
      </c>
      <c r="C4738" s="1" t="n">
        <v>45846</v>
      </c>
      <c r="D4738" t="inlineStr">
        <is>
          <t>UPPSALA LÄN</t>
        </is>
      </c>
      <c r="E4738" t="inlineStr">
        <is>
          <t>HEBY</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54104-2023</t>
        </is>
      </c>
      <c r="B4739" s="1" t="n">
        <v>45232</v>
      </c>
      <c r="C4739" s="1" t="n">
        <v>45846</v>
      </c>
      <c r="D4739" t="inlineStr">
        <is>
          <t>UPPSALA LÄN</t>
        </is>
      </c>
      <c r="E4739" t="inlineStr">
        <is>
          <t>TIERP</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54208-2023</t>
        </is>
      </c>
      <c r="B4740" s="1" t="n">
        <v>45232</v>
      </c>
      <c r="C4740" s="1" t="n">
        <v>45846</v>
      </c>
      <c r="D4740" t="inlineStr">
        <is>
          <t>UPPSALA LÄN</t>
        </is>
      </c>
      <c r="E4740" t="inlineStr">
        <is>
          <t>ENKÖPING</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54231-2023</t>
        </is>
      </c>
      <c r="B4741" s="1" t="n">
        <v>45232</v>
      </c>
      <c r="C4741" s="1" t="n">
        <v>45846</v>
      </c>
      <c r="D4741" t="inlineStr">
        <is>
          <t>UPPSALA LÄN</t>
        </is>
      </c>
      <c r="E4741" t="inlineStr">
        <is>
          <t>UPPSALA</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54224-2023</t>
        </is>
      </c>
      <c r="B4742" s="1" t="n">
        <v>45232</v>
      </c>
      <c r="C4742" s="1" t="n">
        <v>45846</v>
      </c>
      <c r="D4742" t="inlineStr">
        <is>
          <t>UPPSALA LÄN</t>
        </is>
      </c>
      <c r="E4742" t="inlineStr">
        <is>
          <t>ENKÖPING</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54228-2023</t>
        </is>
      </c>
      <c r="B4743" s="1" t="n">
        <v>45232</v>
      </c>
      <c r="C4743" s="1" t="n">
        <v>45846</v>
      </c>
      <c r="D4743" t="inlineStr">
        <is>
          <t>UPPSALA LÄN</t>
        </is>
      </c>
      <c r="E4743" t="inlineStr">
        <is>
          <t>ÖSTHAMMAR</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55529-2023</t>
        </is>
      </c>
      <c r="B4744" s="1" t="n">
        <v>45232</v>
      </c>
      <c r="C4744" s="1" t="n">
        <v>45846</v>
      </c>
      <c r="D4744" t="inlineStr">
        <is>
          <t>UPPSALA LÄN</t>
        </is>
      </c>
      <c r="E4744" t="inlineStr">
        <is>
          <t>UPPSALA</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54375-2023</t>
        </is>
      </c>
      <c r="B4745" s="1" t="n">
        <v>45233</v>
      </c>
      <c r="C4745" s="1" t="n">
        <v>45846</v>
      </c>
      <c r="D4745" t="inlineStr">
        <is>
          <t>UPPSALA LÄN</t>
        </is>
      </c>
      <c r="E4745" t="inlineStr">
        <is>
          <t>UPPSALA</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54366-2023</t>
        </is>
      </c>
      <c r="B4746" s="1" t="n">
        <v>45233</v>
      </c>
      <c r="C4746" s="1" t="n">
        <v>45846</v>
      </c>
      <c r="D4746" t="inlineStr">
        <is>
          <t>UPPSALA LÄN</t>
        </is>
      </c>
      <c r="E4746" t="inlineStr">
        <is>
          <t>ÖSTHAMMAR</t>
        </is>
      </c>
      <c r="F4746" t="inlineStr">
        <is>
          <t>Bergvik skog öst AB</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54474-2023</t>
        </is>
      </c>
      <c r="B4747" s="1" t="n">
        <v>45233</v>
      </c>
      <c r="C4747" s="1" t="n">
        <v>45846</v>
      </c>
      <c r="D4747" t="inlineStr">
        <is>
          <t>UPPSALA LÄN</t>
        </is>
      </c>
      <c r="E4747" t="inlineStr">
        <is>
          <t>UPPSALA</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54461-2023</t>
        </is>
      </c>
      <c r="B4748" s="1" t="n">
        <v>45233</v>
      </c>
      <c r="C4748" s="1" t="n">
        <v>45846</v>
      </c>
      <c r="D4748" t="inlineStr">
        <is>
          <t>UPPSALA LÄN</t>
        </is>
      </c>
      <c r="E4748" t="inlineStr">
        <is>
          <t>UPPSALA</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54369-2023</t>
        </is>
      </c>
      <c r="B4749" s="1" t="n">
        <v>45233</v>
      </c>
      <c r="C4749" s="1" t="n">
        <v>45846</v>
      </c>
      <c r="D4749" t="inlineStr">
        <is>
          <t>UPPSALA LÄN</t>
        </is>
      </c>
      <c r="E4749" t="inlineStr">
        <is>
          <t>ÖSTHAMMAR</t>
        </is>
      </c>
      <c r="F4749" t="inlineStr">
        <is>
          <t>Bergvik skog öst AB</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54368-2023</t>
        </is>
      </c>
      <c r="B4750" s="1" t="n">
        <v>45233</v>
      </c>
      <c r="C4750" s="1" t="n">
        <v>45846</v>
      </c>
      <c r="D4750" t="inlineStr">
        <is>
          <t>UPPSALA LÄN</t>
        </is>
      </c>
      <c r="E4750" t="inlineStr">
        <is>
          <t>ÖSTHAMMAR</t>
        </is>
      </c>
      <c r="F4750" t="inlineStr">
        <is>
          <t>Bergvik skog öst AB</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54808-2023</t>
        </is>
      </c>
      <c r="B4751" s="1" t="n">
        <v>45236</v>
      </c>
      <c r="C4751" s="1" t="n">
        <v>45846</v>
      </c>
      <c r="D4751" t="inlineStr">
        <is>
          <t>UPPSALA LÄN</t>
        </is>
      </c>
      <c r="E4751" t="inlineStr">
        <is>
          <t>UPPSALA</t>
        </is>
      </c>
      <c r="G4751" t="n">
        <v>4.1</v>
      </c>
      <c r="H4751" t="n">
        <v>0</v>
      </c>
      <c r="I4751" t="n">
        <v>0</v>
      </c>
      <c r="J4751" t="n">
        <v>0</v>
      </c>
      <c r="K4751" t="n">
        <v>0</v>
      </c>
      <c r="L4751" t="n">
        <v>0</v>
      </c>
      <c r="M4751" t="n">
        <v>0</v>
      </c>
      <c r="N4751" t="n">
        <v>0</v>
      </c>
      <c r="O4751" t="n">
        <v>0</v>
      </c>
      <c r="P4751" t="n">
        <v>0</v>
      </c>
      <c r="Q4751" t="n">
        <v>0</v>
      </c>
      <c r="R4751" s="2" t="inlineStr"/>
    </row>
    <row r="4752" ht="15" customHeight="1">
      <c r="A4752" t="inlineStr">
        <is>
          <t>A 54704-2023</t>
        </is>
      </c>
      <c r="B4752" s="1" t="n">
        <v>45236</v>
      </c>
      <c r="C4752" s="1" t="n">
        <v>45846</v>
      </c>
      <c r="D4752" t="inlineStr">
        <is>
          <t>UPPSALA LÄN</t>
        </is>
      </c>
      <c r="E4752" t="inlineStr">
        <is>
          <t>UPPSALA</t>
        </is>
      </c>
      <c r="G4752" t="n">
        <v>4.9</v>
      </c>
      <c r="H4752" t="n">
        <v>0</v>
      </c>
      <c r="I4752" t="n">
        <v>0</v>
      </c>
      <c r="J4752" t="n">
        <v>0</v>
      </c>
      <c r="K4752" t="n">
        <v>0</v>
      </c>
      <c r="L4752" t="n">
        <v>0</v>
      </c>
      <c r="M4752" t="n">
        <v>0</v>
      </c>
      <c r="N4752" t="n">
        <v>0</v>
      </c>
      <c r="O4752" t="n">
        <v>0</v>
      </c>
      <c r="P4752" t="n">
        <v>0</v>
      </c>
      <c r="Q4752" t="n">
        <v>0</v>
      </c>
      <c r="R4752" s="2" t="inlineStr"/>
    </row>
    <row r="4753" ht="15" customHeight="1">
      <c r="A4753" t="inlineStr">
        <is>
          <t>A 54783-2023</t>
        </is>
      </c>
      <c r="B4753" s="1" t="n">
        <v>45236</v>
      </c>
      <c r="C4753" s="1" t="n">
        <v>45846</v>
      </c>
      <c r="D4753" t="inlineStr">
        <is>
          <t>UPPSALA LÄN</t>
        </is>
      </c>
      <c r="E4753" t="inlineStr">
        <is>
          <t>UPPSALA</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54858-2023</t>
        </is>
      </c>
      <c r="B4754" s="1" t="n">
        <v>45236</v>
      </c>
      <c r="C4754" s="1" t="n">
        <v>45846</v>
      </c>
      <c r="D4754" t="inlineStr">
        <is>
          <t>UPPSALA LÄN</t>
        </is>
      </c>
      <c r="E4754" t="inlineStr">
        <is>
          <t>ÄLVKARLEBY</t>
        </is>
      </c>
      <c r="F4754" t="inlineStr">
        <is>
          <t>Bergvik skog öst AB</t>
        </is>
      </c>
      <c r="G4754" t="n">
        <v>13.3</v>
      </c>
      <c r="H4754" t="n">
        <v>0</v>
      </c>
      <c r="I4754" t="n">
        <v>0</v>
      </c>
      <c r="J4754" t="n">
        <v>0</v>
      </c>
      <c r="K4754" t="n">
        <v>0</v>
      </c>
      <c r="L4754" t="n">
        <v>0</v>
      </c>
      <c r="M4754" t="n">
        <v>0</v>
      </c>
      <c r="N4754" t="n">
        <v>0</v>
      </c>
      <c r="O4754" t="n">
        <v>0</v>
      </c>
      <c r="P4754" t="n">
        <v>0</v>
      </c>
      <c r="Q4754" t="n">
        <v>0</v>
      </c>
      <c r="R4754" s="2" t="inlineStr"/>
    </row>
    <row r="4755" ht="15" customHeight="1">
      <c r="A4755" t="inlineStr">
        <is>
          <t>A 56364-2023</t>
        </is>
      </c>
      <c r="B4755" s="1" t="n">
        <v>45236</v>
      </c>
      <c r="C4755" s="1" t="n">
        <v>45846</v>
      </c>
      <c r="D4755" t="inlineStr">
        <is>
          <t>UPPSALA LÄN</t>
        </is>
      </c>
      <c r="E4755" t="inlineStr">
        <is>
          <t>KNIVSTA</t>
        </is>
      </c>
      <c r="G4755" t="n">
        <v>5.4</v>
      </c>
      <c r="H4755" t="n">
        <v>0</v>
      </c>
      <c r="I4755" t="n">
        <v>0</v>
      </c>
      <c r="J4755" t="n">
        <v>0</v>
      </c>
      <c r="K4755" t="n">
        <v>0</v>
      </c>
      <c r="L4755" t="n">
        <v>0</v>
      </c>
      <c r="M4755" t="n">
        <v>0</v>
      </c>
      <c r="N4755" t="n">
        <v>0</v>
      </c>
      <c r="O4755" t="n">
        <v>0</v>
      </c>
      <c r="P4755" t="n">
        <v>0</v>
      </c>
      <c r="Q4755" t="n">
        <v>0</v>
      </c>
      <c r="R4755" s="2" t="inlineStr"/>
    </row>
    <row r="4756" ht="15" customHeight="1">
      <c r="A4756" t="inlineStr">
        <is>
          <t>A 55230-2023</t>
        </is>
      </c>
      <c r="B4756" s="1" t="n">
        <v>45237</v>
      </c>
      <c r="C4756" s="1" t="n">
        <v>45846</v>
      </c>
      <c r="D4756" t="inlineStr">
        <is>
          <t>UPPSALA LÄN</t>
        </is>
      </c>
      <c r="E4756" t="inlineStr">
        <is>
          <t>ÖSTHAMMAR</t>
        </is>
      </c>
      <c r="F4756" t="inlineStr">
        <is>
          <t>Övriga Aktiebolag</t>
        </is>
      </c>
      <c r="G4756" t="n">
        <v>19.7</v>
      </c>
      <c r="H4756" t="n">
        <v>0</v>
      </c>
      <c r="I4756" t="n">
        <v>0</v>
      </c>
      <c r="J4756" t="n">
        <v>0</v>
      </c>
      <c r="K4756" t="n">
        <v>0</v>
      </c>
      <c r="L4756" t="n">
        <v>0</v>
      </c>
      <c r="M4756" t="n">
        <v>0</v>
      </c>
      <c r="N4756" t="n">
        <v>0</v>
      </c>
      <c r="O4756" t="n">
        <v>0</v>
      </c>
      <c r="P4756" t="n">
        <v>0</v>
      </c>
      <c r="Q4756" t="n">
        <v>0</v>
      </c>
      <c r="R4756" s="2" t="inlineStr"/>
    </row>
    <row r="4757" ht="15" customHeight="1">
      <c r="A4757" t="inlineStr">
        <is>
          <t>A 55252-2023</t>
        </is>
      </c>
      <c r="B4757" s="1" t="n">
        <v>45237</v>
      </c>
      <c r="C4757" s="1" t="n">
        <v>45846</v>
      </c>
      <c r="D4757" t="inlineStr">
        <is>
          <t>UPPSALA LÄN</t>
        </is>
      </c>
      <c r="E4757" t="inlineStr">
        <is>
          <t>TIERP</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55387-2023</t>
        </is>
      </c>
      <c r="B4758" s="1" t="n">
        <v>45238</v>
      </c>
      <c r="C4758" s="1" t="n">
        <v>45846</v>
      </c>
      <c r="D4758" t="inlineStr">
        <is>
          <t>UPPSALA LÄN</t>
        </is>
      </c>
      <c r="E4758" t="inlineStr">
        <is>
          <t>ÖSTHAMMAR</t>
        </is>
      </c>
      <c r="F4758" t="inlineStr">
        <is>
          <t>Bergvik skog öst AB</t>
        </is>
      </c>
      <c r="G4758" t="n">
        <v>8.199999999999999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55598-2023</t>
        </is>
      </c>
      <c r="B4759" s="1" t="n">
        <v>45238</v>
      </c>
      <c r="C4759" s="1" t="n">
        <v>45846</v>
      </c>
      <c r="D4759" t="inlineStr">
        <is>
          <t>UPPSALA LÄN</t>
        </is>
      </c>
      <c r="E4759" t="inlineStr">
        <is>
          <t>UPPSALA</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55609-2023</t>
        </is>
      </c>
      <c r="B4760" s="1" t="n">
        <v>45238</v>
      </c>
      <c r="C4760" s="1" t="n">
        <v>45846</v>
      </c>
      <c r="D4760" t="inlineStr">
        <is>
          <t>UPPSALA LÄN</t>
        </is>
      </c>
      <c r="E4760" t="inlineStr">
        <is>
          <t>ENKÖPING</t>
        </is>
      </c>
      <c r="F4760" t="inlineStr">
        <is>
          <t>Allmännings- och besparingsskogar</t>
        </is>
      </c>
      <c r="G4760" t="n">
        <v>13.3</v>
      </c>
      <c r="H4760" t="n">
        <v>0</v>
      </c>
      <c r="I4760" t="n">
        <v>0</v>
      </c>
      <c r="J4760" t="n">
        <v>0</v>
      </c>
      <c r="K4760" t="n">
        <v>0</v>
      </c>
      <c r="L4760" t="n">
        <v>0</v>
      </c>
      <c r="M4760" t="n">
        <v>0</v>
      </c>
      <c r="N4760" t="n">
        <v>0</v>
      </c>
      <c r="O4760" t="n">
        <v>0</v>
      </c>
      <c r="P4760" t="n">
        <v>0</v>
      </c>
      <c r="Q4760" t="n">
        <v>0</v>
      </c>
      <c r="R4760" s="2" t="inlineStr"/>
    </row>
    <row r="4761" ht="15" customHeight="1">
      <c r="A4761" t="inlineStr">
        <is>
          <t>A 55530-2023</t>
        </is>
      </c>
      <c r="B4761" s="1" t="n">
        <v>45238</v>
      </c>
      <c r="C4761" s="1" t="n">
        <v>45846</v>
      </c>
      <c r="D4761" t="inlineStr">
        <is>
          <t>UPPSALA LÄN</t>
        </is>
      </c>
      <c r="E4761" t="inlineStr">
        <is>
          <t>TIERP</t>
        </is>
      </c>
      <c r="F4761" t="inlineStr">
        <is>
          <t>Bergvik skog väst AB</t>
        </is>
      </c>
      <c r="G4761" t="n">
        <v>9.199999999999999</v>
      </c>
      <c r="H4761" t="n">
        <v>0</v>
      </c>
      <c r="I4761" t="n">
        <v>0</v>
      </c>
      <c r="J4761" t="n">
        <v>0</v>
      </c>
      <c r="K4761" t="n">
        <v>0</v>
      </c>
      <c r="L4761" t="n">
        <v>0</v>
      </c>
      <c r="M4761" t="n">
        <v>0</v>
      </c>
      <c r="N4761" t="n">
        <v>0</v>
      </c>
      <c r="O4761" t="n">
        <v>0</v>
      </c>
      <c r="P4761" t="n">
        <v>0</v>
      </c>
      <c r="Q4761" t="n">
        <v>0</v>
      </c>
      <c r="R4761" s="2" t="inlineStr"/>
    </row>
    <row r="4762" ht="15" customHeight="1">
      <c r="A4762" t="inlineStr">
        <is>
          <t>A 55711-2023</t>
        </is>
      </c>
      <c r="B4762" s="1" t="n">
        <v>45239</v>
      </c>
      <c r="C4762" s="1" t="n">
        <v>45846</v>
      </c>
      <c r="D4762" t="inlineStr">
        <is>
          <t>UPPSALA LÄN</t>
        </is>
      </c>
      <c r="E4762" t="inlineStr">
        <is>
          <t>TIERP</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55807-2023</t>
        </is>
      </c>
      <c r="B4763" s="1" t="n">
        <v>45239</v>
      </c>
      <c r="C4763" s="1" t="n">
        <v>45846</v>
      </c>
      <c r="D4763" t="inlineStr">
        <is>
          <t>UPPSALA LÄN</t>
        </is>
      </c>
      <c r="E4763" t="inlineStr">
        <is>
          <t>TIERP</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55837-2023</t>
        </is>
      </c>
      <c r="B4764" s="1" t="n">
        <v>45239</v>
      </c>
      <c r="C4764" s="1" t="n">
        <v>45846</v>
      </c>
      <c r="D4764" t="inlineStr">
        <is>
          <t>UPPSALA LÄN</t>
        </is>
      </c>
      <c r="E4764" t="inlineStr">
        <is>
          <t>ÖSTHAMMAR</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56886-2023</t>
        </is>
      </c>
      <c r="B4765" s="1" t="n">
        <v>45239</v>
      </c>
      <c r="C4765" s="1" t="n">
        <v>45846</v>
      </c>
      <c r="D4765" t="inlineStr">
        <is>
          <t>UPPSALA LÄN</t>
        </is>
      </c>
      <c r="E4765" t="inlineStr">
        <is>
          <t>ENKÖPING</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57201-2023</t>
        </is>
      </c>
      <c r="B4766" s="1" t="n">
        <v>45239</v>
      </c>
      <c r="C4766" s="1" t="n">
        <v>45846</v>
      </c>
      <c r="D4766" t="inlineStr">
        <is>
          <t>UPPSALA LÄN</t>
        </is>
      </c>
      <c r="E4766" t="inlineStr">
        <is>
          <t>TIERP</t>
        </is>
      </c>
      <c r="F4766" t="inlineStr">
        <is>
          <t>Bergvik skog väst AB</t>
        </is>
      </c>
      <c r="G4766" t="n">
        <v>4.5</v>
      </c>
      <c r="H4766" t="n">
        <v>0</v>
      </c>
      <c r="I4766" t="n">
        <v>0</v>
      </c>
      <c r="J4766" t="n">
        <v>0</v>
      </c>
      <c r="K4766" t="n">
        <v>0</v>
      </c>
      <c r="L4766" t="n">
        <v>0</v>
      </c>
      <c r="M4766" t="n">
        <v>0</v>
      </c>
      <c r="N4766" t="n">
        <v>0</v>
      </c>
      <c r="O4766" t="n">
        <v>0</v>
      </c>
      <c r="P4766" t="n">
        <v>0</v>
      </c>
      <c r="Q4766" t="n">
        <v>0</v>
      </c>
      <c r="R4766" s="2" t="inlineStr"/>
    </row>
    <row r="4767" ht="15" customHeight="1">
      <c r="A4767" t="inlineStr">
        <is>
          <t>A 55818-2023</t>
        </is>
      </c>
      <c r="B4767" s="1" t="n">
        <v>45239</v>
      </c>
      <c r="C4767" s="1" t="n">
        <v>45846</v>
      </c>
      <c r="D4767" t="inlineStr">
        <is>
          <t>UPPSALA LÄN</t>
        </is>
      </c>
      <c r="E4767" t="inlineStr">
        <is>
          <t>TIERP</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56084-2023</t>
        </is>
      </c>
      <c r="B4768" s="1" t="n">
        <v>45240</v>
      </c>
      <c r="C4768" s="1" t="n">
        <v>45846</v>
      </c>
      <c r="D4768" t="inlineStr">
        <is>
          <t>UPPSALA LÄN</t>
        </is>
      </c>
      <c r="E4768" t="inlineStr">
        <is>
          <t>UPPSALA</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56082-2023</t>
        </is>
      </c>
      <c r="B4769" s="1" t="n">
        <v>45240</v>
      </c>
      <c r="C4769" s="1" t="n">
        <v>45846</v>
      </c>
      <c r="D4769" t="inlineStr">
        <is>
          <t>UPPSALA LÄN</t>
        </is>
      </c>
      <c r="E4769" t="inlineStr">
        <is>
          <t>UPPSALA</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55962-2023</t>
        </is>
      </c>
      <c r="B4770" s="1" t="n">
        <v>45240</v>
      </c>
      <c r="C4770" s="1" t="n">
        <v>45846</v>
      </c>
      <c r="D4770" t="inlineStr">
        <is>
          <t>UPPSALA LÄN</t>
        </is>
      </c>
      <c r="E4770" t="inlineStr">
        <is>
          <t>HÅBO</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56105-2023</t>
        </is>
      </c>
      <c r="B4771" s="1" t="n">
        <v>45240</v>
      </c>
      <c r="C4771" s="1" t="n">
        <v>45846</v>
      </c>
      <c r="D4771" t="inlineStr">
        <is>
          <t>UPPSALA LÄN</t>
        </is>
      </c>
      <c r="E4771" t="inlineStr">
        <is>
          <t>UPPSALA</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55970-2023</t>
        </is>
      </c>
      <c r="B4772" s="1" t="n">
        <v>45240</v>
      </c>
      <c r="C4772" s="1" t="n">
        <v>45846</v>
      </c>
      <c r="D4772" t="inlineStr">
        <is>
          <t>UPPSALA LÄN</t>
        </is>
      </c>
      <c r="E4772" t="inlineStr">
        <is>
          <t>HEBY</t>
        </is>
      </c>
      <c r="G4772" t="n">
        <v>6.2</v>
      </c>
      <c r="H4772" t="n">
        <v>0</v>
      </c>
      <c r="I4772" t="n">
        <v>0</v>
      </c>
      <c r="J4772" t="n">
        <v>0</v>
      </c>
      <c r="K4772" t="n">
        <v>0</v>
      </c>
      <c r="L4772" t="n">
        <v>0</v>
      </c>
      <c r="M4772" t="n">
        <v>0</v>
      </c>
      <c r="N4772" t="n">
        <v>0</v>
      </c>
      <c r="O4772" t="n">
        <v>0</v>
      </c>
      <c r="P4772" t="n">
        <v>0</v>
      </c>
      <c r="Q4772" t="n">
        <v>0</v>
      </c>
      <c r="R4772" s="2" t="inlineStr"/>
      <c r="U4772">
        <f>HYPERLINK("https://klasma.github.io/Logging_0331/knärot/A 55970-2023 karta knärot.png", "A 55970-2023")</f>
        <v/>
      </c>
      <c r="V4772">
        <f>HYPERLINK("https://klasma.github.io/Logging_0331/klagomål/A 55970-2023 FSC-klagomål.docx", "A 55970-2023")</f>
        <v/>
      </c>
      <c r="W4772">
        <f>HYPERLINK("https://klasma.github.io/Logging_0331/klagomålsmail/A 55970-2023 FSC-klagomål mail.docx", "A 55970-2023")</f>
        <v/>
      </c>
      <c r="X4772">
        <f>HYPERLINK("https://klasma.github.io/Logging_0331/tillsyn/A 55970-2023 tillsynsbegäran.docx", "A 55970-2023")</f>
        <v/>
      </c>
      <c r="Y4772">
        <f>HYPERLINK("https://klasma.github.io/Logging_0331/tillsynsmail/A 55970-2023 tillsynsbegäran mail.docx", "A 55970-2023")</f>
        <v/>
      </c>
    </row>
    <row r="4773" ht="15" customHeight="1">
      <c r="A4773" t="inlineStr">
        <is>
          <t>A 56102-2023</t>
        </is>
      </c>
      <c r="B4773" s="1" t="n">
        <v>45240</v>
      </c>
      <c r="C4773" s="1" t="n">
        <v>45846</v>
      </c>
      <c r="D4773" t="inlineStr">
        <is>
          <t>UPPSALA LÄN</t>
        </is>
      </c>
      <c r="E4773" t="inlineStr">
        <is>
          <t>ÖSTHAMMAR</t>
        </is>
      </c>
      <c r="F4773" t="inlineStr">
        <is>
          <t>Bergvik skog öst AB</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56077-2023</t>
        </is>
      </c>
      <c r="B4774" s="1" t="n">
        <v>45240</v>
      </c>
      <c r="C4774" s="1" t="n">
        <v>45846</v>
      </c>
      <c r="D4774" t="inlineStr">
        <is>
          <t>UPPSALA LÄN</t>
        </is>
      </c>
      <c r="E4774" t="inlineStr">
        <is>
          <t>UPPSALA</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56278-2023</t>
        </is>
      </c>
      <c r="B4775" s="1" t="n">
        <v>45241</v>
      </c>
      <c r="C4775" s="1" t="n">
        <v>45846</v>
      </c>
      <c r="D4775" t="inlineStr">
        <is>
          <t>UPPSALA LÄN</t>
        </is>
      </c>
      <c r="E4775" t="inlineStr">
        <is>
          <t>UPPSALA</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56292-2023</t>
        </is>
      </c>
      <c r="B4776" s="1" t="n">
        <v>45242</v>
      </c>
      <c r="C4776" s="1" t="n">
        <v>45846</v>
      </c>
      <c r="D4776" t="inlineStr">
        <is>
          <t>UPPSALA LÄN</t>
        </is>
      </c>
      <c r="E4776" t="inlineStr">
        <is>
          <t>TIERP</t>
        </is>
      </c>
      <c r="G4776" t="n">
        <v>11.5</v>
      </c>
      <c r="H4776" t="n">
        <v>0</v>
      </c>
      <c r="I4776" t="n">
        <v>0</v>
      </c>
      <c r="J4776" t="n">
        <v>0</v>
      </c>
      <c r="K4776" t="n">
        <v>0</v>
      </c>
      <c r="L4776" t="n">
        <v>0</v>
      </c>
      <c r="M4776" t="n">
        <v>0</v>
      </c>
      <c r="N4776" t="n">
        <v>0</v>
      </c>
      <c r="O4776" t="n">
        <v>0</v>
      </c>
      <c r="P4776" t="n">
        <v>0</v>
      </c>
      <c r="Q4776" t="n">
        <v>0</v>
      </c>
      <c r="R4776" s="2" t="inlineStr"/>
    </row>
    <row r="4777" ht="15" customHeight="1">
      <c r="A4777" t="inlineStr">
        <is>
          <t>A 56642-2023</t>
        </is>
      </c>
      <c r="B4777" s="1" t="n">
        <v>45243</v>
      </c>
      <c r="C4777" s="1" t="n">
        <v>45846</v>
      </c>
      <c r="D4777" t="inlineStr">
        <is>
          <t>UPPSALA LÄN</t>
        </is>
      </c>
      <c r="E4777" t="inlineStr">
        <is>
          <t>UPPSALA</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56398-2023</t>
        </is>
      </c>
      <c r="B4778" s="1" t="n">
        <v>45243</v>
      </c>
      <c r="C4778" s="1" t="n">
        <v>45846</v>
      </c>
      <c r="D4778" t="inlineStr">
        <is>
          <t>UPPSALA LÄN</t>
        </is>
      </c>
      <c r="E4778" t="inlineStr">
        <is>
          <t>HEBY</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56418-2023</t>
        </is>
      </c>
      <c r="B4779" s="1" t="n">
        <v>45243</v>
      </c>
      <c r="C4779" s="1" t="n">
        <v>45846</v>
      </c>
      <c r="D4779" t="inlineStr">
        <is>
          <t>UPPSALA LÄN</t>
        </is>
      </c>
      <c r="E4779" t="inlineStr">
        <is>
          <t>ÖSTHAMMAR</t>
        </is>
      </c>
      <c r="F4779" t="inlineStr">
        <is>
          <t>Bergvik skog öst AB</t>
        </is>
      </c>
      <c r="G4779" t="n">
        <v>5.7</v>
      </c>
      <c r="H4779" t="n">
        <v>0</v>
      </c>
      <c r="I4779" t="n">
        <v>0</v>
      </c>
      <c r="J4779" t="n">
        <v>0</v>
      </c>
      <c r="K4779" t="n">
        <v>0</v>
      </c>
      <c r="L4779" t="n">
        <v>0</v>
      </c>
      <c r="M4779" t="n">
        <v>0</v>
      </c>
      <c r="N4779" t="n">
        <v>0</v>
      </c>
      <c r="O4779" t="n">
        <v>0</v>
      </c>
      <c r="P4779" t="n">
        <v>0</v>
      </c>
      <c r="Q4779" t="n">
        <v>0</v>
      </c>
      <c r="R4779" s="2" t="inlineStr"/>
    </row>
    <row r="4780" ht="15" customHeight="1">
      <c r="A4780" t="inlineStr">
        <is>
          <t>A 56497-2023</t>
        </is>
      </c>
      <c r="B4780" s="1" t="n">
        <v>45243</v>
      </c>
      <c r="C4780" s="1" t="n">
        <v>45846</v>
      </c>
      <c r="D4780" t="inlineStr">
        <is>
          <t>UPPSALA LÄN</t>
        </is>
      </c>
      <c r="E4780" t="inlineStr">
        <is>
          <t>TIERP</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56620-2023</t>
        </is>
      </c>
      <c r="B4781" s="1" t="n">
        <v>45243</v>
      </c>
      <c r="C4781" s="1" t="n">
        <v>45846</v>
      </c>
      <c r="D4781" t="inlineStr">
        <is>
          <t>UPPSALA LÄN</t>
        </is>
      </c>
      <c r="E4781" t="inlineStr">
        <is>
          <t>HEBY</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56434-2023</t>
        </is>
      </c>
      <c r="B4782" s="1" t="n">
        <v>45243</v>
      </c>
      <c r="C4782" s="1" t="n">
        <v>45846</v>
      </c>
      <c r="D4782" t="inlineStr">
        <is>
          <t>UPPSALA LÄN</t>
        </is>
      </c>
      <c r="E4782" t="inlineStr">
        <is>
          <t>ÖSTHAMMAR</t>
        </is>
      </c>
      <c r="F4782" t="inlineStr">
        <is>
          <t>Bergvik skog öst AB</t>
        </is>
      </c>
      <c r="G4782" t="n">
        <v>5.7</v>
      </c>
      <c r="H4782" t="n">
        <v>0</v>
      </c>
      <c r="I4782" t="n">
        <v>0</v>
      </c>
      <c r="J4782" t="n">
        <v>0</v>
      </c>
      <c r="K4782" t="n">
        <v>0</v>
      </c>
      <c r="L4782" t="n">
        <v>0</v>
      </c>
      <c r="M4782" t="n">
        <v>0</v>
      </c>
      <c r="N4782" t="n">
        <v>0</v>
      </c>
      <c r="O4782" t="n">
        <v>0</v>
      </c>
      <c r="P4782" t="n">
        <v>0</v>
      </c>
      <c r="Q4782" t="n">
        <v>0</v>
      </c>
      <c r="R4782" s="2" t="inlineStr"/>
    </row>
    <row r="4783" ht="15" customHeight="1">
      <c r="A4783" t="inlineStr">
        <is>
          <t>A 56623-2023</t>
        </is>
      </c>
      <c r="B4783" s="1" t="n">
        <v>45243</v>
      </c>
      <c r="C4783" s="1" t="n">
        <v>45846</v>
      </c>
      <c r="D4783" t="inlineStr">
        <is>
          <t>UPPSALA LÄN</t>
        </is>
      </c>
      <c r="E4783" t="inlineStr">
        <is>
          <t>HEBY</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56583-2023</t>
        </is>
      </c>
      <c r="B4784" s="1" t="n">
        <v>45243</v>
      </c>
      <c r="C4784" s="1" t="n">
        <v>45846</v>
      </c>
      <c r="D4784" t="inlineStr">
        <is>
          <t>UPPSALA LÄN</t>
        </is>
      </c>
      <c r="E4784" t="inlineStr">
        <is>
          <t>TIERP</t>
        </is>
      </c>
      <c r="F4784" t="inlineStr">
        <is>
          <t>Bergvik skog väst AB</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56616-2023</t>
        </is>
      </c>
      <c r="B4785" s="1" t="n">
        <v>45243</v>
      </c>
      <c r="C4785" s="1" t="n">
        <v>45846</v>
      </c>
      <c r="D4785" t="inlineStr">
        <is>
          <t>UPPSALA LÄN</t>
        </is>
      </c>
      <c r="E4785" t="inlineStr">
        <is>
          <t>HEBY</t>
        </is>
      </c>
      <c r="G4785" t="n">
        <v>4.6</v>
      </c>
      <c r="H4785" t="n">
        <v>0</v>
      </c>
      <c r="I4785" t="n">
        <v>0</v>
      </c>
      <c r="J4785" t="n">
        <v>0</v>
      </c>
      <c r="K4785" t="n">
        <v>0</v>
      </c>
      <c r="L4785" t="n">
        <v>0</v>
      </c>
      <c r="M4785" t="n">
        <v>0</v>
      </c>
      <c r="N4785" t="n">
        <v>0</v>
      </c>
      <c r="O4785" t="n">
        <v>0</v>
      </c>
      <c r="P4785" t="n">
        <v>0</v>
      </c>
      <c r="Q4785" t="n">
        <v>0</v>
      </c>
      <c r="R4785" s="2" t="inlineStr"/>
    </row>
    <row r="4786" ht="15" customHeight="1">
      <c r="A4786" t="inlineStr">
        <is>
          <t>A 56790-2023</t>
        </is>
      </c>
      <c r="B4786" s="1" t="n">
        <v>45244</v>
      </c>
      <c r="C4786" s="1" t="n">
        <v>45846</v>
      </c>
      <c r="D4786" t="inlineStr">
        <is>
          <t>UPPSALA LÄN</t>
        </is>
      </c>
      <c r="E4786" t="inlineStr">
        <is>
          <t>ÖSTHAMMAR</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56798-2023</t>
        </is>
      </c>
      <c r="B4787" s="1" t="n">
        <v>45244</v>
      </c>
      <c r="C4787" s="1" t="n">
        <v>45846</v>
      </c>
      <c r="D4787" t="inlineStr">
        <is>
          <t>UPPSALA LÄN</t>
        </is>
      </c>
      <c r="E4787" t="inlineStr">
        <is>
          <t>ÖSTHAMMAR</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56834-2023</t>
        </is>
      </c>
      <c r="B4788" s="1" t="n">
        <v>45244</v>
      </c>
      <c r="C4788" s="1" t="n">
        <v>45846</v>
      </c>
      <c r="D4788" t="inlineStr">
        <is>
          <t>UPPSALA LÄN</t>
        </is>
      </c>
      <c r="E4788" t="inlineStr">
        <is>
          <t>HEBY</t>
        </is>
      </c>
      <c r="F4788" t="inlineStr">
        <is>
          <t>Kyrkan</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56852-2023</t>
        </is>
      </c>
      <c r="B4789" s="1" t="n">
        <v>45244</v>
      </c>
      <c r="C4789" s="1" t="n">
        <v>45846</v>
      </c>
      <c r="D4789" t="inlineStr">
        <is>
          <t>UPPSALA LÄN</t>
        </is>
      </c>
      <c r="E4789" t="inlineStr">
        <is>
          <t>UPPSALA</t>
        </is>
      </c>
      <c r="F4789" t="inlineStr">
        <is>
          <t>Holmen skog AB</t>
        </is>
      </c>
      <c r="G4789" t="n">
        <v>9.1</v>
      </c>
      <c r="H4789" t="n">
        <v>0</v>
      </c>
      <c r="I4789" t="n">
        <v>0</v>
      </c>
      <c r="J4789" t="n">
        <v>0</v>
      </c>
      <c r="K4789" t="n">
        <v>0</v>
      </c>
      <c r="L4789" t="n">
        <v>0</v>
      </c>
      <c r="M4789" t="n">
        <v>0</v>
      </c>
      <c r="N4789" t="n">
        <v>0</v>
      </c>
      <c r="O4789" t="n">
        <v>0</v>
      </c>
      <c r="P4789" t="n">
        <v>0</v>
      </c>
      <c r="Q4789" t="n">
        <v>0</v>
      </c>
      <c r="R4789" s="2" t="inlineStr"/>
    </row>
    <row r="4790" ht="15" customHeight="1">
      <c r="A4790" t="inlineStr">
        <is>
          <t>A 56872-2023</t>
        </is>
      </c>
      <c r="B4790" s="1" t="n">
        <v>45244</v>
      </c>
      <c r="C4790" s="1" t="n">
        <v>45846</v>
      </c>
      <c r="D4790" t="inlineStr">
        <is>
          <t>UPPSALA LÄN</t>
        </is>
      </c>
      <c r="E4790" t="inlineStr">
        <is>
          <t>UPPSALA</t>
        </is>
      </c>
      <c r="F4790" t="inlineStr">
        <is>
          <t>Holmen skog AB</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57018-2023</t>
        </is>
      </c>
      <c r="B4791" s="1" t="n">
        <v>45244</v>
      </c>
      <c r="C4791" s="1" t="n">
        <v>45846</v>
      </c>
      <c r="D4791" t="inlineStr">
        <is>
          <t>UPPSALA LÄN</t>
        </is>
      </c>
      <c r="E4791" t="inlineStr">
        <is>
          <t>ENKÖPING</t>
        </is>
      </c>
      <c r="G4791" t="n">
        <v>3.9</v>
      </c>
      <c r="H4791" t="n">
        <v>0</v>
      </c>
      <c r="I4791" t="n">
        <v>0</v>
      </c>
      <c r="J4791" t="n">
        <v>0</v>
      </c>
      <c r="K4791" t="n">
        <v>0</v>
      </c>
      <c r="L4791" t="n">
        <v>0</v>
      </c>
      <c r="M4791" t="n">
        <v>0</v>
      </c>
      <c r="N4791" t="n">
        <v>0</v>
      </c>
      <c r="O4791" t="n">
        <v>0</v>
      </c>
      <c r="P4791" t="n">
        <v>0</v>
      </c>
      <c r="Q4791" t="n">
        <v>0</v>
      </c>
      <c r="R4791" s="2" t="inlineStr"/>
    </row>
    <row r="4792" ht="15" customHeight="1">
      <c r="A4792" t="inlineStr">
        <is>
          <t>A 56903-2023</t>
        </is>
      </c>
      <c r="B4792" s="1" t="n">
        <v>45244</v>
      </c>
      <c r="C4792" s="1" t="n">
        <v>45846</v>
      </c>
      <c r="D4792" t="inlineStr">
        <is>
          <t>UPPSALA LÄN</t>
        </is>
      </c>
      <c r="E4792" t="inlineStr">
        <is>
          <t>ÖSTHAMMAR</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56939-2023</t>
        </is>
      </c>
      <c r="B4793" s="1" t="n">
        <v>45244</v>
      </c>
      <c r="C4793" s="1" t="n">
        <v>45846</v>
      </c>
      <c r="D4793" t="inlineStr">
        <is>
          <t>UPPSALA LÄN</t>
        </is>
      </c>
      <c r="E4793" t="inlineStr">
        <is>
          <t>TIERP</t>
        </is>
      </c>
      <c r="G4793" t="n">
        <v>5.3</v>
      </c>
      <c r="H4793" t="n">
        <v>0</v>
      </c>
      <c r="I4793" t="n">
        <v>0</v>
      </c>
      <c r="J4793" t="n">
        <v>0</v>
      </c>
      <c r="K4793" t="n">
        <v>0</v>
      </c>
      <c r="L4793" t="n">
        <v>0</v>
      </c>
      <c r="M4793" t="n">
        <v>0</v>
      </c>
      <c r="N4793" t="n">
        <v>0</v>
      </c>
      <c r="O4793" t="n">
        <v>0</v>
      </c>
      <c r="P4793" t="n">
        <v>0</v>
      </c>
      <c r="Q4793" t="n">
        <v>0</v>
      </c>
      <c r="R4793" s="2" t="inlineStr"/>
    </row>
    <row r="4794" ht="15" customHeight="1">
      <c r="A4794" t="inlineStr">
        <is>
          <t>A 56920-2023</t>
        </is>
      </c>
      <c r="B4794" s="1" t="n">
        <v>45244</v>
      </c>
      <c r="C4794" s="1" t="n">
        <v>45846</v>
      </c>
      <c r="D4794" t="inlineStr">
        <is>
          <t>UPPSALA LÄN</t>
        </is>
      </c>
      <c r="E4794" t="inlineStr">
        <is>
          <t>ÖSTHAMMAR</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56946-2023</t>
        </is>
      </c>
      <c r="B4795" s="1" t="n">
        <v>45244</v>
      </c>
      <c r="C4795" s="1" t="n">
        <v>45846</v>
      </c>
      <c r="D4795" t="inlineStr">
        <is>
          <t>UPPSALA LÄN</t>
        </is>
      </c>
      <c r="E4795" t="inlineStr">
        <is>
          <t>TIERP</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56959-2023</t>
        </is>
      </c>
      <c r="B4796" s="1" t="n">
        <v>45244</v>
      </c>
      <c r="C4796" s="1" t="n">
        <v>45846</v>
      </c>
      <c r="D4796" t="inlineStr">
        <is>
          <t>UPPSALA LÄN</t>
        </is>
      </c>
      <c r="E4796" t="inlineStr">
        <is>
          <t>ÖSTHAMMAR</t>
        </is>
      </c>
      <c r="G4796" t="n">
        <v>5</v>
      </c>
      <c r="H4796" t="n">
        <v>0</v>
      </c>
      <c r="I4796" t="n">
        <v>0</v>
      </c>
      <c r="J4796" t="n">
        <v>0</v>
      </c>
      <c r="K4796" t="n">
        <v>0</v>
      </c>
      <c r="L4796" t="n">
        <v>0</v>
      </c>
      <c r="M4796" t="n">
        <v>0</v>
      </c>
      <c r="N4796" t="n">
        <v>0</v>
      </c>
      <c r="O4796" t="n">
        <v>0</v>
      </c>
      <c r="P4796" t="n">
        <v>0</v>
      </c>
      <c r="Q4796" t="n">
        <v>0</v>
      </c>
      <c r="R4796" s="2" t="inlineStr"/>
    </row>
    <row r="4797" ht="15" customHeight="1">
      <c r="A4797" t="inlineStr">
        <is>
          <t>A 56971-2023</t>
        </is>
      </c>
      <c r="B4797" s="1" t="n">
        <v>45244</v>
      </c>
      <c r="C4797" s="1" t="n">
        <v>45846</v>
      </c>
      <c r="D4797" t="inlineStr">
        <is>
          <t>UPPSALA LÄN</t>
        </is>
      </c>
      <c r="E4797" t="inlineStr">
        <is>
          <t>TIERP</t>
        </is>
      </c>
      <c r="F4797" t="inlineStr">
        <is>
          <t>Bergvik skog öst AB</t>
        </is>
      </c>
      <c r="G4797" t="n">
        <v>8.5</v>
      </c>
      <c r="H4797" t="n">
        <v>0</v>
      </c>
      <c r="I4797" t="n">
        <v>0</v>
      </c>
      <c r="J4797" t="n">
        <v>0</v>
      </c>
      <c r="K4797" t="n">
        <v>0</v>
      </c>
      <c r="L4797" t="n">
        <v>0</v>
      </c>
      <c r="M4797" t="n">
        <v>0</v>
      </c>
      <c r="N4797" t="n">
        <v>0</v>
      </c>
      <c r="O4797" t="n">
        <v>0</v>
      </c>
      <c r="P4797" t="n">
        <v>0</v>
      </c>
      <c r="Q4797" t="n">
        <v>0</v>
      </c>
      <c r="R4797" s="2" t="inlineStr"/>
    </row>
    <row r="4798" ht="15" customHeight="1">
      <c r="A4798" t="inlineStr">
        <is>
          <t>A 57351-2023</t>
        </is>
      </c>
      <c r="B4798" s="1" t="n">
        <v>45245</v>
      </c>
      <c r="C4798" s="1" t="n">
        <v>45846</v>
      </c>
      <c r="D4798" t="inlineStr">
        <is>
          <t>UPPSALA LÄN</t>
        </is>
      </c>
      <c r="E4798" t="inlineStr">
        <is>
          <t>KNIVSTA</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57142-2023</t>
        </is>
      </c>
      <c r="B4799" s="1" t="n">
        <v>45245</v>
      </c>
      <c r="C4799" s="1" t="n">
        <v>45846</v>
      </c>
      <c r="D4799" t="inlineStr">
        <is>
          <t>UPPSALA LÄN</t>
        </is>
      </c>
      <c r="E4799" t="inlineStr">
        <is>
          <t>TIERP</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57144-2023</t>
        </is>
      </c>
      <c r="B4800" s="1" t="n">
        <v>45245</v>
      </c>
      <c r="C4800" s="1" t="n">
        <v>45846</v>
      </c>
      <c r="D4800" t="inlineStr">
        <is>
          <t>UPPSALA LÄN</t>
        </is>
      </c>
      <c r="E4800" t="inlineStr">
        <is>
          <t>TIERP</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57186-2023</t>
        </is>
      </c>
      <c r="B4801" s="1" t="n">
        <v>45245</v>
      </c>
      <c r="C4801" s="1" t="n">
        <v>45846</v>
      </c>
      <c r="D4801" t="inlineStr">
        <is>
          <t>UPPSALA LÄN</t>
        </is>
      </c>
      <c r="E4801" t="inlineStr">
        <is>
          <t>UPPSALA</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57182-2023</t>
        </is>
      </c>
      <c r="B4802" s="1" t="n">
        <v>45245</v>
      </c>
      <c r="C4802" s="1" t="n">
        <v>45846</v>
      </c>
      <c r="D4802" t="inlineStr">
        <is>
          <t>UPPSALA LÄN</t>
        </is>
      </c>
      <c r="E4802" t="inlineStr">
        <is>
          <t>UPPSALA</t>
        </is>
      </c>
      <c r="F4802" t="inlineStr">
        <is>
          <t>Övriga Aktiebolag</t>
        </is>
      </c>
      <c r="G4802" t="n">
        <v>6.6</v>
      </c>
      <c r="H4802" t="n">
        <v>0</v>
      </c>
      <c r="I4802" t="n">
        <v>0</v>
      </c>
      <c r="J4802" t="n">
        <v>0</v>
      </c>
      <c r="K4802" t="n">
        <v>0</v>
      </c>
      <c r="L4802" t="n">
        <v>0</v>
      </c>
      <c r="M4802" t="n">
        <v>0</v>
      </c>
      <c r="N4802" t="n">
        <v>0</v>
      </c>
      <c r="O4802" t="n">
        <v>0</v>
      </c>
      <c r="P4802" t="n">
        <v>0</v>
      </c>
      <c r="Q4802" t="n">
        <v>0</v>
      </c>
      <c r="R4802" s="2" t="inlineStr"/>
    </row>
    <row r="4803" ht="15" customHeight="1">
      <c r="A4803" t="inlineStr">
        <is>
          <t>A 57358-2023</t>
        </is>
      </c>
      <c r="B4803" s="1" t="n">
        <v>45245</v>
      </c>
      <c r="C4803" s="1" t="n">
        <v>45846</v>
      </c>
      <c r="D4803" t="inlineStr">
        <is>
          <t>UPPSALA LÄN</t>
        </is>
      </c>
      <c r="E4803" t="inlineStr">
        <is>
          <t>TIERP</t>
        </is>
      </c>
      <c r="G4803" t="n">
        <v>4.6</v>
      </c>
      <c r="H4803" t="n">
        <v>0</v>
      </c>
      <c r="I4803" t="n">
        <v>0</v>
      </c>
      <c r="J4803" t="n">
        <v>0</v>
      </c>
      <c r="K4803" t="n">
        <v>0</v>
      </c>
      <c r="L4803" t="n">
        <v>0</v>
      </c>
      <c r="M4803" t="n">
        <v>0</v>
      </c>
      <c r="N4803" t="n">
        <v>0</v>
      </c>
      <c r="O4803" t="n">
        <v>0</v>
      </c>
      <c r="P4803" t="n">
        <v>0</v>
      </c>
      <c r="Q4803" t="n">
        <v>0</v>
      </c>
      <c r="R4803" s="2" t="inlineStr"/>
    </row>
    <row r="4804" ht="15" customHeight="1">
      <c r="A4804" t="inlineStr">
        <is>
          <t>A 57502-2023</t>
        </is>
      </c>
      <c r="B4804" s="1" t="n">
        <v>45246</v>
      </c>
      <c r="C4804" s="1" t="n">
        <v>45846</v>
      </c>
      <c r="D4804" t="inlineStr">
        <is>
          <t>UPPSALA LÄN</t>
        </is>
      </c>
      <c r="E4804" t="inlineStr">
        <is>
          <t>TIERP</t>
        </is>
      </c>
      <c r="F4804" t="inlineStr">
        <is>
          <t>Kyrkan</t>
        </is>
      </c>
      <c r="G4804" t="n">
        <v>15.9</v>
      </c>
      <c r="H4804" t="n">
        <v>0</v>
      </c>
      <c r="I4804" t="n">
        <v>0</v>
      </c>
      <c r="J4804" t="n">
        <v>0</v>
      </c>
      <c r="K4804" t="n">
        <v>0</v>
      </c>
      <c r="L4804" t="n">
        <v>0</v>
      </c>
      <c r="M4804" t="n">
        <v>0</v>
      </c>
      <c r="N4804" t="n">
        <v>0</v>
      </c>
      <c r="O4804" t="n">
        <v>0</v>
      </c>
      <c r="P4804" t="n">
        <v>0</v>
      </c>
      <c r="Q4804" t="n">
        <v>0</v>
      </c>
      <c r="R4804" s="2" t="inlineStr"/>
    </row>
    <row r="4805" ht="15" customHeight="1">
      <c r="A4805" t="inlineStr">
        <is>
          <t>A 57526-2023</t>
        </is>
      </c>
      <c r="B4805" s="1" t="n">
        <v>45246</v>
      </c>
      <c r="C4805" s="1" t="n">
        <v>45846</v>
      </c>
      <c r="D4805" t="inlineStr">
        <is>
          <t>UPPSALA LÄN</t>
        </is>
      </c>
      <c r="E4805" t="inlineStr">
        <is>
          <t>TIERP</t>
        </is>
      </c>
      <c r="F4805" t="inlineStr">
        <is>
          <t>Kyrkan</t>
        </is>
      </c>
      <c r="G4805" t="n">
        <v>8.699999999999999</v>
      </c>
      <c r="H4805" t="n">
        <v>0</v>
      </c>
      <c r="I4805" t="n">
        <v>0</v>
      </c>
      <c r="J4805" t="n">
        <v>0</v>
      </c>
      <c r="K4805" t="n">
        <v>0</v>
      </c>
      <c r="L4805" t="n">
        <v>0</v>
      </c>
      <c r="M4805" t="n">
        <v>0</v>
      </c>
      <c r="N4805" t="n">
        <v>0</v>
      </c>
      <c r="O4805" t="n">
        <v>0</v>
      </c>
      <c r="P4805" t="n">
        <v>0</v>
      </c>
      <c r="Q4805" t="n">
        <v>0</v>
      </c>
      <c r="R4805" s="2" t="inlineStr"/>
    </row>
    <row r="4806" ht="15" customHeight="1">
      <c r="A4806" t="inlineStr">
        <is>
          <t>A 57662-2023</t>
        </is>
      </c>
      <c r="B4806" s="1" t="n">
        <v>45246</v>
      </c>
      <c r="C4806" s="1" t="n">
        <v>45846</v>
      </c>
      <c r="D4806" t="inlineStr">
        <is>
          <t>UPPSALA LÄN</t>
        </is>
      </c>
      <c r="E4806" t="inlineStr">
        <is>
          <t>ENKÖPING</t>
        </is>
      </c>
      <c r="G4806" t="n">
        <v>10.9</v>
      </c>
      <c r="H4806" t="n">
        <v>0</v>
      </c>
      <c r="I4806" t="n">
        <v>0</v>
      </c>
      <c r="J4806" t="n">
        <v>0</v>
      </c>
      <c r="K4806" t="n">
        <v>0</v>
      </c>
      <c r="L4806" t="n">
        <v>0</v>
      </c>
      <c r="M4806" t="n">
        <v>0</v>
      </c>
      <c r="N4806" t="n">
        <v>0</v>
      </c>
      <c r="O4806" t="n">
        <v>0</v>
      </c>
      <c r="P4806" t="n">
        <v>0</v>
      </c>
      <c r="Q4806" t="n">
        <v>0</v>
      </c>
      <c r="R4806" s="2" t="inlineStr"/>
    </row>
    <row r="4807" ht="15" customHeight="1">
      <c r="A4807" t="inlineStr">
        <is>
          <t>A 57959-2023</t>
        </is>
      </c>
      <c r="B4807" s="1" t="n">
        <v>45247</v>
      </c>
      <c r="C4807" s="1" t="n">
        <v>45846</v>
      </c>
      <c r="D4807" t="inlineStr">
        <is>
          <t>UPPSALA LÄN</t>
        </is>
      </c>
      <c r="E4807" t="inlineStr">
        <is>
          <t>TIERP</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57826-2023</t>
        </is>
      </c>
      <c r="B4808" s="1" t="n">
        <v>45247</v>
      </c>
      <c r="C4808" s="1" t="n">
        <v>45846</v>
      </c>
      <c r="D4808" t="inlineStr">
        <is>
          <t>UPPSALA LÄN</t>
        </is>
      </c>
      <c r="E4808" t="inlineStr">
        <is>
          <t>TIERP</t>
        </is>
      </c>
      <c r="G4808" t="n">
        <v>4.3</v>
      </c>
      <c r="H4808" t="n">
        <v>0</v>
      </c>
      <c r="I4808" t="n">
        <v>0</v>
      </c>
      <c r="J4808" t="n">
        <v>0</v>
      </c>
      <c r="K4808" t="n">
        <v>0</v>
      </c>
      <c r="L4808" t="n">
        <v>0</v>
      </c>
      <c r="M4808" t="n">
        <v>0</v>
      </c>
      <c r="N4808" t="n">
        <v>0</v>
      </c>
      <c r="O4808" t="n">
        <v>0</v>
      </c>
      <c r="P4808" t="n">
        <v>0</v>
      </c>
      <c r="Q4808" t="n">
        <v>0</v>
      </c>
      <c r="R4808" s="2" t="inlineStr"/>
    </row>
    <row r="4809" ht="15" customHeight="1">
      <c r="A4809" t="inlineStr">
        <is>
          <t>A 57969-2023</t>
        </is>
      </c>
      <c r="B4809" s="1" t="n">
        <v>45247</v>
      </c>
      <c r="C4809" s="1" t="n">
        <v>45846</v>
      </c>
      <c r="D4809" t="inlineStr">
        <is>
          <t>UPPSALA LÄN</t>
        </is>
      </c>
      <c r="E4809" t="inlineStr">
        <is>
          <t>TIERP</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58042-2023</t>
        </is>
      </c>
      <c r="B4810" s="1" t="n">
        <v>45247</v>
      </c>
      <c r="C4810" s="1" t="n">
        <v>45846</v>
      </c>
      <c r="D4810" t="inlineStr">
        <is>
          <t>UPPSALA LÄN</t>
        </is>
      </c>
      <c r="E4810" t="inlineStr">
        <is>
          <t>TIERP</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58034-2023</t>
        </is>
      </c>
      <c r="B4811" s="1" t="n">
        <v>45247</v>
      </c>
      <c r="C4811" s="1" t="n">
        <v>45846</v>
      </c>
      <c r="D4811" t="inlineStr">
        <is>
          <t>UPPSALA LÄN</t>
        </is>
      </c>
      <c r="E4811" t="inlineStr">
        <is>
          <t>TIERP</t>
        </is>
      </c>
      <c r="G4811" t="n">
        <v>7.8</v>
      </c>
      <c r="H4811" t="n">
        <v>0</v>
      </c>
      <c r="I4811" t="n">
        <v>0</v>
      </c>
      <c r="J4811" t="n">
        <v>0</v>
      </c>
      <c r="K4811" t="n">
        <v>0</v>
      </c>
      <c r="L4811" t="n">
        <v>0</v>
      </c>
      <c r="M4811" t="n">
        <v>0</v>
      </c>
      <c r="N4811" t="n">
        <v>0</v>
      </c>
      <c r="O4811" t="n">
        <v>0</v>
      </c>
      <c r="P4811" t="n">
        <v>0</v>
      </c>
      <c r="Q4811" t="n">
        <v>0</v>
      </c>
      <c r="R4811" s="2" t="inlineStr"/>
    </row>
    <row r="4812" ht="15" customHeight="1">
      <c r="A4812" t="inlineStr">
        <is>
          <t>A 57828-2023</t>
        </is>
      </c>
      <c r="B4812" s="1" t="n">
        <v>45247</v>
      </c>
      <c r="C4812" s="1" t="n">
        <v>45846</v>
      </c>
      <c r="D4812" t="inlineStr">
        <is>
          <t>UPPSALA LÄN</t>
        </is>
      </c>
      <c r="E4812" t="inlineStr">
        <is>
          <t>TIERP</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58114-2023</t>
        </is>
      </c>
      <c r="B4813" s="1" t="n">
        <v>45249</v>
      </c>
      <c r="C4813" s="1" t="n">
        <v>45846</v>
      </c>
      <c r="D4813" t="inlineStr">
        <is>
          <t>UPPSALA LÄN</t>
        </is>
      </c>
      <c r="E4813" t="inlineStr">
        <is>
          <t>ENKÖPING</t>
        </is>
      </c>
      <c r="G4813" t="n">
        <v>15.4</v>
      </c>
      <c r="H4813" t="n">
        <v>0</v>
      </c>
      <c r="I4813" t="n">
        <v>0</v>
      </c>
      <c r="J4813" t="n">
        <v>0</v>
      </c>
      <c r="K4813" t="n">
        <v>0</v>
      </c>
      <c r="L4813" t="n">
        <v>0</v>
      </c>
      <c r="M4813" t="n">
        <v>0</v>
      </c>
      <c r="N4813" t="n">
        <v>0</v>
      </c>
      <c r="O4813" t="n">
        <v>0</v>
      </c>
      <c r="P4813" t="n">
        <v>0</v>
      </c>
      <c r="Q4813" t="n">
        <v>0</v>
      </c>
      <c r="R4813" s="2" t="inlineStr"/>
    </row>
    <row r="4814" ht="15" customHeight="1">
      <c r="A4814" t="inlineStr">
        <is>
          <t>A 58176-2023</t>
        </is>
      </c>
      <c r="B4814" s="1" t="n">
        <v>45250</v>
      </c>
      <c r="C4814" s="1" t="n">
        <v>45846</v>
      </c>
      <c r="D4814" t="inlineStr">
        <is>
          <t>UPPSALA LÄN</t>
        </is>
      </c>
      <c r="E4814" t="inlineStr">
        <is>
          <t>ÖSTHAMMAR</t>
        </is>
      </c>
      <c r="F4814" t="inlineStr">
        <is>
          <t>Allmännings- och besparingsskogar</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58295-2023</t>
        </is>
      </c>
      <c r="B4815" s="1" t="n">
        <v>45250</v>
      </c>
      <c r="C4815" s="1" t="n">
        <v>45846</v>
      </c>
      <c r="D4815" t="inlineStr">
        <is>
          <t>UPPSALA LÄN</t>
        </is>
      </c>
      <c r="E4815" t="inlineStr">
        <is>
          <t>ÖSTHAMMAR</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58270-2023</t>
        </is>
      </c>
      <c r="B4816" s="1" t="n">
        <v>45250</v>
      </c>
      <c r="C4816" s="1" t="n">
        <v>45846</v>
      </c>
      <c r="D4816" t="inlineStr">
        <is>
          <t>UPPSALA LÄN</t>
        </is>
      </c>
      <c r="E4816" t="inlineStr">
        <is>
          <t>ÖSTHAMMAR</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58301-2023</t>
        </is>
      </c>
      <c r="B4817" s="1" t="n">
        <v>45250</v>
      </c>
      <c r="C4817" s="1" t="n">
        <v>45846</v>
      </c>
      <c r="D4817" t="inlineStr">
        <is>
          <t>UPPSALA LÄN</t>
        </is>
      </c>
      <c r="E4817" t="inlineStr">
        <is>
          <t>ÖSTHAMMAR</t>
        </is>
      </c>
      <c r="G4817" t="n">
        <v>5.9</v>
      </c>
      <c r="H4817" t="n">
        <v>0</v>
      </c>
      <c r="I4817" t="n">
        <v>0</v>
      </c>
      <c r="J4817" t="n">
        <v>0</v>
      </c>
      <c r="K4817" t="n">
        <v>0</v>
      </c>
      <c r="L4817" t="n">
        <v>0</v>
      </c>
      <c r="M4817" t="n">
        <v>0</v>
      </c>
      <c r="N4817" t="n">
        <v>0</v>
      </c>
      <c r="O4817" t="n">
        <v>0</v>
      </c>
      <c r="P4817" t="n">
        <v>0</v>
      </c>
      <c r="Q4817" t="n">
        <v>0</v>
      </c>
      <c r="R4817" s="2" t="inlineStr"/>
    </row>
    <row r="4818" ht="15" customHeight="1">
      <c r="A4818" t="inlineStr">
        <is>
          <t>A 58324-2023</t>
        </is>
      </c>
      <c r="B4818" s="1" t="n">
        <v>45250</v>
      </c>
      <c r="C4818" s="1" t="n">
        <v>45846</v>
      </c>
      <c r="D4818" t="inlineStr">
        <is>
          <t>UPPSALA LÄN</t>
        </is>
      </c>
      <c r="E4818" t="inlineStr">
        <is>
          <t>ÖSTHAMMAR</t>
        </is>
      </c>
      <c r="G4818" t="n">
        <v>5.1</v>
      </c>
      <c r="H4818" t="n">
        <v>0</v>
      </c>
      <c r="I4818" t="n">
        <v>0</v>
      </c>
      <c r="J4818" t="n">
        <v>0</v>
      </c>
      <c r="K4818" t="n">
        <v>0</v>
      </c>
      <c r="L4818" t="n">
        <v>0</v>
      </c>
      <c r="M4818" t="n">
        <v>0</v>
      </c>
      <c r="N4818" t="n">
        <v>0</v>
      </c>
      <c r="O4818" t="n">
        <v>0</v>
      </c>
      <c r="P4818" t="n">
        <v>0</v>
      </c>
      <c r="Q4818" t="n">
        <v>0</v>
      </c>
      <c r="R4818" s="2" t="inlineStr"/>
    </row>
    <row r="4819" ht="15" customHeight="1">
      <c r="A4819" t="inlineStr">
        <is>
          <t>A 58914-2023</t>
        </is>
      </c>
      <c r="B4819" s="1" t="n">
        <v>45250</v>
      </c>
      <c r="C4819" s="1" t="n">
        <v>45846</v>
      </c>
      <c r="D4819" t="inlineStr">
        <is>
          <t>UPPSALA LÄN</t>
        </is>
      </c>
      <c r="E4819" t="inlineStr">
        <is>
          <t>HEBY</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58332-2023</t>
        </is>
      </c>
      <c r="B4820" s="1" t="n">
        <v>45250</v>
      </c>
      <c r="C4820" s="1" t="n">
        <v>45846</v>
      </c>
      <c r="D4820" t="inlineStr">
        <is>
          <t>UPPSALA LÄN</t>
        </is>
      </c>
      <c r="E4820" t="inlineStr">
        <is>
          <t>HEBY</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58913-2023</t>
        </is>
      </c>
      <c r="B4821" s="1" t="n">
        <v>45250</v>
      </c>
      <c r="C4821" s="1" t="n">
        <v>45846</v>
      </c>
      <c r="D4821" t="inlineStr">
        <is>
          <t>UPPSALA LÄN</t>
        </is>
      </c>
      <c r="E4821" t="inlineStr">
        <is>
          <t>HEBY</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58431-2023</t>
        </is>
      </c>
      <c r="B4822" s="1" t="n">
        <v>45250</v>
      </c>
      <c r="C4822" s="1" t="n">
        <v>45846</v>
      </c>
      <c r="D4822" t="inlineStr">
        <is>
          <t>UPPSALA LÄN</t>
        </is>
      </c>
      <c r="E4822" t="inlineStr">
        <is>
          <t>ÖSTHAMMAR</t>
        </is>
      </c>
      <c r="F4822" t="inlineStr">
        <is>
          <t>Bergvik skog öst AB</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58492-2023</t>
        </is>
      </c>
      <c r="B4823" s="1" t="n">
        <v>45251</v>
      </c>
      <c r="C4823" s="1" t="n">
        <v>45846</v>
      </c>
      <c r="D4823" t="inlineStr">
        <is>
          <t>UPPSALA LÄN</t>
        </is>
      </c>
      <c r="E4823" t="inlineStr">
        <is>
          <t>TIERP</t>
        </is>
      </c>
      <c r="F4823" t="inlineStr">
        <is>
          <t>Bergvik skog väst AB</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58596-2023</t>
        </is>
      </c>
      <c r="B4824" s="1" t="n">
        <v>45251</v>
      </c>
      <c r="C4824" s="1" t="n">
        <v>45846</v>
      </c>
      <c r="D4824" t="inlineStr">
        <is>
          <t>UPPSALA LÄN</t>
        </is>
      </c>
      <c r="E4824" t="inlineStr">
        <is>
          <t>HEBY</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59169-2023</t>
        </is>
      </c>
      <c r="B4825" s="1" t="n">
        <v>45251</v>
      </c>
      <c r="C4825" s="1" t="n">
        <v>45846</v>
      </c>
      <c r="D4825" t="inlineStr">
        <is>
          <t>UPPSALA LÄN</t>
        </is>
      </c>
      <c r="E4825" t="inlineStr">
        <is>
          <t>HÅBO</t>
        </is>
      </c>
      <c r="G4825" t="n">
        <v>4.5</v>
      </c>
      <c r="H4825" t="n">
        <v>0</v>
      </c>
      <c r="I4825" t="n">
        <v>0</v>
      </c>
      <c r="J4825" t="n">
        <v>0</v>
      </c>
      <c r="K4825" t="n">
        <v>0</v>
      </c>
      <c r="L4825" t="n">
        <v>0</v>
      </c>
      <c r="M4825" t="n">
        <v>0</v>
      </c>
      <c r="N4825" t="n">
        <v>0</v>
      </c>
      <c r="O4825" t="n">
        <v>0</v>
      </c>
      <c r="P4825" t="n">
        <v>0</v>
      </c>
      <c r="Q4825" t="n">
        <v>0</v>
      </c>
      <c r="R4825" s="2" t="inlineStr"/>
    </row>
    <row r="4826" ht="15" customHeight="1">
      <c r="A4826" t="inlineStr">
        <is>
          <t>A 58855-2023</t>
        </is>
      </c>
      <c r="B4826" s="1" t="n">
        <v>45252</v>
      </c>
      <c r="C4826" s="1" t="n">
        <v>45846</v>
      </c>
      <c r="D4826" t="inlineStr">
        <is>
          <t>UPPSALA LÄN</t>
        </is>
      </c>
      <c r="E4826" t="inlineStr">
        <is>
          <t>ÖSTHAMMAR</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58947-2023</t>
        </is>
      </c>
      <c r="B4827" s="1" t="n">
        <v>45252</v>
      </c>
      <c r="C4827" s="1" t="n">
        <v>45846</v>
      </c>
      <c r="D4827" t="inlineStr">
        <is>
          <t>UPPSALA LÄN</t>
        </is>
      </c>
      <c r="E4827" t="inlineStr">
        <is>
          <t>TIERP</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58854-2023</t>
        </is>
      </c>
      <c r="B4828" s="1" t="n">
        <v>45252</v>
      </c>
      <c r="C4828" s="1" t="n">
        <v>45846</v>
      </c>
      <c r="D4828" t="inlineStr">
        <is>
          <t>UPPSALA LÄN</t>
        </is>
      </c>
      <c r="E4828" t="inlineStr">
        <is>
          <t>ÖSTHAMMAR</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58900-2023</t>
        </is>
      </c>
      <c r="B4829" s="1" t="n">
        <v>45252</v>
      </c>
      <c r="C4829" s="1" t="n">
        <v>45846</v>
      </c>
      <c r="D4829" t="inlineStr">
        <is>
          <t>UPPSALA LÄN</t>
        </is>
      </c>
      <c r="E4829" t="inlineStr">
        <is>
          <t>TIERP</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59004-2023</t>
        </is>
      </c>
      <c r="B4830" s="1" t="n">
        <v>45252</v>
      </c>
      <c r="C4830" s="1" t="n">
        <v>45846</v>
      </c>
      <c r="D4830" t="inlineStr">
        <is>
          <t>UPPSALA LÄN</t>
        </is>
      </c>
      <c r="E4830" t="inlineStr">
        <is>
          <t>ÄLVKARLEBY</t>
        </is>
      </c>
      <c r="F4830" t="inlineStr">
        <is>
          <t>Bergvik skog öst AB</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58859-2023</t>
        </is>
      </c>
      <c r="B4831" s="1" t="n">
        <v>45252</v>
      </c>
      <c r="C4831" s="1" t="n">
        <v>45846</v>
      </c>
      <c r="D4831" t="inlineStr">
        <is>
          <t>UPPSALA LÄN</t>
        </is>
      </c>
      <c r="E4831" t="inlineStr">
        <is>
          <t>ÖSTHAMMAR</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58931-2023</t>
        </is>
      </c>
      <c r="B4832" s="1" t="n">
        <v>45252</v>
      </c>
      <c r="C4832" s="1" t="n">
        <v>45846</v>
      </c>
      <c r="D4832" t="inlineStr">
        <is>
          <t>UPPSALA LÄN</t>
        </is>
      </c>
      <c r="E4832" t="inlineStr">
        <is>
          <t>TIERP</t>
        </is>
      </c>
      <c r="F4832" t="inlineStr">
        <is>
          <t>Bergvik skog öst AB</t>
        </is>
      </c>
      <c r="G4832" t="n">
        <v>4.6</v>
      </c>
      <c r="H4832" t="n">
        <v>0</v>
      </c>
      <c r="I4832" t="n">
        <v>0</v>
      </c>
      <c r="J4832" t="n">
        <v>0</v>
      </c>
      <c r="K4832" t="n">
        <v>0</v>
      </c>
      <c r="L4832" t="n">
        <v>0</v>
      </c>
      <c r="M4832" t="n">
        <v>0</v>
      </c>
      <c r="N4832" t="n">
        <v>0</v>
      </c>
      <c r="O4832" t="n">
        <v>0</v>
      </c>
      <c r="P4832" t="n">
        <v>0</v>
      </c>
      <c r="Q4832" t="n">
        <v>0</v>
      </c>
      <c r="R4832" s="2" t="inlineStr"/>
    </row>
    <row r="4833" ht="15" customHeight="1">
      <c r="A4833" t="inlineStr">
        <is>
          <t>A 59207-2023</t>
        </is>
      </c>
      <c r="B4833" s="1" t="n">
        <v>45252</v>
      </c>
      <c r="C4833" s="1" t="n">
        <v>45846</v>
      </c>
      <c r="D4833" t="inlineStr">
        <is>
          <t>UPPSALA LÄN</t>
        </is>
      </c>
      <c r="E4833" t="inlineStr">
        <is>
          <t>HEBY</t>
        </is>
      </c>
      <c r="F4833" t="inlineStr">
        <is>
          <t>Bergvik skog väst AB</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59218-2023</t>
        </is>
      </c>
      <c r="B4834" s="1" t="n">
        <v>45252</v>
      </c>
      <c r="C4834" s="1" t="n">
        <v>45846</v>
      </c>
      <c r="D4834" t="inlineStr">
        <is>
          <t>UPPSALA LÄN</t>
        </is>
      </c>
      <c r="E4834" t="inlineStr">
        <is>
          <t>HEBY</t>
        </is>
      </c>
      <c r="F4834" t="inlineStr">
        <is>
          <t>Bergvik skog väst AB</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59112-2023</t>
        </is>
      </c>
      <c r="B4835" s="1" t="n">
        <v>45253</v>
      </c>
      <c r="C4835" s="1" t="n">
        <v>45846</v>
      </c>
      <c r="D4835" t="inlineStr">
        <is>
          <t>UPPSALA LÄN</t>
        </is>
      </c>
      <c r="E4835" t="inlineStr">
        <is>
          <t>HEBY</t>
        </is>
      </c>
      <c r="F4835" t="inlineStr">
        <is>
          <t>Bergvik skog öst AB</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59176-2023</t>
        </is>
      </c>
      <c r="B4836" s="1" t="n">
        <v>45253</v>
      </c>
      <c r="C4836" s="1" t="n">
        <v>45846</v>
      </c>
      <c r="D4836" t="inlineStr">
        <is>
          <t>UPPSALA LÄN</t>
        </is>
      </c>
      <c r="E4836" t="inlineStr">
        <is>
          <t>HEBY</t>
        </is>
      </c>
      <c r="F4836" t="inlineStr">
        <is>
          <t>Kyrkan</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59244-2023</t>
        </is>
      </c>
      <c r="B4837" s="1" t="n">
        <v>45253</v>
      </c>
      <c r="C4837" s="1" t="n">
        <v>45846</v>
      </c>
      <c r="D4837" t="inlineStr">
        <is>
          <t>UPPSALA LÄN</t>
        </is>
      </c>
      <c r="E4837" t="inlineStr">
        <is>
          <t>ÖSTHAMMAR</t>
        </is>
      </c>
      <c r="G4837" t="n">
        <v>12.9</v>
      </c>
      <c r="H4837" t="n">
        <v>0</v>
      </c>
      <c r="I4837" t="n">
        <v>0</v>
      </c>
      <c r="J4837" t="n">
        <v>0</v>
      </c>
      <c r="K4837" t="n">
        <v>0</v>
      </c>
      <c r="L4837" t="n">
        <v>0</v>
      </c>
      <c r="M4837" t="n">
        <v>0</v>
      </c>
      <c r="N4837" t="n">
        <v>0</v>
      </c>
      <c r="O4837" t="n">
        <v>0</v>
      </c>
      <c r="P4837" t="n">
        <v>0</v>
      </c>
      <c r="Q4837" t="n">
        <v>0</v>
      </c>
      <c r="R4837" s="2" t="inlineStr"/>
    </row>
    <row r="4838" ht="15" customHeight="1">
      <c r="A4838" t="inlineStr">
        <is>
          <t>A 59288-2023</t>
        </is>
      </c>
      <c r="B4838" s="1" t="n">
        <v>45253</v>
      </c>
      <c r="C4838" s="1" t="n">
        <v>45846</v>
      </c>
      <c r="D4838" t="inlineStr">
        <is>
          <t>UPPSALA LÄN</t>
        </is>
      </c>
      <c r="E4838" t="inlineStr">
        <is>
          <t>ÖSTHAMMAR</t>
        </is>
      </c>
      <c r="G4838" t="n">
        <v>7</v>
      </c>
      <c r="H4838" t="n">
        <v>0</v>
      </c>
      <c r="I4838" t="n">
        <v>0</v>
      </c>
      <c r="J4838" t="n">
        <v>0</v>
      </c>
      <c r="K4838" t="n">
        <v>0</v>
      </c>
      <c r="L4838" t="n">
        <v>0</v>
      </c>
      <c r="M4838" t="n">
        <v>0</v>
      </c>
      <c r="N4838" t="n">
        <v>0</v>
      </c>
      <c r="O4838" t="n">
        <v>0</v>
      </c>
      <c r="P4838" t="n">
        <v>0</v>
      </c>
      <c r="Q4838" t="n">
        <v>0</v>
      </c>
      <c r="R4838" s="2" t="inlineStr"/>
    </row>
    <row r="4839" ht="15" customHeight="1">
      <c r="A4839" t="inlineStr">
        <is>
          <t>A 59314-2023</t>
        </is>
      </c>
      <c r="B4839" s="1" t="n">
        <v>45253</v>
      </c>
      <c r="C4839" s="1" t="n">
        <v>45846</v>
      </c>
      <c r="D4839" t="inlineStr">
        <is>
          <t>UPPSALA LÄN</t>
        </is>
      </c>
      <c r="E4839" t="inlineStr">
        <is>
          <t>ÖSTHAMMAR</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59318-2023</t>
        </is>
      </c>
      <c r="B4840" s="1" t="n">
        <v>45253</v>
      </c>
      <c r="C4840" s="1" t="n">
        <v>45846</v>
      </c>
      <c r="D4840" t="inlineStr">
        <is>
          <t>UPPSALA LÄN</t>
        </is>
      </c>
      <c r="E4840" t="inlineStr">
        <is>
          <t>ÖSTHAMMAR</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59327-2023</t>
        </is>
      </c>
      <c r="B4841" s="1" t="n">
        <v>45253</v>
      </c>
      <c r="C4841" s="1" t="n">
        <v>45846</v>
      </c>
      <c r="D4841" t="inlineStr">
        <is>
          <t>UPPSALA LÄN</t>
        </is>
      </c>
      <c r="E4841" t="inlineStr">
        <is>
          <t>ÖSTHAMMAR</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59105-2023</t>
        </is>
      </c>
      <c r="B4842" s="1" t="n">
        <v>45253</v>
      </c>
      <c r="C4842" s="1" t="n">
        <v>45846</v>
      </c>
      <c r="D4842" t="inlineStr">
        <is>
          <t>UPPSALA LÄN</t>
        </is>
      </c>
      <c r="E4842" t="inlineStr">
        <is>
          <t>HEBY</t>
        </is>
      </c>
      <c r="F4842" t="inlineStr">
        <is>
          <t>Bergvik skog öst AB</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59240-2023</t>
        </is>
      </c>
      <c r="B4843" s="1" t="n">
        <v>45253</v>
      </c>
      <c r="C4843" s="1" t="n">
        <v>45846</v>
      </c>
      <c r="D4843" t="inlineStr">
        <is>
          <t>UPPSALA LÄN</t>
        </is>
      </c>
      <c r="E4843" t="inlineStr">
        <is>
          <t>UPPSALA</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59291-2023</t>
        </is>
      </c>
      <c r="B4844" s="1" t="n">
        <v>45253</v>
      </c>
      <c r="C4844" s="1" t="n">
        <v>45846</v>
      </c>
      <c r="D4844" t="inlineStr">
        <is>
          <t>UPPSALA LÄN</t>
        </is>
      </c>
      <c r="E4844" t="inlineStr">
        <is>
          <t>ÖSTHAMMAR</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59473-2023</t>
        </is>
      </c>
      <c r="B4845" s="1" t="n">
        <v>45253</v>
      </c>
      <c r="C4845" s="1" t="n">
        <v>45846</v>
      </c>
      <c r="D4845" t="inlineStr">
        <is>
          <t>UPPSALA LÄN</t>
        </is>
      </c>
      <c r="E4845" t="inlineStr">
        <is>
          <t>TIERP</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59493-2023</t>
        </is>
      </c>
      <c r="B4846" s="1" t="n">
        <v>45253</v>
      </c>
      <c r="C4846" s="1" t="n">
        <v>45846</v>
      </c>
      <c r="D4846" t="inlineStr">
        <is>
          <t>UPPSALA LÄN</t>
        </is>
      </c>
      <c r="E4846" t="inlineStr">
        <is>
          <t>TIERP</t>
        </is>
      </c>
      <c r="G4846" t="n">
        <v>14.9</v>
      </c>
      <c r="H4846" t="n">
        <v>0</v>
      </c>
      <c r="I4846" t="n">
        <v>0</v>
      </c>
      <c r="J4846" t="n">
        <v>0</v>
      </c>
      <c r="K4846" t="n">
        <v>0</v>
      </c>
      <c r="L4846" t="n">
        <v>0</v>
      </c>
      <c r="M4846" t="n">
        <v>0</v>
      </c>
      <c r="N4846" t="n">
        <v>0</v>
      </c>
      <c r="O4846" t="n">
        <v>0</v>
      </c>
      <c r="P4846" t="n">
        <v>0</v>
      </c>
      <c r="Q4846" t="n">
        <v>0</v>
      </c>
      <c r="R4846" s="2" t="inlineStr"/>
    </row>
    <row r="4847" ht="15" customHeight="1">
      <c r="A4847" t="inlineStr">
        <is>
          <t>A 59482-2023</t>
        </is>
      </c>
      <c r="B4847" s="1" t="n">
        <v>45253</v>
      </c>
      <c r="C4847" s="1" t="n">
        <v>45846</v>
      </c>
      <c r="D4847" t="inlineStr">
        <is>
          <t>UPPSALA LÄN</t>
        </is>
      </c>
      <c r="E4847" t="inlineStr">
        <is>
          <t>TIERP</t>
        </is>
      </c>
      <c r="G4847" t="n">
        <v>11.3</v>
      </c>
      <c r="H4847" t="n">
        <v>0</v>
      </c>
      <c r="I4847" t="n">
        <v>0</v>
      </c>
      <c r="J4847" t="n">
        <v>0</v>
      </c>
      <c r="K4847" t="n">
        <v>0</v>
      </c>
      <c r="L4847" t="n">
        <v>0</v>
      </c>
      <c r="M4847" t="n">
        <v>0</v>
      </c>
      <c r="N4847" t="n">
        <v>0</v>
      </c>
      <c r="O4847" t="n">
        <v>0</v>
      </c>
      <c r="P4847" t="n">
        <v>0</v>
      </c>
      <c r="Q4847" t="n">
        <v>0</v>
      </c>
      <c r="R4847" s="2" t="inlineStr"/>
    </row>
    <row r="4848" ht="15" customHeight="1">
      <c r="A4848" t="inlineStr">
        <is>
          <t>A 59511-2023</t>
        </is>
      </c>
      <c r="B4848" s="1" t="n">
        <v>45254</v>
      </c>
      <c r="C4848" s="1" t="n">
        <v>45846</v>
      </c>
      <c r="D4848" t="inlineStr">
        <is>
          <t>UPPSALA LÄN</t>
        </is>
      </c>
      <c r="E4848" t="inlineStr">
        <is>
          <t>UPPSALA</t>
        </is>
      </c>
      <c r="G4848" t="n">
        <v>14.6</v>
      </c>
      <c r="H4848" t="n">
        <v>0</v>
      </c>
      <c r="I4848" t="n">
        <v>0</v>
      </c>
      <c r="J4848" t="n">
        <v>0</v>
      </c>
      <c r="K4848" t="n">
        <v>0</v>
      </c>
      <c r="L4848" t="n">
        <v>0</v>
      </c>
      <c r="M4848" t="n">
        <v>0</v>
      </c>
      <c r="N4848" t="n">
        <v>0</v>
      </c>
      <c r="O4848" t="n">
        <v>0</v>
      </c>
      <c r="P4848" t="n">
        <v>0</v>
      </c>
      <c r="Q4848" t="n">
        <v>0</v>
      </c>
      <c r="R4848" s="2" t="inlineStr"/>
    </row>
    <row r="4849" ht="15" customHeight="1">
      <c r="A4849" t="inlineStr">
        <is>
          <t>A 59521-2023</t>
        </is>
      </c>
      <c r="B4849" s="1" t="n">
        <v>45254</v>
      </c>
      <c r="C4849" s="1" t="n">
        <v>45846</v>
      </c>
      <c r="D4849" t="inlineStr">
        <is>
          <t>UPPSALA LÄN</t>
        </is>
      </c>
      <c r="E4849" t="inlineStr">
        <is>
          <t>UPPSALA</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59564-2023</t>
        </is>
      </c>
      <c r="B4850" s="1" t="n">
        <v>45254</v>
      </c>
      <c r="C4850" s="1" t="n">
        <v>45846</v>
      </c>
      <c r="D4850" t="inlineStr">
        <is>
          <t>UPPSALA LÄN</t>
        </is>
      </c>
      <c r="E4850" t="inlineStr">
        <is>
          <t>UPPSALA</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59570-2023</t>
        </is>
      </c>
      <c r="B4851" s="1" t="n">
        <v>45254</v>
      </c>
      <c r="C4851" s="1" t="n">
        <v>45846</v>
      </c>
      <c r="D4851" t="inlineStr">
        <is>
          <t>UPPSALA LÄN</t>
        </is>
      </c>
      <c r="E4851" t="inlineStr">
        <is>
          <t>UPPSALA</t>
        </is>
      </c>
      <c r="G4851" t="n">
        <v>6.7</v>
      </c>
      <c r="H4851" t="n">
        <v>0</v>
      </c>
      <c r="I4851" t="n">
        <v>0</v>
      </c>
      <c r="J4851" t="n">
        <v>0</v>
      </c>
      <c r="K4851" t="n">
        <v>0</v>
      </c>
      <c r="L4851" t="n">
        <v>0</v>
      </c>
      <c r="M4851" t="n">
        <v>0</v>
      </c>
      <c r="N4851" t="n">
        <v>0</v>
      </c>
      <c r="O4851" t="n">
        <v>0</v>
      </c>
      <c r="P4851" t="n">
        <v>0</v>
      </c>
      <c r="Q4851" t="n">
        <v>0</v>
      </c>
      <c r="R4851" s="2" t="inlineStr"/>
    </row>
    <row r="4852" ht="15" customHeight="1">
      <c r="A4852" t="inlineStr">
        <is>
          <t>A 59585-2023</t>
        </is>
      </c>
      <c r="B4852" s="1" t="n">
        <v>45254</v>
      </c>
      <c r="C4852" s="1" t="n">
        <v>45846</v>
      </c>
      <c r="D4852" t="inlineStr">
        <is>
          <t>UPPSALA LÄN</t>
        </is>
      </c>
      <c r="E4852" t="inlineStr">
        <is>
          <t>UPPSALA</t>
        </is>
      </c>
      <c r="G4852" t="n">
        <v>4.4</v>
      </c>
      <c r="H4852" t="n">
        <v>0</v>
      </c>
      <c r="I4852" t="n">
        <v>0</v>
      </c>
      <c r="J4852" t="n">
        <v>0</v>
      </c>
      <c r="K4852" t="n">
        <v>0</v>
      </c>
      <c r="L4852" t="n">
        <v>0</v>
      </c>
      <c r="M4852" t="n">
        <v>0</v>
      </c>
      <c r="N4852" t="n">
        <v>0</v>
      </c>
      <c r="O4852" t="n">
        <v>0</v>
      </c>
      <c r="P4852" t="n">
        <v>0</v>
      </c>
      <c r="Q4852" t="n">
        <v>0</v>
      </c>
      <c r="R4852" s="2" t="inlineStr"/>
    </row>
    <row r="4853" ht="15" customHeight="1">
      <c r="A4853" t="inlineStr">
        <is>
          <t>A 59489-2023</t>
        </is>
      </c>
      <c r="B4853" s="1" t="n">
        <v>45254</v>
      </c>
      <c r="C4853" s="1" t="n">
        <v>45846</v>
      </c>
      <c r="D4853" t="inlineStr">
        <is>
          <t>UPPSALA LÄN</t>
        </is>
      </c>
      <c r="E4853" t="inlineStr">
        <is>
          <t>UPPSALA</t>
        </is>
      </c>
      <c r="G4853" t="n">
        <v>6.5</v>
      </c>
      <c r="H4853" t="n">
        <v>0</v>
      </c>
      <c r="I4853" t="n">
        <v>0</v>
      </c>
      <c r="J4853" t="n">
        <v>0</v>
      </c>
      <c r="K4853" t="n">
        <v>0</v>
      </c>
      <c r="L4853" t="n">
        <v>0</v>
      </c>
      <c r="M4853" t="n">
        <v>0</v>
      </c>
      <c r="N4853" t="n">
        <v>0</v>
      </c>
      <c r="O4853" t="n">
        <v>0</v>
      </c>
      <c r="P4853" t="n">
        <v>0</v>
      </c>
      <c r="Q4853" t="n">
        <v>0</v>
      </c>
      <c r="R4853" s="2" t="inlineStr"/>
    </row>
    <row r="4854" ht="15" customHeight="1">
      <c r="A4854" t="inlineStr">
        <is>
          <t>A 59706-2023</t>
        </is>
      </c>
      <c r="B4854" s="1" t="n">
        <v>45256</v>
      </c>
      <c r="C4854" s="1" t="n">
        <v>45846</v>
      </c>
      <c r="D4854" t="inlineStr">
        <is>
          <t>UPPSALA LÄN</t>
        </is>
      </c>
      <c r="E4854" t="inlineStr">
        <is>
          <t>HEBY</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59702-2023</t>
        </is>
      </c>
      <c r="B4855" s="1" t="n">
        <v>45256</v>
      </c>
      <c r="C4855" s="1" t="n">
        <v>45846</v>
      </c>
      <c r="D4855" t="inlineStr">
        <is>
          <t>UPPSALA LÄN</t>
        </is>
      </c>
      <c r="E4855" t="inlineStr">
        <is>
          <t>HEBY</t>
        </is>
      </c>
      <c r="G4855" t="n">
        <v>6.4</v>
      </c>
      <c r="H4855" t="n">
        <v>0</v>
      </c>
      <c r="I4855" t="n">
        <v>0</v>
      </c>
      <c r="J4855" t="n">
        <v>0</v>
      </c>
      <c r="K4855" t="n">
        <v>0</v>
      </c>
      <c r="L4855" t="n">
        <v>0</v>
      </c>
      <c r="M4855" t="n">
        <v>0</v>
      </c>
      <c r="N4855" t="n">
        <v>0</v>
      </c>
      <c r="O4855" t="n">
        <v>0</v>
      </c>
      <c r="P4855" t="n">
        <v>0</v>
      </c>
      <c r="Q4855" t="n">
        <v>0</v>
      </c>
      <c r="R4855" s="2" t="inlineStr"/>
    </row>
    <row r="4856" ht="15" customHeight="1">
      <c r="A4856" t="inlineStr">
        <is>
          <t>A 59856-2023</t>
        </is>
      </c>
      <c r="B4856" s="1" t="n">
        <v>45257</v>
      </c>
      <c r="C4856" s="1" t="n">
        <v>45846</v>
      </c>
      <c r="D4856" t="inlineStr">
        <is>
          <t>UPPSALA LÄN</t>
        </is>
      </c>
      <c r="E4856" t="inlineStr">
        <is>
          <t>UPPSALA</t>
        </is>
      </c>
      <c r="F4856" t="inlineStr">
        <is>
          <t>Allmännings- och besparingsskogar</t>
        </is>
      </c>
      <c r="G4856" t="n">
        <v>4.9</v>
      </c>
      <c r="H4856" t="n">
        <v>0</v>
      </c>
      <c r="I4856" t="n">
        <v>0</v>
      </c>
      <c r="J4856" t="n">
        <v>0</v>
      </c>
      <c r="K4856" t="n">
        <v>0</v>
      </c>
      <c r="L4856" t="n">
        <v>0</v>
      </c>
      <c r="M4856" t="n">
        <v>0</v>
      </c>
      <c r="N4856" t="n">
        <v>0</v>
      </c>
      <c r="O4856" t="n">
        <v>0</v>
      </c>
      <c r="P4856" t="n">
        <v>0</v>
      </c>
      <c r="Q4856" t="n">
        <v>0</v>
      </c>
      <c r="R4856" s="2" t="inlineStr"/>
    </row>
    <row r="4857" ht="15" customHeight="1">
      <c r="A4857" t="inlineStr">
        <is>
          <t>A 59810-2023</t>
        </is>
      </c>
      <c r="B4857" s="1" t="n">
        <v>45257</v>
      </c>
      <c r="C4857" s="1" t="n">
        <v>45846</v>
      </c>
      <c r="D4857" t="inlineStr">
        <is>
          <t>UPPSALA LÄN</t>
        </is>
      </c>
      <c r="E4857" t="inlineStr">
        <is>
          <t>UPPSALA</t>
        </is>
      </c>
      <c r="F4857" t="inlineStr">
        <is>
          <t>Allmännings- och besparingsskogar</t>
        </is>
      </c>
      <c r="G4857" t="n">
        <v>8.1</v>
      </c>
      <c r="H4857" t="n">
        <v>0</v>
      </c>
      <c r="I4857" t="n">
        <v>0</v>
      </c>
      <c r="J4857" t="n">
        <v>0</v>
      </c>
      <c r="K4857" t="n">
        <v>0</v>
      </c>
      <c r="L4857" t="n">
        <v>0</v>
      </c>
      <c r="M4857" t="n">
        <v>0</v>
      </c>
      <c r="N4857" t="n">
        <v>0</v>
      </c>
      <c r="O4857" t="n">
        <v>0</v>
      </c>
      <c r="P4857" t="n">
        <v>0</v>
      </c>
      <c r="Q4857" t="n">
        <v>0</v>
      </c>
      <c r="R4857" s="2" t="inlineStr"/>
    </row>
    <row r="4858" ht="15" customHeight="1">
      <c r="A4858" t="inlineStr">
        <is>
          <t>A 59961-2023</t>
        </is>
      </c>
      <c r="B4858" s="1" t="n">
        <v>45257</v>
      </c>
      <c r="C4858" s="1" t="n">
        <v>45846</v>
      </c>
      <c r="D4858" t="inlineStr">
        <is>
          <t>UPPSALA LÄN</t>
        </is>
      </c>
      <c r="E4858" t="inlineStr">
        <is>
          <t>TIERP</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59731-2023</t>
        </is>
      </c>
      <c r="B4859" s="1" t="n">
        <v>45257</v>
      </c>
      <c r="C4859" s="1" t="n">
        <v>45846</v>
      </c>
      <c r="D4859" t="inlineStr">
        <is>
          <t>UPPSALA LÄN</t>
        </is>
      </c>
      <c r="E4859" t="inlineStr">
        <is>
          <t>ÖSTHAMMAR</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59866-2023</t>
        </is>
      </c>
      <c r="B4860" s="1" t="n">
        <v>45257</v>
      </c>
      <c r="C4860" s="1" t="n">
        <v>45846</v>
      </c>
      <c r="D4860" t="inlineStr">
        <is>
          <t>UPPSALA LÄN</t>
        </is>
      </c>
      <c r="E4860" t="inlineStr">
        <is>
          <t>ENKÖPING</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59923-2023</t>
        </is>
      </c>
      <c r="B4861" s="1" t="n">
        <v>45257</v>
      </c>
      <c r="C4861" s="1" t="n">
        <v>45846</v>
      </c>
      <c r="D4861" t="inlineStr">
        <is>
          <t>UPPSALA LÄN</t>
        </is>
      </c>
      <c r="E4861" t="inlineStr">
        <is>
          <t>TIERP</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59942-2023</t>
        </is>
      </c>
      <c r="B4862" s="1" t="n">
        <v>45257</v>
      </c>
      <c r="C4862" s="1" t="n">
        <v>45846</v>
      </c>
      <c r="D4862" t="inlineStr">
        <is>
          <t>UPPSALA LÄN</t>
        </is>
      </c>
      <c r="E4862" t="inlineStr">
        <is>
          <t>TIERP</t>
        </is>
      </c>
      <c r="G4862" t="n">
        <v>4</v>
      </c>
      <c r="H4862" t="n">
        <v>0</v>
      </c>
      <c r="I4862" t="n">
        <v>0</v>
      </c>
      <c r="J4862" t="n">
        <v>0</v>
      </c>
      <c r="K4862" t="n">
        <v>0</v>
      </c>
      <c r="L4862" t="n">
        <v>0</v>
      </c>
      <c r="M4862" t="n">
        <v>0</v>
      </c>
      <c r="N4862" t="n">
        <v>0</v>
      </c>
      <c r="O4862" t="n">
        <v>0</v>
      </c>
      <c r="P4862" t="n">
        <v>0</v>
      </c>
      <c r="Q4862" t="n">
        <v>0</v>
      </c>
      <c r="R4862" s="2" t="inlineStr"/>
    </row>
    <row r="4863" ht="15" customHeight="1">
      <c r="A4863" t="inlineStr">
        <is>
          <t>A 60079-2023</t>
        </is>
      </c>
      <c r="B4863" s="1" t="n">
        <v>45258</v>
      </c>
      <c r="C4863" s="1" t="n">
        <v>45846</v>
      </c>
      <c r="D4863" t="inlineStr">
        <is>
          <t>UPPSALA LÄN</t>
        </is>
      </c>
      <c r="E4863" t="inlineStr">
        <is>
          <t>TIERP</t>
        </is>
      </c>
      <c r="G4863" t="n">
        <v>7.5</v>
      </c>
      <c r="H4863" t="n">
        <v>0</v>
      </c>
      <c r="I4863" t="n">
        <v>0</v>
      </c>
      <c r="J4863" t="n">
        <v>0</v>
      </c>
      <c r="K4863" t="n">
        <v>0</v>
      </c>
      <c r="L4863" t="n">
        <v>0</v>
      </c>
      <c r="M4863" t="n">
        <v>0</v>
      </c>
      <c r="N4863" t="n">
        <v>0</v>
      </c>
      <c r="O4863" t="n">
        <v>0</v>
      </c>
      <c r="P4863" t="n">
        <v>0</v>
      </c>
      <c r="Q4863" t="n">
        <v>0</v>
      </c>
      <c r="R4863" s="2" t="inlineStr"/>
    </row>
    <row r="4864" ht="15" customHeight="1">
      <c r="A4864" t="inlineStr">
        <is>
          <t>A 60151-2023</t>
        </is>
      </c>
      <c r="B4864" s="1" t="n">
        <v>45258</v>
      </c>
      <c r="C4864" s="1" t="n">
        <v>45846</v>
      </c>
      <c r="D4864" t="inlineStr">
        <is>
          <t>UPPSALA LÄN</t>
        </is>
      </c>
      <c r="E4864" t="inlineStr">
        <is>
          <t>ÄLVKARLEBY</t>
        </is>
      </c>
      <c r="F4864" t="inlineStr">
        <is>
          <t>Bergvik skog väst AB</t>
        </is>
      </c>
      <c r="G4864" t="n">
        <v>32.2</v>
      </c>
      <c r="H4864" t="n">
        <v>0</v>
      </c>
      <c r="I4864" t="n">
        <v>0</v>
      </c>
      <c r="J4864" t="n">
        <v>0</v>
      </c>
      <c r="K4864" t="n">
        <v>0</v>
      </c>
      <c r="L4864" t="n">
        <v>0</v>
      </c>
      <c r="M4864" t="n">
        <v>0</v>
      </c>
      <c r="N4864" t="n">
        <v>0</v>
      </c>
      <c r="O4864" t="n">
        <v>0</v>
      </c>
      <c r="P4864" t="n">
        <v>0</v>
      </c>
      <c r="Q4864" t="n">
        <v>0</v>
      </c>
      <c r="R4864" s="2" t="inlineStr"/>
    </row>
    <row r="4865" ht="15" customHeight="1">
      <c r="A4865" t="inlineStr">
        <is>
          <t>A 60203-2023</t>
        </is>
      </c>
      <c r="B4865" s="1" t="n">
        <v>45258</v>
      </c>
      <c r="C4865" s="1" t="n">
        <v>45846</v>
      </c>
      <c r="D4865" t="inlineStr">
        <is>
          <t>UPPSALA LÄN</t>
        </is>
      </c>
      <c r="E4865" t="inlineStr">
        <is>
          <t>HEBY</t>
        </is>
      </c>
      <c r="F4865" t="inlineStr">
        <is>
          <t>Bergvik skog öst AB</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60200-2023</t>
        </is>
      </c>
      <c r="B4866" s="1" t="n">
        <v>45258</v>
      </c>
      <c r="C4866" s="1" t="n">
        <v>45846</v>
      </c>
      <c r="D4866" t="inlineStr">
        <is>
          <t>UPPSALA LÄN</t>
        </is>
      </c>
      <c r="E4866" t="inlineStr">
        <is>
          <t>ENKÖPING</t>
        </is>
      </c>
      <c r="F4866" t="inlineStr">
        <is>
          <t>Allmännings- och besparingsskogar</t>
        </is>
      </c>
      <c r="G4866" t="n">
        <v>9.4</v>
      </c>
      <c r="H4866" t="n">
        <v>0</v>
      </c>
      <c r="I4866" t="n">
        <v>0</v>
      </c>
      <c r="J4866" t="n">
        <v>0</v>
      </c>
      <c r="K4866" t="n">
        <v>0</v>
      </c>
      <c r="L4866" t="n">
        <v>0</v>
      </c>
      <c r="M4866" t="n">
        <v>0</v>
      </c>
      <c r="N4866" t="n">
        <v>0</v>
      </c>
      <c r="O4866" t="n">
        <v>0</v>
      </c>
      <c r="P4866" t="n">
        <v>0</v>
      </c>
      <c r="Q4866" t="n">
        <v>0</v>
      </c>
      <c r="R4866" s="2" t="inlineStr"/>
    </row>
    <row r="4867" ht="15" customHeight="1">
      <c r="A4867" t="inlineStr">
        <is>
          <t>A 60212-2023</t>
        </is>
      </c>
      <c r="B4867" s="1" t="n">
        <v>45258</v>
      </c>
      <c r="C4867" s="1" t="n">
        <v>45846</v>
      </c>
      <c r="D4867" t="inlineStr">
        <is>
          <t>UPPSALA LÄN</t>
        </is>
      </c>
      <c r="E4867" t="inlineStr">
        <is>
          <t>TIERP</t>
        </is>
      </c>
      <c r="F4867" t="inlineStr">
        <is>
          <t>Bergvik skog väst AB</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60243-2023</t>
        </is>
      </c>
      <c r="B4868" s="1" t="n">
        <v>45258</v>
      </c>
      <c r="C4868" s="1" t="n">
        <v>45846</v>
      </c>
      <c r="D4868" t="inlineStr">
        <is>
          <t>UPPSALA LÄN</t>
        </is>
      </c>
      <c r="E4868" t="inlineStr">
        <is>
          <t>HEBY</t>
        </is>
      </c>
      <c r="F4868" t="inlineStr">
        <is>
          <t>Bergvik skog öst AB</t>
        </is>
      </c>
      <c r="G4868" t="n">
        <v>5.5</v>
      </c>
      <c r="H4868" t="n">
        <v>0</v>
      </c>
      <c r="I4868" t="n">
        <v>0</v>
      </c>
      <c r="J4868" t="n">
        <v>0</v>
      </c>
      <c r="K4868" t="n">
        <v>0</v>
      </c>
      <c r="L4868" t="n">
        <v>0</v>
      </c>
      <c r="M4868" t="n">
        <v>0</v>
      </c>
      <c r="N4868" t="n">
        <v>0</v>
      </c>
      <c r="O4868" t="n">
        <v>0</v>
      </c>
      <c r="P4868" t="n">
        <v>0</v>
      </c>
      <c r="Q4868" t="n">
        <v>0</v>
      </c>
      <c r="R4868" s="2" t="inlineStr"/>
    </row>
    <row r="4869" ht="15" customHeight="1">
      <c r="A4869" t="inlineStr">
        <is>
          <t>A 60303-2023</t>
        </is>
      </c>
      <c r="B4869" s="1" t="n">
        <v>45258</v>
      </c>
      <c r="C4869" s="1" t="n">
        <v>45846</v>
      </c>
      <c r="D4869" t="inlineStr">
        <is>
          <t>UPPSALA LÄN</t>
        </is>
      </c>
      <c r="E4869" t="inlineStr">
        <is>
          <t>ÖSTHAMMAR</t>
        </is>
      </c>
      <c r="F4869" t="inlineStr">
        <is>
          <t>Bergvik skog öst AB</t>
        </is>
      </c>
      <c r="G4869" t="n">
        <v>10.8</v>
      </c>
      <c r="H4869" t="n">
        <v>0</v>
      </c>
      <c r="I4869" t="n">
        <v>0</v>
      </c>
      <c r="J4869" t="n">
        <v>0</v>
      </c>
      <c r="K4869" t="n">
        <v>0</v>
      </c>
      <c r="L4869" t="n">
        <v>0</v>
      </c>
      <c r="M4869" t="n">
        <v>0</v>
      </c>
      <c r="N4869" t="n">
        <v>0</v>
      </c>
      <c r="O4869" t="n">
        <v>0</v>
      </c>
      <c r="P4869" t="n">
        <v>0</v>
      </c>
      <c r="Q4869" t="n">
        <v>0</v>
      </c>
      <c r="R4869" s="2" t="inlineStr"/>
    </row>
    <row r="4870" ht="15" customHeight="1">
      <c r="A4870" t="inlineStr">
        <is>
          <t>A 60444-2023</t>
        </is>
      </c>
      <c r="B4870" s="1" t="n">
        <v>45259</v>
      </c>
      <c r="C4870" s="1" t="n">
        <v>45846</v>
      </c>
      <c r="D4870" t="inlineStr">
        <is>
          <t>UPPSALA LÄN</t>
        </is>
      </c>
      <c r="E4870" t="inlineStr">
        <is>
          <t>UPPSALA</t>
        </is>
      </c>
      <c r="F4870" t="inlineStr">
        <is>
          <t>Bergvik skog öst AB</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60455-2023</t>
        </is>
      </c>
      <c r="B4871" s="1" t="n">
        <v>45259</v>
      </c>
      <c r="C4871" s="1" t="n">
        <v>45846</v>
      </c>
      <c r="D4871" t="inlineStr">
        <is>
          <t>UPPSALA LÄN</t>
        </is>
      </c>
      <c r="E4871" t="inlineStr">
        <is>
          <t>ÄLVKARLEBY</t>
        </is>
      </c>
      <c r="F4871" t="inlineStr">
        <is>
          <t>Bergvik skog öst AB</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60447-2023</t>
        </is>
      </c>
      <c r="B4872" s="1" t="n">
        <v>45259</v>
      </c>
      <c r="C4872" s="1" t="n">
        <v>45846</v>
      </c>
      <c r="D4872" t="inlineStr">
        <is>
          <t>UPPSALA LÄN</t>
        </is>
      </c>
      <c r="E4872" t="inlineStr">
        <is>
          <t>UPPSALA</t>
        </is>
      </c>
      <c r="F4872" t="inlineStr">
        <is>
          <t>Bergvik skog öst AB</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60555-2023</t>
        </is>
      </c>
      <c r="B4873" s="1" t="n">
        <v>45259</v>
      </c>
      <c r="C4873" s="1" t="n">
        <v>45846</v>
      </c>
      <c r="D4873" t="inlineStr">
        <is>
          <t>UPPSALA LÄN</t>
        </is>
      </c>
      <c r="E4873" t="inlineStr">
        <is>
          <t>ÖSTHAMMAR</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60714-2023</t>
        </is>
      </c>
      <c r="B4874" s="1" t="n">
        <v>45259</v>
      </c>
      <c r="C4874" s="1" t="n">
        <v>45846</v>
      </c>
      <c r="D4874" t="inlineStr">
        <is>
          <t>UPPSALA LÄN</t>
        </is>
      </c>
      <c r="E4874" t="inlineStr">
        <is>
          <t>UPPSALA</t>
        </is>
      </c>
      <c r="G4874" t="n">
        <v>3.3</v>
      </c>
      <c r="H4874" t="n">
        <v>0</v>
      </c>
      <c r="I4874" t="n">
        <v>0</v>
      </c>
      <c r="J4874" t="n">
        <v>0</v>
      </c>
      <c r="K4874" t="n">
        <v>0</v>
      </c>
      <c r="L4874" t="n">
        <v>0</v>
      </c>
      <c r="M4874" t="n">
        <v>0</v>
      </c>
      <c r="N4874" t="n">
        <v>0</v>
      </c>
      <c r="O4874" t="n">
        <v>0</v>
      </c>
      <c r="P4874" t="n">
        <v>0</v>
      </c>
      <c r="Q4874" t="n">
        <v>0</v>
      </c>
      <c r="R4874" s="2" t="inlineStr"/>
    </row>
    <row r="4875" ht="15" customHeight="1">
      <c r="A4875" t="inlineStr">
        <is>
          <t>A 60814-2023</t>
        </is>
      </c>
      <c r="B4875" s="1" t="n">
        <v>45259</v>
      </c>
      <c r="C4875" s="1" t="n">
        <v>45846</v>
      </c>
      <c r="D4875" t="inlineStr">
        <is>
          <t>UPPSALA LÄN</t>
        </is>
      </c>
      <c r="E4875" t="inlineStr">
        <is>
          <t>UPPSALA</t>
        </is>
      </c>
      <c r="G4875" t="n">
        <v>5.9</v>
      </c>
      <c r="H4875" t="n">
        <v>0</v>
      </c>
      <c r="I4875" t="n">
        <v>0</v>
      </c>
      <c r="J4875" t="n">
        <v>0</v>
      </c>
      <c r="K4875" t="n">
        <v>0</v>
      </c>
      <c r="L4875" t="n">
        <v>0</v>
      </c>
      <c r="M4875" t="n">
        <v>0</v>
      </c>
      <c r="N4875" t="n">
        <v>0</v>
      </c>
      <c r="O4875" t="n">
        <v>0</v>
      </c>
      <c r="P4875" t="n">
        <v>0</v>
      </c>
      <c r="Q4875" t="n">
        <v>0</v>
      </c>
      <c r="R4875" s="2" t="inlineStr"/>
    </row>
    <row r="4876" ht="15" customHeight="1">
      <c r="A4876" t="inlineStr">
        <is>
          <t>A 60781-2023</t>
        </is>
      </c>
      <c r="B4876" s="1" t="n">
        <v>45259</v>
      </c>
      <c r="C4876" s="1" t="n">
        <v>45846</v>
      </c>
      <c r="D4876" t="inlineStr">
        <is>
          <t>UPPSALA LÄN</t>
        </is>
      </c>
      <c r="E4876" t="inlineStr">
        <is>
          <t>UPPSALA</t>
        </is>
      </c>
      <c r="G4876" t="n">
        <v>4.1</v>
      </c>
      <c r="H4876" t="n">
        <v>0</v>
      </c>
      <c r="I4876" t="n">
        <v>0</v>
      </c>
      <c r="J4876" t="n">
        <v>0</v>
      </c>
      <c r="K4876" t="n">
        <v>0</v>
      </c>
      <c r="L4876" t="n">
        <v>0</v>
      </c>
      <c r="M4876" t="n">
        <v>0</v>
      </c>
      <c r="N4876" t="n">
        <v>0</v>
      </c>
      <c r="O4876" t="n">
        <v>0</v>
      </c>
      <c r="P4876" t="n">
        <v>0</v>
      </c>
      <c r="Q4876" t="n">
        <v>0</v>
      </c>
      <c r="R4876" s="2" t="inlineStr"/>
    </row>
    <row r="4877" ht="15" customHeight="1">
      <c r="A4877" t="inlineStr">
        <is>
          <t>A 60989-2023</t>
        </is>
      </c>
      <c r="B4877" s="1" t="n">
        <v>45259</v>
      </c>
      <c r="C4877" s="1" t="n">
        <v>45846</v>
      </c>
      <c r="D4877" t="inlineStr">
        <is>
          <t>UPPSALA LÄN</t>
        </is>
      </c>
      <c r="E4877" t="inlineStr">
        <is>
          <t>TIERP</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61062-2023</t>
        </is>
      </c>
      <c r="B4878" s="1" t="n">
        <v>45259</v>
      </c>
      <c r="C4878" s="1" t="n">
        <v>45846</v>
      </c>
      <c r="D4878" t="inlineStr">
        <is>
          <t>UPPSALA LÄN</t>
        </is>
      </c>
      <c r="E4878" t="inlineStr">
        <is>
          <t>ÖSTHAMMAR</t>
        </is>
      </c>
      <c r="G4878" t="n">
        <v>5.3</v>
      </c>
      <c r="H4878" t="n">
        <v>0</v>
      </c>
      <c r="I4878" t="n">
        <v>0</v>
      </c>
      <c r="J4878" t="n">
        <v>0</v>
      </c>
      <c r="K4878" t="n">
        <v>0</v>
      </c>
      <c r="L4878" t="n">
        <v>0</v>
      </c>
      <c r="M4878" t="n">
        <v>0</v>
      </c>
      <c r="N4878" t="n">
        <v>0</v>
      </c>
      <c r="O4878" t="n">
        <v>0</v>
      </c>
      <c r="P4878" t="n">
        <v>0</v>
      </c>
      <c r="Q4878" t="n">
        <v>0</v>
      </c>
      <c r="R4878" s="2" t="inlineStr"/>
    </row>
    <row r="4879" ht="15" customHeight="1">
      <c r="A4879" t="inlineStr">
        <is>
          <t>A 61067-2023</t>
        </is>
      </c>
      <c r="B4879" s="1" t="n">
        <v>45259</v>
      </c>
      <c r="C4879" s="1" t="n">
        <v>45846</v>
      </c>
      <c r="D4879" t="inlineStr">
        <is>
          <t>UPPSALA LÄN</t>
        </is>
      </c>
      <c r="E4879" t="inlineStr">
        <is>
          <t>UPPSALA</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61063-2023</t>
        </is>
      </c>
      <c r="B4880" s="1" t="n">
        <v>45259</v>
      </c>
      <c r="C4880" s="1" t="n">
        <v>45846</v>
      </c>
      <c r="D4880" t="inlineStr">
        <is>
          <t>UPPSALA LÄN</t>
        </is>
      </c>
      <c r="E4880" t="inlineStr">
        <is>
          <t>ÖSTHAMMAR</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60993-2023</t>
        </is>
      </c>
      <c r="B4881" s="1" t="n">
        <v>45259</v>
      </c>
      <c r="C4881" s="1" t="n">
        <v>45846</v>
      </c>
      <c r="D4881" t="inlineStr">
        <is>
          <t>UPPSALA LÄN</t>
        </is>
      </c>
      <c r="E4881" t="inlineStr">
        <is>
          <t>TIERP</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60707-2023</t>
        </is>
      </c>
      <c r="B4882" s="1" t="n">
        <v>45260</v>
      </c>
      <c r="C4882" s="1" t="n">
        <v>45846</v>
      </c>
      <c r="D4882" t="inlineStr">
        <is>
          <t>UPPSALA LÄN</t>
        </is>
      </c>
      <c r="E4882" t="inlineStr">
        <is>
          <t>UPPSALA</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60702-2023</t>
        </is>
      </c>
      <c r="B4883" s="1" t="n">
        <v>45260</v>
      </c>
      <c r="C4883" s="1" t="n">
        <v>45846</v>
      </c>
      <c r="D4883" t="inlineStr">
        <is>
          <t>UPPSALA LÄN</t>
        </is>
      </c>
      <c r="E4883" t="inlineStr">
        <is>
          <t>HEBY</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60722-2023</t>
        </is>
      </c>
      <c r="B4884" s="1" t="n">
        <v>45260</v>
      </c>
      <c r="C4884" s="1" t="n">
        <v>45846</v>
      </c>
      <c r="D4884" t="inlineStr">
        <is>
          <t>UPPSALA LÄN</t>
        </is>
      </c>
      <c r="E4884" t="inlineStr">
        <is>
          <t>ÖSTHAMMAR</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60784-2023</t>
        </is>
      </c>
      <c r="B4885" s="1" t="n">
        <v>45260</v>
      </c>
      <c r="C4885" s="1" t="n">
        <v>45846</v>
      </c>
      <c r="D4885" t="inlineStr">
        <is>
          <t>UPPSALA LÄN</t>
        </is>
      </c>
      <c r="E4885" t="inlineStr">
        <is>
          <t>HEBY</t>
        </is>
      </c>
      <c r="G4885" t="n">
        <v>4.8</v>
      </c>
      <c r="H4885" t="n">
        <v>0</v>
      </c>
      <c r="I4885" t="n">
        <v>0</v>
      </c>
      <c r="J4885" t="n">
        <v>0</v>
      </c>
      <c r="K4885" t="n">
        <v>0</v>
      </c>
      <c r="L4885" t="n">
        <v>0</v>
      </c>
      <c r="M4885" t="n">
        <v>0</v>
      </c>
      <c r="N4885" t="n">
        <v>0</v>
      </c>
      <c r="O4885" t="n">
        <v>0</v>
      </c>
      <c r="P4885" t="n">
        <v>0</v>
      </c>
      <c r="Q4885" t="n">
        <v>0</v>
      </c>
      <c r="R4885" s="2" t="inlineStr"/>
    </row>
    <row r="4886" ht="15" customHeight="1">
      <c r="A4886" t="inlineStr">
        <is>
          <t>A 60641-2023</t>
        </is>
      </c>
      <c r="B4886" s="1" t="n">
        <v>45260</v>
      </c>
      <c r="C4886" s="1" t="n">
        <v>45846</v>
      </c>
      <c r="D4886" t="inlineStr">
        <is>
          <t>UPPSALA LÄN</t>
        </is>
      </c>
      <c r="E4886" t="inlineStr">
        <is>
          <t>ENKÖPING</t>
        </is>
      </c>
      <c r="G4886" t="n">
        <v>13.1</v>
      </c>
      <c r="H4886" t="n">
        <v>0</v>
      </c>
      <c r="I4886" t="n">
        <v>0</v>
      </c>
      <c r="J4886" t="n">
        <v>0</v>
      </c>
      <c r="K4886" t="n">
        <v>0</v>
      </c>
      <c r="L4886" t="n">
        <v>0</v>
      </c>
      <c r="M4886" t="n">
        <v>0</v>
      </c>
      <c r="N4886" t="n">
        <v>0</v>
      </c>
      <c r="O4886" t="n">
        <v>0</v>
      </c>
      <c r="P4886" t="n">
        <v>0</v>
      </c>
      <c r="Q4886" t="n">
        <v>0</v>
      </c>
      <c r="R4886" s="2" t="inlineStr"/>
    </row>
    <row r="4887" ht="15" customHeight="1">
      <c r="A4887" t="inlineStr">
        <is>
          <t>A 60787-2023</t>
        </is>
      </c>
      <c r="B4887" s="1" t="n">
        <v>45260</v>
      </c>
      <c r="C4887" s="1" t="n">
        <v>45846</v>
      </c>
      <c r="D4887" t="inlineStr">
        <is>
          <t>UPPSALA LÄN</t>
        </is>
      </c>
      <c r="E4887" t="inlineStr">
        <is>
          <t>HEBY</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60792-2023</t>
        </is>
      </c>
      <c r="B4888" s="1" t="n">
        <v>45260</v>
      </c>
      <c r="C4888" s="1" t="n">
        <v>45846</v>
      </c>
      <c r="D4888" t="inlineStr">
        <is>
          <t>UPPSALA LÄN</t>
        </is>
      </c>
      <c r="E4888" t="inlineStr">
        <is>
          <t>HEBY</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61040-2023</t>
        </is>
      </c>
      <c r="B4889" s="1" t="n">
        <v>45260</v>
      </c>
      <c r="C4889" s="1" t="n">
        <v>45846</v>
      </c>
      <c r="D4889" t="inlineStr">
        <is>
          <t>UPPSALA LÄN</t>
        </is>
      </c>
      <c r="E4889" t="inlineStr">
        <is>
          <t>ENKÖPING</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60874-2023</t>
        </is>
      </c>
      <c r="B4890" s="1" t="n">
        <v>45261</v>
      </c>
      <c r="C4890" s="1" t="n">
        <v>45846</v>
      </c>
      <c r="D4890" t="inlineStr">
        <is>
          <t>UPPSALA LÄN</t>
        </is>
      </c>
      <c r="E4890" t="inlineStr">
        <is>
          <t>ENKÖPING</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60924-2023</t>
        </is>
      </c>
      <c r="B4891" s="1" t="n">
        <v>45261</v>
      </c>
      <c r="C4891" s="1" t="n">
        <v>45846</v>
      </c>
      <c r="D4891" t="inlineStr">
        <is>
          <t>UPPSALA LÄN</t>
        </is>
      </c>
      <c r="E4891" t="inlineStr">
        <is>
          <t>TIERP</t>
        </is>
      </c>
      <c r="F4891" t="inlineStr">
        <is>
          <t>Bergvik skog öst AB</t>
        </is>
      </c>
      <c r="G4891" t="n">
        <v>6.8</v>
      </c>
      <c r="H4891" t="n">
        <v>0</v>
      </c>
      <c r="I4891" t="n">
        <v>0</v>
      </c>
      <c r="J4891" t="n">
        <v>0</v>
      </c>
      <c r="K4891" t="n">
        <v>0</v>
      </c>
      <c r="L4891" t="n">
        <v>0</v>
      </c>
      <c r="M4891" t="n">
        <v>0</v>
      </c>
      <c r="N4891" t="n">
        <v>0</v>
      </c>
      <c r="O4891" t="n">
        <v>0</v>
      </c>
      <c r="P4891" t="n">
        <v>0</v>
      </c>
      <c r="Q4891" t="n">
        <v>0</v>
      </c>
      <c r="R4891" s="2" t="inlineStr"/>
    </row>
    <row r="4892" ht="15" customHeight="1">
      <c r="A4892" t="inlineStr">
        <is>
          <t>A 61109-2023</t>
        </is>
      </c>
      <c r="B4892" s="1" t="n">
        <v>45261</v>
      </c>
      <c r="C4892" s="1" t="n">
        <v>45846</v>
      </c>
      <c r="D4892" t="inlineStr">
        <is>
          <t>UPPSALA LÄN</t>
        </is>
      </c>
      <c r="E4892" t="inlineStr">
        <is>
          <t>ÖSTHAMMAR</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61246-2023</t>
        </is>
      </c>
      <c r="B4893" s="1" t="n">
        <v>45264</v>
      </c>
      <c r="C4893" s="1" t="n">
        <v>45846</v>
      </c>
      <c r="D4893" t="inlineStr">
        <is>
          <t>UPPSALA LÄN</t>
        </is>
      </c>
      <c r="E4893" t="inlineStr">
        <is>
          <t>ÖSTHAMMAR</t>
        </is>
      </c>
      <c r="F4893" t="inlineStr">
        <is>
          <t>Allmännings- och besparingsskogar</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61207-2023</t>
        </is>
      </c>
      <c r="B4894" s="1" t="n">
        <v>45264</v>
      </c>
      <c r="C4894" s="1" t="n">
        <v>45846</v>
      </c>
      <c r="D4894" t="inlineStr">
        <is>
          <t>UPPSALA LÄN</t>
        </is>
      </c>
      <c r="E4894" t="inlineStr">
        <is>
          <t>ENKÖPING</t>
        </is>
      </c>
      <c r="G4894" t="n">
        <v>10.8</v>
      </c>
      <c r="H4894" t="n">
        <v>0</v>
      </c>
      <c r="I4894" t="n">
        <v>0</v>
      </c>
      <c r="J4894" t="n">
        <v>0</v>
      </c>
      <c r="K4894" t="n">
        <v>0</v>
      </c>
      <c r="L4894" t="n">
        <v>0</v>
      </c>
      <c r="M4894" t="n">
        <v>0</v>
      </c>
      <c r="N4894" t="n">
        <v>0</v>
      </c>
      <c r="O4894" t="n">
        <v>0</v>
      </c>
      <c r="P4894" t="n">
        <v>0</v>
      </c>
      <c r="Q4894" t="n">
        <v>0</v>
      </c>
      <c r="R4894" s="2" t="inlineStr"/>
    </row>
    <row r="4895" ht="15" customHeight="1">
      <c r="A4895" t="inlineStr">
        <is>
          <t>A 61428-2023</t>
        </is>
      </c>
      <c r="B4895" s="1" t="n">
        <v>45264</v>
      </c>
      <c r="C4895" s="1" t="n">
        <v>45846</v>
      </c>
      <c r="D4895" t="inlineStr">
        <is>
          <t>UPPSALA LÄN</t>
        </is>
      </c>
      <c r="E4895" t="inlineStr">
        <is>
          <t>ÖSTHAMMAR</t>
        </is>
      </c>
      <c r="F4895" t="inlineStr">
        <is>
          <t>Allmännings- och besparingsskogar</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61724-2023</t>
        </is>
      </c>
      <c r="B4896" s="1" t="n">
        <v>45264</v>
      </c>
      <c r="C4896" s="1" t="n">
        <v>45846</v>
      </c>
      <c r="D4896" t="inlineStr">
        <is>
          <t>UPPSALA LÄN</t>
        </is>
      </c>
      <c r="E4896" t="inlineStr">
        <is>
          <t>KNIVSTA</t>
        </is>
      </c>
      <c r="G4896" t="n">
        <v>8.699999999999999</v>
      </c>
      <c r="H4896" t="n">
        <v>0</v>
      </c>
      <c r="I4896" t="n">
        <v>0</v>
      </c>
      <c r="J4896" t="n">
        <v>0</v>
      </c>
      <c r="K4896" t="n">
        <v>0</v>
      </c>
      <c r="L4896" t="n">
        <v>0</v>
      </c>
      <c r="M4896" t="n">
        <v>0</v>
      </c>
      <c r="N4896" t="n">
        <v>0</v>
      </c>
      <c r="O4896" t="n">
        <v>0</v>
      </c>
      <c r="P4896" t="n">
        <v>0</v>
      </c>
      <c r="Q4896" t="n">
        <v>0</v>
      </c>
      <c r="R4896" s="2" t="inlineStr"/>
    </row>
    <row r="4897" ht="15" customHeight="1">
      <c r="A4897" t="inlineStr">
        <is>
          <t>A 61710-2023</t>
        </is>
      </c>
      <c r="B4897" s="1" t="n">
        <v>45265</v>
      </c>
      <c r="C4897" s="1" t="n">
        <v>45846</v>
      </c>
      <c r="D4897" t="inlineStr">
        <is>
          <t>UPPSALA LÄN</t>
        </is>
      </c>
      <c r="E4897" t="inlineStr">
        <is>
          <t>ENKÖPING</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61612-2023</t>
        </is>
      </c>
      <c r="B4898" s="1" t="n">
        <v>45265</v>
      </c>
      <c r="C4898" s="1" t="n">
        <v>45846</v>
      </c>
      <c r="D4898" t="inlineStr">
        <is>
          <t>UPPSALA LÄN</t>
        </is>
      </c>
      <c r="E4898" t="inlineStr">
        <is>
          <t>TIERP</t>
        </is>
      </c>
      <c r="G4898" t="n">
        <v>6.1</v>
      </c>
      <c r="H4898" t="n">
        <v>0</v>
      </c>
      <c r="I4898" t="n">
        <v>0</v>
      </c>
      <c r="J4898" t="n">
        <v>0</v>
      </c>
      <c r="K4898" t="n">
        <v>0</v>
      </c>
      <c r="L4898" t="n">
        <v>0</v>
      </c>
      <c r="M4898" t="n">
        <v>0</v>
      </c>
      <c r="N4898" t="n">
        <v>0</v>
      </c>
      <c r="O4898" t="n">
        <v>0</v>
      </c>
      <c r="P4898" t="n">
        <v>0</v>
      </c>
      <c r="Q4898" t="n">
        <v>0</v>
      </c>
      <c r="R4898" s="2" t="inlineStr"/>
    </row>
    <row r="4899" ht="15" customHeight="1">
      <c r="A4899" t="inlineStr">
        <is>
          <t>A 61640-2023</t>
        </is>
      </c>
      <c r="B4899" s="1" t="n">
        <v>45265</v>
      </c>
      <c r="C4899" s="1" t="n">
        <v>45846</v>
      </c>
      <c r="D4899" t="inlineStr">
        <is>
          <t>UPPSALA LÄN</t>
        </is>
      </c>
      <c r="E4899" t="inlineStr">
        <is>
          <t>TIERP</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61677-2023</t>
        </is>
      </c>
      <c r="B4900" s="1" t="n">
        <v>45265</v>
      </c>
      <c r="C4900" s="1" t="n">
        <v>45846</v>
      </c>
      <c r="D4900" t="inlineStr">
        <is>
          <t>UPPSALA LÄN</t>
        </is>
      </c>
      <c r="E4900" t="inlineStr">
        <is>
          <t>TIERP</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61913-2023</t>
        </is>
      </c>
      <c r="B4901" s="1" t="n">
        <v>45266</v>
      </c>
      <c r="C4901" s="1" t="n">
        <v>45846</v>
      </c>
      <c r="D4901" t="inlineStr">
        <is>
          <t>UPPSALA LÄN</t>
        </is>
      </c>
      <c r="E4901" t="inlineStr">
        <is>
          <t>HEBY</t>
        </is>
      </c>
      <c r="G4901" t="n">
        <v>4.8</v>
      </c>
      <c r="H4901" t="n">
        <v>0</v>
      </c>
      <c r="I4901" t="n">
        <v>0</v>
      </c>
      <c r="J4901" t="n">
        <v>0</v>
      </c>
      <c r="K4901" t="n">
        <v>0</v>
      </c>
      <c r="L4901" t="n">
        <v>0</v>
      </c>
      <c r="M4901" t="n">
        <v>0</v>
      </c>
      <c r="N4901" t="n">
        <v>0</v>
      </c>
      <c r="O4901" t="n">
        <v>0</v>
      </c>
      <c r="P4901" t="n">
        <v>0</v>
      </c>
      <c r="Q4901" t="n">
        <v>0</v>
      </c>
      <c r="R4901" s="2" t="inlineStr"/>
    </row>
    <row r="4902" ht="15" customHeight="1">
      <c r="A4902" t="inlineStr">
        <is>
          <t>A 61916-2023</t>
        </is>
      </c>
      <c r="B4902" s="1" t="n">
        <v>45266</v>
      </c>
      <c r="C4902" s="1" t="n">
        <v>45846</v>
      </c>
      <c r="D4902" t="inlineStr">
        <is>
          <t>UPPSALA LÄN</t>
        </is>
      </c>
      <c r="E4902" t="inlineStr">
        <is>
          <t>HEBY</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61931-2023</t>
        </is>
      </c>
      <c r="B4903" s="1" t="n">
        <v>45266</v>
      </c>
      <c r="C4903" s="1" t="n">
        <v>45846</v>
      </c>
      <c r="D4903" t="inlineStr">
        <is>
          <t>UPPSALA LÄN</t>
        </is>
      </c>
      <c r="E4903" t="inlineStr">
        <is>
          <t>HEBY</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61947-2023</t>
        </is>
      </c>
      <c r="B4904" s="1" t="n">
        <v>45266</v>
      </c>
      <c r="C4904" s="1" t="n">
        <v>45846</v>
      </c>
      <c r="D4904" t="inlineStr">
        <is>
          <t>UPPSALA LÄN</t>
        </is>
      </c>
      <c r="E4904" t="inlineStr">
        <is>
          <t>UPPSALA</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61959-2023</t>
        </is>
      </c>
      <c r="B4905" s="1" t="n">
        <v>45266</v>
      </c>
      <c r="C4905" s="1" t="n">
        <v>45846</v>
      </c>
      <c r="D4905" t="inlineStr">
        <is>
          <t>UPPSALA LÄN</t>
        </is>
      </c>
      <c r="E4905" t="inlineStr">
        <is>
          <t>HEBY</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62004-2023</t>
        </is>
      </c>
      <c r="B4906" s="1" t="n">
        <v>45266</v>
      </c>
      <c r="C4906" s="1" t="n">
        <v>45846</v>
      </c>
      <c r="D4906" t="inlineStr">
        <is>
          <t>UPPSALA LÄN</t>
        </is>
      </c>
      <c r="E4906" t="inlineStr">
        <is>
          <t>HEBY</t>
        </is>
      </c>
      <c r="G4906" t="n">
        <v>13.5</v>
      </c>
      <c r="H4906" t="n">
        <v>0</v>
      </c>
      <c r="I4906" t="n">
        <v>0</v>
      </c>
      <c r="J4906" t="n">
        <v>0</v>
      </c>
      <c r="K4906" t="n">
        <v>0</v>
      </c>
      <c r="L4906" t="n">
        <v>0</v>
      </c>
      <c r="M4906" t="n">
        <v>0</v>
      </c>
      <c r="N4906" t="n">
        <v>0</v>
      </c>
      <c r="O4906" t="n">
        <v>0</v>
      </c>
      <c r="P4906" t="n">
        <v>0</v>
      </c>
      <c r="Q4906" t="n">
        <v>0</v>
      </c>
      <c r="R4906" s="2" t="inlineStr"/>
    </row>
    <row r="4907" ht="15" customHeight="1">
      <c r="A4907" t="inlineStr">
        <is>
          <t>A 61917-2023</t>
        </is>
      </c>
      <c r="B4907" s="1" t="n">
        <v>45266</v>
      </c>
      <c r="C4907" s="1" t="n">
        <v>45846</v>
      </c>
      <c r="D4907" t="inlineStr">
        <is>
          <t>UPPSALA LÄN</t>
        </is>
      </c>
      <c r="E4907" t="inlineStr">
        <is>
          <t>HEBY</t>
        </is>
      </c>
      <c r="G4907" t="n">
        <v>7.1</v>
      </c>
      <c r="H4907" t="n">
        <v>0</v>
      </c>
      <c r="I4907" t="n">
        <v>0</v>
      </c>
      <c r="J4907" t="n">
        <v>0</v>
      </c>
      <c r="K4907" t="n">
        <v>0</v>
      </c>
      <c r="L4907" t="n">
        <v>0</v>
      </c>
      <c r="M4907" t="n">
        <v>0</v>
      </c>
      <c r="N4907" t="n">
        <v>0</v>
      </c>
      <c r="O4907" t="n">
        <v>0</v>
      </c>
      <c r="P4907" t="n">
        <v>0</v>
      </c>
      <c r="Q4907" t="n">
        <v>0</v>
      </c>
      <c r="R4907" s="2" t="inlineStr"/>
    </row>
    <row r="4908" ht="15" customHeight="1">
      <c r="A4908" t="inlineStr">
        <is>
          <t>A 61960-2023</t>
        </is>
      </c>
      <c r="B4908" s="1" t="n">
        <v>45266</v>
      </c>
      <c r="C4908" s="1" t="n">
        <v>45846</v>
      </c>
      <c r="D4908" t="inlineStr">
        <is>
          <t>UPPSALA LÄN</t>
        </is>
      </c>
      <c r="E4908" t="inlineStr">
        <is>
          <t>HEBY</t>
        </is>
      </c>
      <c r="F4908" t="inlineStr">
        <is>
          <t>Kyrkan</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62086-2023</t>
        </is>
      </c>
      <c r="B4909" s="1" t="n">
        <v>45266</v>
      </c>
      <c r="C4909" s="1" t="n">
        <v>45846</v>
      </c>
      <c r="D4909" t="inlineStr">
        <is>
          <t>UPPSALA LÄN</t>
        </is>
      </c>
      <c r="E4909" t="inlineStr">
        <is>
          <t>HEBY</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62083-2023</t>
        </is>
      </c>
      <c r="B4910" s="1" t="n">
        <v>45266</v>
      </c>
      <c r="C4910" s="1" t="n">
        <v>45846</v>
      </c>
      <c r="D4910" t="inlineStr">
        <is>
          <t>UPPSALA LÄN</t>
        </is>
      </c>
      <c r="E4910" t="inlineStr">
        <is>
          <t>HEBY</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62084-2023</t>
        </is>
      </c>
      <c r="B4911" s="1" t="n">
        <v>45266</v>
      </c>
      <c r="C4911" s="1" t="n">
        <v>45846</v>
      </c>
      <c r="D4911" t="inlineStr">
        <is>
          <t>UPPSALA LÄN</t>
        </is>
      </c>
      <c r="E4911" t="inlineStr">
        <is>
          <t>HEBY</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62085-2023</t>
        </is>
      </c>
      <c r="B4912" s="1" t="n">
        <v>45266</v>
      </c>
      <c r="C4912" s="1" t="n">
        <v>45846</v>
      </c>
      <c r="D4912" t="inlineStr">
        <is>
          <t>UPPSALA LÄN</t>
        </is>
      </c>
      <c r="E4912" t="inlineStr">
        <is>
          <t>HEBY</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62158-2023</t>
        </is>
      </c>
      <c r="B4913" s="1" t="n">
        <v>45267</v>
      </c>
      <c r="C4913" s="1" t="n">
        <v>45846</v>
      </c>
      <c r="D4913" t="inlineStr">
        <is>
          <t>UPPSALA LÄN</t>
        </is>
      </c>
      <c r="E4913" t="inlineStr">
        <is>
          <t>ENKÖPING</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62287-2023</t>
        </is>
      </c>
      <c r="B4914" s="1" t="n">
        <v>45267</v>
      </c>
      <c r="C4914" s="1" t="n">
        <v>45846</v>
      </c>
      <c r="D4914" t="inlineStr">
        <is>
          <t>UPPSALA LÄN</t>
        </is>
      </c>
      <c r="E4914" t="inlineStr">
        <is>
          <t>UPPSALA</t>
        </is>
      </c>
      <c r="F4914" t="inlineStr">
        <is>
          <t>Allmännings- och besparingsskogar</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62310-2023</t>
        </is>
      </c>
      <c r="B4915" s="1" t="n">
        <v>45267</v>
      </c>
      <c r="C4915" s="1" t="n">
        <v>45846</v>
      </c>
      <c r="D4915" t="inlineStr">
        <is>
          <t>UPPSALA LÄN</t>
        </is>
      </c>
      <c r="E4915" t="inlineStr">
        <is>
          <t>HEBY</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62265-2023</t>
        </is>
      </c>
      <c r="B4916" s="1" t="n">
        <v>45267</v>
      </c>
      <c r="C4916" s="1" t="n">
        <v>45846</v>
      </c>
      <c r="D4916" t="inlineStr">
        <is>
          <t>UPPSALA LÄN</t>
        </is>
      </c>
      <c r="E4916" t="inlineStr">
        <is>
          <t>ENKÖPING</t>
        </is>
      </c>
      <c r="G4916" t="n">
        <v>4.5</v>
      </c>
      <c r="H4916" t="n">
        <v>0</v>
      </c>
      <c r="I4916" t="n">
        <v>0</v>
      </c>
      <c r="J4916" t="n">
        <v>0</v>
      </c>
      <c r="K4916" t="n">
        <v>0</v>
      </c>
      <c r="L4916" t="n">
        <v>0</v>
      </c>
      <c r="M4916" t="n">
        <v>0</v>
      </c>
      <c r="N4916" t="n">
        <v>0</v>
      </c>
      <c r="O4916" t="n">
        <v>0</v>
      </c>
      <c r="P4916" t="n">
        <v>0</v>
      </c>
      <c r="Q4916" t="n">
        <v>0</v>
      </c>
      <c r="R4916" s="2" t="inlineStr"/>
    </row>
    <row r="4917" ht="15" customHeight="1">
      <c r="A4917" t="inlineStr">
        <is>
          <t>A 62627-2023</t>
        </is>
      </c>
      <c r="B4917" s="1" t="n">
        <v>45268</v>
      </c>
      <c r="C4917" s="1" t="n">
        <v>45846</v>
      </c>
      <c r="D4917" t="inlineStr">
        <is>
          <t>UPPSALA LÄN</t>
        </is>
      </c>
      <c r="E4917" t="inlineStr">
        <is>
          <t>UPPSALA</t>
        </is>
      </c>
      <c r="G4917" t="n">
        <v>7.6</v>
      </c>
      <c r="H4917" t="n">
        <v>0</v>
      </c>
      <c r="I4917" t="n">
        <v>0</v>
      </c>
      <c r="J4917" t="n">
        <v>0</v>
      </c>
      <c r="K4917" t="n">
        <v>0</v>
      </c>
      <c r="L4917" t="n">
        <v>0</v>
      </c>
      <c r="M4917" t="n">
        <v>0</v>
      </c>
      <c r="N4917" t="n">
        <v>0</v>
      </c>
      <c r="O4917" t="n">
        <v>0</v>
      </c>
      <c r="P4917" t="n">
        <v>0</v>
      </c>
      <c r="Q4917" t="n">
        <v>0</v>
      </c>
      <c r="R4917" s="2" t="inlineStr"/>
      <c r="U4917">
        <f>HYPERLINK("https://klasma.github.io/Logging_0380/knärot/A 62627-2023 karta knärot.png", "A 62627-2023")</f>
        <v/>
      </c>
      <c r="V4917">
        <f>HYPERLINK("https://klasma.github.io/Logging_0380/klagomål/A 62627-2023 FSC-klagomål.docx", "A 62627-2023")</f>
        <v/>
      </c>
      <c r="W4917">
        <f>HYPERLINK("https://klasma.github.io/Logging_0380/klagomålsmail/A 62627-2023 FSC-klagomål mail.docx", "A 62627-2023")</f>
        <v/>
      </c>
      <c r="X4917">
        <f>HYPERLINK("https://klasma.github.io/Logging_0380/tillsyn/A 62627-2023 tillsynsbegäran.docx", "A 62627-2023")</f>
        <v/>
      </c>
      <c r="Y4917">
        <f>HYPERLINK("https://klasma.github.io/Logging_0380/tillsynsmail/A 62627-2023 tillsynsbegäran mail.docx", "A 62627-2023")</f>
        <v/>
      </c>
    </row>
    <row r="4918" ht="15" customHeight="1">
      <c r="A4918" t="inlineStr">
        <is>
          <t>A 62636-2023</t>
        </is>
      </c>
      <c r="B4918" s="1" t="n">
        <v>45268</v>
      </c>
      <c r="C4918" s="1" t="n">
        <v>45846</v>
      </c>
      <c r="D4918" t="inlineStr">
        <is>
          <t>UPPSALA LÄN</t>
        </is>
      </c>
      <c r="E4918" t="inlineStr">
        <is>
          <t>UPPSALA</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62691-2023</t>
        </is>
      </c>
      <c r="B4919" s="1" t="n">
        <v>45268</v>
      </c>
      <c r="C4919" s="1" t="n">
        <v>45846</v>
      </c>
      <c r="D4919" t="inlineStr">
        <is>
          <t>UPPSALA LÄN</t>
        </is>
      </c>
      <c r="E4919" t="inlineStr">
        <is>
          <t>UPPSALA</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62694-2023</t>
        </is>
      </c>
      <c r="B4920" s="1" t="n">
        <v>45268</v>
      </c>
      <c r="C4920" s="1" t="n">
        <v>45846</v>
      </c>
      <c r="D4920" t="inlineStr">
        <is>
          <t>UPPSALA LÄN</t>
        </is>
      </c>
      <c r="E4920" t="inlineStr">
        <is>
          <t>UPPSALA</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62695-2023</t>
        </is>
      </c>
      <c r="B4921" s="1" t="n">
        <v>45271</v>
      </c>
      <c r="C4921" s="1" t="n">
        <v>45846</v>
      </c>
      <c r="D4921" t="inlineStr">
        <is>
          <t>UPPSALA LÄN</t>
        </is>
      </c>
      <c r="E4921" t="inlineStr">
        <is>
          <t>ÖSTHAMMAR</t>
        </is>
      </c>
      <c r="G4921" t="n">
        <v>5.3</v>
      </c>
      <c r="H4921" t="n">
        <v>0</v>
      </c>
      <c r="I4921" t="n">
        <v>0</v>
      </c>
      <c r="J4921" t="n">
        <v>0</v>
      </c>
      <c r="K4921" t="n">
        <v>0</v>
      </c>
      <c r="L4921" t="n">
        <v>0</v>
      </c>
      <c r="M4921" t="n">
        <v>0</v>
      </c>
      <c r="N4921" t="n">
        <v>0</v>
      </c>
      <c r="O4921" t="n">
        <v>0</v>
      </c>
      <c r="P4921" t="n">
        <v>0</v>
      </c>
      <c r="Q4921" t="n">
        <v>0</v>
      </c>
      <c r="R4921" s="2" t="inlineStr"/>
    </row>
    <row r="4922" ht="15" customHeight="1">
      <c r="A4922" t="inlineStr">
        <is>
          <t>A 62714-2023</t>
        </is>
      </c>
      <c r="B4922" s="1" t="n">
        <v>45271</v>
      </c>
      <c r="C4922" s="1" t="n">
        <v>45846</v>
      </c>
      <c r="D4922" t="inlineStr">
        <is>
          <t>UPPSALA LÄN</t>
        </is>
      </c>
      <c r="E4922" t="inlineStr">
        <is>
          <t>UPPSALA</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62973-2023</t>
        </is>
      </c>
      <c r="B4923" s="1" t="n">
        <v>45272</v>
      </c>
      <c r="C4923" s="1" t="n">
        <v>45846</v>
      </c>
      <c r="D4923" t="inlineStr">
        <is>
          <t>UPPSALA LÄN</t>
        </is>
      </c>
      <c r="E4923" t="inlineStr">
        <is>
          <t>HEBY</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62872-2023</t>
        </is>
      </c>
      <c r="B4924" s="1" t="n">
        <v>45272</v>
      </c>
      <c r="C4924" s="1" t="n">
        <v>45846</v>
      </c>
      <c r="D4924" t="inlineStr">
        <is>
          <t>UPPSALA LÄN</t>
        </is>
      </c>
      <c r="E4924" t="inlineStr">
        <is>
          <t>HEBY</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62974-2023</t>
        </is>
      </c>
      <c r="B4925" s="1" t="n">
        <v>45272</v>
      </c>
      <c r="C4925" s="1" t="n">
        <v>45846</v>
      </c>
      <c r="D4925" t="inlineStr">
        <is>
          <t>UPPSALA LÄN</t>
        </is>
      </c>
      <c r="E4925" t="inlineStr">
        <is>
          <t>HEBY</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63037-2023</t>
        </is>
      </c>
      <c r="B4926" s="1" t="n">
        <v>45272</v>
      </c>
      <c r="C4926" s="1" t="n">
        <v>45846</v>
      </c>
      <c r="D4926" t="inlineStr">
        <is>
          <t>UPPSALA LÄN</t>
        </is>
      </c>
      <c r="E4926" t="inlineStr">
        <is>
          <t>HEBY</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63112-2023</t>
        </is>
      </c>
      <c r="B4927" s="1" t="n">
        <v>45273</v>
      </c>
      <c r="C4927" s="1" t="n">
        <v>45846</v>
      </c>
      <c r="D4927" t="inlineStr">
        <is>
          <t>UPPSALA LÄN</t>
        </is>
      </c>
      <c r="E4927" t="inlineStr">
        <is>
          <t>HEBY</t>
        </is>
      </c>
      <c r="G4927" t="n">
        <v>10.8</v>
      </c>
      <c r="H4927" t="n">
        <v>0</v>
      </c>
      <c r="I4927" t="n">
        <v>0</v>
      </c>
      <c r="J4927" t="n">
        <v>0</v>
      </c>
      <c r="K4927" t="n">
        <v>0</v>
      </c>
      <c r="L4927" t="n">
        <v>0</v>
      </c>
      <c r="M4927" t="n">
        <v>0</v>
      </c>
      <c r="N4927" t="n">
        <v>0</v>
      </c>
      <c r="O4927" t="n">
        <v>0</v>
      </c>
      <c r="P4927" t="n">
        <v>0</v>
      </c>
      <c r="Q4927" t="n">
        <v>0</v>
      </c>
      <c r="R4927" s="2" t="inlineStr"/>
    </row>
    <row r="4928" ht="15" customHeight="1">
      <c r="A4928" t="inlineStr">
        <is>
          <t>A 63163-2023</t>
        </is>
      </c>
      <c r="B4928" s="1" t="n">
        <v>45273</v>
      </c>
      <c r="C4928" s="1" t="n">
        <v>45846</v>
      </c>
      <c r="D4928" t="inlineStr">
        <is>
          <t>UPPSALA LÄN</t>
        </is>
      </c>
      <c r="E4928" t="inlineStr">
        <is>
          <t>UPPSALA</t>
        </is>
      </c>
      <c r="G4928" t="n">
        <v>5.6</v>
      </c>
      <c r="H4928" t="n">
        <v>0</v>
      </c>
      <c r="I4928" t="n">
        <v>0</v>
      </c>
      <c r="J4928" t="n">
        <v>0</v>
      </c>
      <c r="K4928" t="n">
        <v>0</v>
      </c>
      <c r="L4928" t="n">
        <v>0</v>
      </c>
      <c r="M4928" t="n">
        <v>0</v>
      </c>
      <c r="N4928" t="n">
        <v>0</v>
      </c>
      <c r="O4928" t="n">
        <v>0</v>
      </c>
      <c r="P4928" t="n">
        <v>0</v>
      </c>
      <c r="Q4928" t="n">
        <v>0</v>
      </c>
      <c r="R4928" s="2" t="inlineStr"/>
    </row>
    <row r="4929" ht="15" customHeight="1">
      <c r="A4929" t="inlineStr">
        <is>
          <t>A 63474-2023</t>
        </is>
      </c>
      <c r="B4929" s="1" t="n">
        <v>45273</v>
      </c>
      <c r="C4929" s="1" t="n">
        <v>45846</v>
      </c>
      <c r="D4929" t="inlineStr">
        <is>
          <t>UPPSALA LÄN</t>
        </is>
      </c>
      <c r="E4929" t="inlineStr">
        <is>
          <t>HÅBO</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63431-2023</t>
        </is>
      </c>
      <c r="B4930" s="1" t="n">
        <v>45274</v>
      </c>
      <c r="C4930" s="1" t="n">
        <v>45846</v>
      </c>
      <c r="D4930" t="inlineStr">
        <is>
          <t>UPPSALA LÄN</t>
        </is>
      </c>
      <c r="E4930" t="inlineStr">
        <is>
          <t>ENKÖPING</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63404-2023</t>
        </is>
      </c>
      <c r="B4931" s="1" t="n">
        <v>45274</v>
      </c>
      <c r="C4931" s="1" t="n">
        <v>45846</v>
      </c>
      <c r="D4931" t="inlineStr">
        <is>
          <t>UPPSALA LÄN</t>
        </is>
      </c>
      <c r="E4931" t="inlineStr">
        <is>
          <t>ENKÖPING</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63402-2023</t>
        </is>
      </c>
      <c r="B4932" s="1" t="n">
        <v>45274</v>
      </c>
      <c r="C4932" s="1" t="n">
        <v>45846</v>
      </c>
      <c r="D4932" t="inlineStr">
        <is>
          <t>UPPSALA LÄN</t>
        </is>
      </c>
      <c r="E4932" t="inlineStr">
        <is>
          <t>ENKÖPING</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63406-2023</t>
        </is>
      </c>
      <c r="B4933" s="1" t="n">
        <v>45274</v>
      </c>
      <c r="C4933" s="1" t="n">
        <v>45846</v>
      </c>
      <c r="D4933" t="inlineStr">
        <is>
          <t>UPPSALA LÄN</t>
        </is>
      </c>
      <c r="E4933" t="inlineStr">
        <is>
          <t>ENKÖPING</t>
        </is>
      </c>
      <c r="G4933" t="n">
        <v>0.3</v>
      </c>
      <c r="H4933" t="n">
        <v>0</v>
      </c>
      <c r="I4933" t="n">
        <v>0</v>
      </c>
      <c r="J4933" t="n">
        <v>0</v>
      </c>
      <c r="K4933" t="n">
        <v>0</v>
      </c>
      <c r="L4933" t="n">
        <v>0</v>
      </c>
      <c r="M4933" t="n">
        <v>0</v>
      </c>
      <c r="N4933" t="n">
        <v>0</v>
      </c>
      <c r="O4933" t="n">
        <v>0</v>
      </c>
      <c r="P4933" t="n">
        <v>0</v>
      </c>
      <c r="Q4933" t="n">
        <v>0</v>
      </c>
      <c r="R4933" s="2" t="inlineStr"/>
    </row>
    <row r="4934" ht="15" customHeight="1">
      <c r="A4934" t="inlineStr">
        <is>
          <t>A 63578-2023</t>
        </is>
      </c>
      <c r="B4934" s="1" t="n">
        <v>45275</v>
      </c>
      <c r="C4934" s="1" t="n">
        <v>45846</v>
      </c>
      <c r="D4934" t="inlineStr">
        <is>
          <t>UPPSALA LÄN</t>
        </is>
      </c>
      <c r="E4934" t="inlineStr">
        <is>
          <t>UPPSALA</t>
        </is>
      </c>
      <c r="G4934" t="n">
        <v>4.2</v>
      </c>
      <c r="H4934" t="n">
        <v>0</v>
      </c>
      <c r="I4934" t="n">
        <v>0</v>
      </c>
      <c r="J4934" t="n">
        <v>0</v>
      </c>
      <c r="K4934" t="n">
        <v>0</v>
      </c>
      <c r="L4934" t="n">
        <v>0</v>
      </c>
      <c r="M4934" t="n">
        <v>0</v>
      </c>
      <c r="N4934" t="n">
        <v>0</v>
      </c>
      <c r="O4934" t="n">
        <v>0</v>
      </c>
      <c r="P4934" t="n">
        <v>0</v>
      </c>
      <c r="Q4934" t="n">
        <v>0</v>
      </c>
      <c r="R4934" s="2" t="inlineStr"/>
    </row>
    <row r="4935" ht="15" customHeight="1">
      <c r="A4935" t="inlineStr">
        <is>
          <t>A 63646-2023</t>
        </is>
      </c>
      <c r="B4935" s="1" t="n">
        <v>45275</v>
      </c>
      <c r="C4935" s="1" t="n">
        <v>45846</v>
      </c>
      <c r="D4935" t="inlineStr">
        <is>
          <t>UPPSALA LÄN</t>
        </is>
      </c>
      <c r="E4935" t="inlineStr">
        <is>
          <t>TIERP</t>
        </is>
      </c>
      <c r="F4935" t="inlineStr">
        <is>
          <t>Övriga Aktiebolag</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63579-2023</t>
        </is>
      </c>
      <c r="B4936" s="1" t="n">
        <v>45275</v>
      </c>
      <c r="C4936" s="1" t="n">
        <v>45846</v>
      </c>
      <c r="D4936" t="inlineStr">
        <is>
          <t>UPPSALA LÄN</t>
        </is>
      </c>
      <c r="E4936" t="inlineStr">
        <is>
          <t>UPPSALA</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63663-2023</t>
        </is>
      </c>
      <c r="B4937" s="1" t="n">
        <v>45275</v>
      </c>
      <c r="C4937" s="1" t="n">
        <v>45846</v>
      </c>
      <c r="D4937" t="inlineStr">
        <is>
          <t>UPPSALA LÄN</t>
        </is>
      </c>
      <c r="E4937" t="inlineStr">
        <is>
          <t>TIERP</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63641-2023</t>
        </is>
      </c>
      <c r="B4938" s="1" t="n">
        <v>45275</v>
      </c>
      <c r="C4938" s="1" t="n">
        <v>45846</v>
      </c>
      <c r="D4938" t="inlineStr">
        <is>
          <t>UPPSALA LÄN</t>
        </is>
      </c>
      <c r="E4938" t="inlineStr">
        <is>
          <t>TIERP</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63649-2023</t>
        </is>
      </c>
      <c r="B4939" s="1" t="n">
        <v>45275</v>
      </c>
      <c r="C4939" s="1" t="n">
        <v>45846</v>
      </c>
      <c r="D4939" t="inlineStr">
        <is>
          <t>UPPSALA LÄN</t>
        </is>
      </c>
      <c r="E4939" t="inlineStr">
        <is>
          <t>TIERP</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63576-2023</t>
        </is>
      </c>
      <c r="B4940" s="1" t="n">
        <v>45275</v>
      </c>
      <c r="C4940" s="1" t="n">
        <v>45846</v>
      </c>
      <c r="D4940" t="inlineStr">
        <is>
          <t>UPPSALA LÄN</t>
        </is>
      </c>
      <c r="E4940" t="inlineStr">
        <is>
          <t>UPPSALA</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63588-2023</t>
        </is>
      </c>
      <c r="B4941" s="1" t="n">
        <v>45275</v>
      </c>
      <c r="C4941" s="1" t="n">
        <v>45846</v>
      </c>
      <c r="D4941" t="inlineStr">
        <is>
          <t>UPPSALA LÄN</t>
        </is>
      </c>
      <c r="E4941" t="inlineStr">
        <is>
          <t>UPPSALA</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63698-2023</t>
        </is>
      </c>
      <c r="B4942" s="1" t="n">
        <v>45275</v>
      </c>
      <c r="C4942" s="1" t="n">
        <v>45846</v>
      </c>
      <c r="D4942" t="inlineStr">
        <is>
          <t>UPPSALA LÄN</t>
        </is>
      </c>
      <c r="E4942" t="inlineStr">
        <is>
          <t>UPPSALA</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63940-2023</t>
        </is>
      </c>
      <c r="B4943" s="1" t="n">
        <v>45278</v>
      </c>
      <c r="C4943" s="1" t="n">
        <v>45846</v>
      </c>
      <c r="D4943" t="inlineStr">
        <is>
          <t>UPPSALA LÄN</t>
        </is>
      </c>
      <c r="E4943" t="inlineStr">
        <is>
          <t>HEBY</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63982-2023</t>
        </is>
      </c>
      <c r="B4944" s="1" t="n">
        <v>45278</v>
      </c>
      <c r="C4944" s="1" t="n">
        <v>45846</v>
      </c>
      <c r="D4944" t="inlineStr">
        <is>
          <t>UPPSALA LÄN</t>
        </is>
      </c>
      <c r="E4944" t="inlineStr">
        <is>
          <t>HEBY</t>
        </is>
      </c>
      <c r="F4944" t="inlineStr">
        <is>
          <t>Kyrkan</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63980-2023</t>
        </is>
      </c>
      <c r="B4945" s="1" t="n">
        <v>45278</v>
      </c>
      <c r="C4945" s="1" t="n">
        <v>45846</v>
      </c>
      <c r="D4945" t="inlineStr">
        <is>
          <t>UPPSALA LÄN</t>
        </is>
      </c>
      <c r="E4945" t="inlineStr">
        <is>
          <t>HEBY</t>
        </is>
      </c>
      <c r="F4945" t="inlineStr">
        <is>
          <t>Kyrkan</t>
        </is>
      </c>
      <c r="G4945" t="n">
        <v>16.3</v>
      </c>
      <c r="H4945" t="n">
        <v>0</v>
      </c>
      <c r="I4945" t="n">
        <v>0</v>
      </c>
      <c r="J4945" t="n">
        <v>0</v>
      </c>
      <c r="K4945" t="n">
        <v>0</v>
      </c>
      <c r="L4945" t="n">
        <v>0</v>
      </c>
      <c r="M4945" t="n">
        <v>0</v>
      </c>
      <c r="N4945" t="n">
        <v>0</v>
      </c>
      <c r="O4945" t="n">
        <v>0</v>
      </c>
      <c r="P4945" t="n">
        <v>0</v>
      </c>
      <c r="Q4945" t="n">
        <v>0</v>
      </c>
      <c r="R4945" s="2" t="inlineStr"/>
    </row>
    <row r="4946" ht="15" customHeight="1">
      <c r="A4946" t="inlineStr">
        <is>
          <t>A 63983-2023</t>
        </is>
      </c>
      <c r="B4946" s="1" t="n">
        <v>45278</v>
      </c>
      <c r="C4946" s="1" t="n">
        <v>45846</v>
      </c>
      <c r="D4946" t="inlineStr">
        <is>
          <t>UPPSALA LÄN</t>
        </is>
      </c>
      <c r="E4946" t="inlineStr">
        <is>
          <t>HEBY</t>
        </is>
      </c>
      <c r="F4946" t="inlineStr">
        <is>
          <t>Kyrkan</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64079-2023</t>
        </is>
      </c>
      <c r="B4947" s="1" t="n">
        <v>45279</v>
      </c>
      <c r="C4947" s="1" t="n">
        <v>45846</v>
      </c>
      <c r="D4947" t="inlineStr">
        <is>
          <t>UPPSALA LÄN</t>
        </is>
      </c>
      <c r="E4947" t="inlineStr">
        <is>
          <t>UPPSALA</t>
        </is>
      </c>
      <c r="G4947" t="n">
        <v>4.2</v>
      </c>
      <c r="H4947" t="n">
        <v>0</v>
      </c>
      <c r="I4947" t="n">
        <v>0</v>
      </c>
      <c r="J4947" t="n">
        <v>0</v>
      </c>
      <c r="K4947" t="n">
        <v>0</v>
      </c>
      <c r="L4947" t="n">
        <v>0</v>
      </c>
      <c r="M4947" t="n">
        <v>0</v>
      </c>
      <c r="N4947" t="n">
        <v>0</v>
      </c>
      <c r="O4947" t="n">
        <v>0</v>
      </c>
      <c r="P4947" t="n">
        <v>0</v>
      </c>
      <c r="Q4947" t="n">
        <v>0</v>
      </c>
      <c r="R4947" s="2" t="inlineStr"/>
    </row>
    <row r="4948" ht="15" customHeight="1">
      <c r="A4948" t="inlineStr">
        <is>
          <t>A 64128-2023</t>
        </is>
      </c>
      <c r="B4948" s="1" t="n">
        <v>45279</v>
      </c>
      <c r="C4948" s="1" t="n">
        <v>45846</v>
      </c>
      <c r="D4948" t="inlineStr">
        <is>
          <t>UPPSALA LÄN</t>
        </is>
      </c>
      <c r="E4948" t="inlineStr">
        <is>
          <t>TIERP</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64132-2023</t>
        </is>
      </c>
      <c r="B4949" s="1" t="n">
        <v>45279</v>
      </c>
      <c r="C4949" s="1" t="n">
        <v>45846</v>
      </c>
      <c r="D4949" t="inlineStr">
        <is>
          <t>UPPSALA LÄN</t>
        </is>
      </c>
      <c r="E4949" t="inlineStr">
        <is>
          <t>TIERP</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64129-2023</t>
        </is>
      </c>
      <c r="B4950" s="1" t="n">
        <v>45279</v>
      </c>
      <c r="C4950" s="1" t="n">
        <v>45846</v>
      </c>
      <c r="D4950" t="inlineStr">
        <is>
          <t>UPPSALA LÄN</t>
        </is>
      </c>
      <c r="E4950" t="inlineStr">
        <is>
          <t>TIERP</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64135-2023</t>
        </is>
      </c>
      <c r="B4951" s="1" t="n">
        <v>45279</v>
      </c>
      <c r="C4951" s="1" t="n">
        <v>45846</v>
      </c>
      <c r="D4951" t="inlineStr">
        <is>
          <t>UPPSALA LÄN</t>
        </is>
      </c>
      <c r="E4951" t="inlineStr">
        <is>
          <t>TIERP</t>
        </is>
      </c>
      <c r="G4951" t="n">
        <v>4.8</v>
      </c>
      <c r="H4951" t="n">
        <v>0</v>
      </c>
      <c r="I4951" t="n">
        <v>0</v>
      </c>
      <c r="J4951" t="n">
        <v>0</v>
      </c>
      <c r="K4951" t="n">
        <v>0</v>
      </c>
      <c r="L4951" t="n">
        <v>0</v>
      </c>
      <c r="M4951" t="n">
        <v>0</v>
      </c>
      <c r="N4951" t="n">
        <v>0</v>
      </c>
      <c r="O4951" t="n">
        <v>0</v>
      </c>
      <c r="P4951" t="n">
        <v>0</v>
      </c>
      <c r="Q4951" t="n">
        <v>0</v>
      </c>
      <c r="R4951" s="2" t="inlineStr"/>
    </row>
    <row r="4952" ht="15" customHeight="1">
      <c r="A4952" t="inlineStr">
        <is>
          <t>A 64180-2023</t>
        </is>
      </c>
      <c r="B4952" s="1" t="n">
        <v>45279</v>
      </c>
      <c r="C4952" s="1" t="n">
        <v>45846</v>
      </c>
      <c r="D4952" t="inlineStr">
        <is>
          <t>UPPSALA LÄN</t>
        </is>
      </c>
      <c r="E4952" t="inlineStr">
        <is>
          <t>TIERP</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64191-2023</t>
        </is>
      </c>
      <c r="B4953" s="1" t="n">
        <v>45279</v>
      </c>
      <c r="C4953" s="1" t="n">
        <v>45846</v>
      </c>
      <c r="D4953" t="inlineStr">
        <is>
          <t>UPPSALA LÄN</t>
        </is>
      </c>
      <c r="E4953" t="inlineStr">
        <is>
          <t>HEBY</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64540-2023</t>
        </is>
      </c>
      <c r="B4954" s="1" t="n">
        <v>45281</v>
      </c>
      <c r="C4954" s="1" t="n">
        <v>45846</v>
      </c>
      <c r="D4954" t="inlineStr">
        <is>
          <t>UPPSALA LÄN</t>
        </is>
      </c>
      <c r="E4954" t="inlineStr">
        <is>
          <t>TIERP</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64557-2023</t>
        </is>
      </c>
      <c r="B4955" s="1" t="n">
        <v>45281</v>
      </c>
      <c r="C4955" s="1" t="n">
        <v>45846</v>
      </c>
      <c r="D4955" t="inlineStr">
        <is>
          <t>UPPSALA LÄN</t>
        </is>
      </c>
      <c r="E4955" t="inlineStr">
        <is>
          <t>TIERP</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64624-2023</t>
        </is>
      </c>
      <c r="B4956" s="1" t="n">
        <v>45281</v>
      </c>
      <c r="C4956" s="1" t="n">
        <v>45846</v>
      </c>
      <c r="D4956" t="inlineStr">
        <is>
          <t>UPPSALA LÄN</t>
        </is>
      </c>
      <c r="E4956" t="inlineStr">
        <is>
          <t>TIERP</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64628-2023</t>
        </is>
      </c>
      <c r="B4957" s="1" t="n">
        <v>45281</v>
      </c>
      <c r="C4957" s="1" t="n">
        <v>45846</v>
      </c>
      <c r="D4957" t="inlineStr">
        <is>
          <t>UPPSALA LÄN</t>
        </is>
      </c>
      <c r="E4957" t="inlineStr">
        <is>
          <t>TIERP</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64782-2023</t>
        </is>
      </c>
      <c r="B4958" s="1" t="n">
        <v>45282</v>
      </c>
      <c r="C4958" s="1" t="n">
        <v>45846</v>
      </c>
      <c r="D4958" t="inlineStr">
        <is>
          <t>UPPSALA LÄN</t>
        </is>
      </c>
      <c r="E4958" t="inlineStr">
        <is>
          <t>TIERP</t>
        </is>
      </c>
      <c r="G4958" t="n">
        <v>8.5</v>
      </c>
      <c r="H4958" t="n">
        <v>0</v>
      </c>
      <c r="I4958" t="n">
        <v>0</v>
      </c>
      <c r="J4958" t="n">
        <v>0</v>
      </c>
      <c r="K4958" t="n">
        <v>0</v>
      </c>
      <c r="L4958" t="n">
        <v>0</v>
      </c>
      <c r="M4958" t="n">
        <v>0</v>
      </c>
      <c r="N4958" t="n">
        <v>0</v>
      </c>
      <c r="O4958" t="n">
        <v>0</v>
      </c>
      <c r="P4958" t="n">
        <v>0</v>
      </c>
      <c r="Q4958" t="n">
        <v>0</v>
      </c>
      <c r="R4958" s="2" t="inlineStr"/>
    </row>
    <row r="4959" ht="15" customHeight="1">
      <c r="A4959" t="inlineStr">
        <is>
          <t>A 64774-2023</t>
        </is>
      </c>
      <c r="B4959" s="1" t="n">
        <v>45282</v>
      </c>
      <c r="C4959" s="1" t="n">
        <v>45846</v>
      </c>
      <c r="D4959" t="inlineStr">
        <is>
          <t>UPPSALA LÄN</t>
        </is>
      </c>
      <c r="E4959" t="inlineStr">
        <is>
          <t>ÖSTHAMMAR</t>
        </is>
      </c>
      <c r="F4959" t="inlineStr">
        <is>
          <t>Övriga Aktiebolag</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64800-2023</t>
        </is>
      </c>
      <c r="B4960" s="1" t="n">
        <v>45282</v>
      </c>
      <c r="C4960" s="1" t="n">
        <v>45846</v>
      </c>
      <c r="D4960" t="inlineStr">
        <is>
          <t>UPPSALA LÄN</t>
        </is>
      </c>
      <c r="E4960" t="inlineStr">
        <is>
          <t>ENKÖPING</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64806-2023</t>
        </is>
      </c>
      <c r="B4961" s="1" t="n">
        <v>45282</v>
      </c>
      <c r="C4961" s="1" t="n">
        <v>45846</v>
      </c>
      <c r="D4961" t="inlineStr">
        <is>
          <t>UPPSALA LÄN</t>
        </is>
      </c>
      <c r="E4961" t="inlineStr">
        <is>
          <t>UPPSALA</t>
        </is>
      </c>
      <c r="F4961" t="inlineStr">
        <is>
          <t>Kyrkan</t>
        </is>
      </c>
      <c r="G4961" t="n">
        <v>19.3</v>
      </c>
      <c r="H4961" t="n">
        <v>0</v>
      </c>
      <c r="I4961" t="n">
        <v>0</v>
      </c>
      <c r="J4961" t="n">
        <v>0</v>
      </c>
      <c r="K4961" t="n">
        <v>0</v>
      </c>
      <c r="L4961" t="n">
        <v>0</v>
      </c>
      <c r="M4961" t="n">
        <v>0</v>
      </c>
      <c r="N4961" t="n">
        <v>0</v>
      </c>
      <c r="O4961" t="n">
        <v>0</v>
      </c>
      <c r="P4961" t="n">
        <v>0</v>
      </c>
      <c r="Q4961" t="n">
        <v>0</v>
      </c>
      <c r="R4961" s="2" t="inlineStr"/>
    </row>
    <row r="4962" ht="15" customHeight="1">
      <c r="A4962" t="inlineStr">
        <is>
          <t>A 64880-2023</t>
        </is>
      </c>
      <c r="B4962" s="1" t="n">
        <v>45282</v>
      </c>
      <c r="C4962" s="1" t="n">
        <v>45846</v>
      </c>
      <c r="D4962" t="inlineStr">
        <is>
          <t>UPPSALA LÄN</t>
        </is>
      </c>
      <c r="E4962" t="inlineStr">
        <is>
          <t>UPPSALA</t>
        </is>
      </c>
      <c r="F4962" t="inlineStr">
        <is>
          <t>Kommuner</t>
        </is>
      </c>
      <c r="G4962" t="n">
        <v>5.6</v>
      </c>
      <c r="H4962" t="n">
        <v>0</v>
      </c>
      <c r="I4962" t="n">
        <v>0</v>
      </c>
      <c r="J4962" t="n">
        <v>0</v>
      </c>
      <c r="K4962" t="n">
        <v>0</v>
      </c>
      <c r="L4962" t="n">
        <v>0</v>
      </c>
      <c r="M4962" t="n">
        <v>0</v>
      </c>
      <c r="N4962" t="n">
        <v>0</v>
      </c>
      <c r="O4962" t="n">
        <v>0</v>
      </c>
      <c r="P4962" t="n">
        <v>0</v>
      </c>
      <c r="Q4962" t="n">
        <v>0</v>
      </c>
      <c r="R4962" s="2" t="inlineStr"/>
    </row>
    <row r="4963" ht="15" customHeight="1">
      <c r="A4963" t="inlineStr">
        <is>
          <t>A 64888-2023</t>
        </is>
      </c>
      <c r="B4963" s="1" t="n">
        <v>45282</v>
      </c>
      <c r="C4963" s="1" t="n">
        <v>45846</v>
      </c>
      <c r="D4963" t="inlineStr">
        <is>
          <t>UPPSALA LÄN</t>
        </is>
      </c>
      <c r="E4963" t="inlineStr">
        <is>
          <t>HEBY</t>
        </is>
      </c>
      <c r="G4963" t="n">
        <v>5.9</v>
      </c>
      <c r="H4963" t="n">
        <v>0</v>
      </c>
      <c r="I4963" t="n">
        <v>0</v>
      </c>
      <c r="J4963" t="n">
        <v>0</v>
      </c>
      <c r="K4963" t="n">
        <v>0</v>
      </c>
      <c r="L4963" t="n">
        <v>0</v>
      </c>
      <c r="M4963" t="n">
        <v>0</v>
      </c>
      <c r="N4963" t="n">
        <v>0</v>
      </c>
      <c r="O4963" t="n">
        <v>0</v>
      </c>
      <c r="P4963" t="n">
        <v>0</v>
      </c>
      <c r="Q4963" t="n">
        <v>0</v>
      </c>
      <c r="R4963" s="2" t="inlineStr"/>
    </row>
    <row r="4964" ht="15" customHeight="1">
      <c r="A4964" t="inlineStr">
        <is>
          <t>A 64914-2023</t>
        </is>
      </c>
      <c r="B4964" s="1" t="n">
        <v>45282</v>
      </c>
      <c r="C4964" s="1" t="n">
        <v>45846</v>
      </c>
      <c r="D4964" t="inlineStr">
        <is>
          <t>UPPSALA LÄN</t>
        </is>
      </c>
      <c r="E4964" t="inlineStr">
        <is>
          <t>TIERP</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64911-2023</t>
        </is>
      </c>
      <c r="B4965" s="1" t="n">
        <v>45282</v>
      </c>
      <c r="C4965" s="1" t="n">
        <v>45846</v>
      </c>
      <c r="D4965" t="inlineStr">
        <is>
          <t>UPPSALA LÄN</t>
        </is>
      </c>
      <c r="E4965" t="inlineStr">
        <is>
          <t>TIERP</t>
        </is>
      </c>
      <c r="G4965" t="n">
        <v>5.6</v>
      </c>
      <c r="H4965" t="n">
        <v>0</v>
      </c>
      <c r="I4965" t="n">
        <v>0</v>
      </c>
      <c r="J4965" t="n">
        <v>0</v>
      </c>
      <c r="K4965" t="n">
        <v>0</v>
      </c>
      <c r="L4965" t="n">
        <v>0</v>
      </c>
      <c r="M4965" t="n">
        <v>0</v>
      </c>
      <c r="N4965" t="n">
        <v>0</v>
      </c>
      <c r="O4965" t="n">
        <v>0</v>
      </c>
      <c r="P4965" t="n">
        <v>0</v>
      </c>
      <c r="Q4965" t="n">
        <v>0</v>
      </c>
      <c r="R4965" s="2" t="inlineStr"/>
    </row>
    <row r="4966" ht="15" customHeight="1">
      <c r="A4966" t="inlineStr">
        <is>
          <t>A 65149-2023</t>
        </is>
      </c>
      <c r="B4966" s="1" t="n">
        <v>45288</v>
      </c>
      <c r="C4966" s="1" t="n">
        <v>45846</v>
      </c>
      <c r="D4966" t="inlineStr">
        <is>
          <t>UPPSALA LÄN</t>
        </is>
      </c>
      <c r="E4966" t="inlineStr">
        <is>
          <t>UPPSALA</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17-2024</t>
        </is>
      </c>
      <c r="B4967" s="1" t="n">
        <v>45293</v>
      </c>
      <c r="C4967" s="1" t="n">
        <v>45846</v>
      </c>
      <c r="D4967" t="inlineStr">
        <is>
          <t>UPPSALA LÄN</t>
        </is>
      </c>
      <c r="E4967" t="inlineStr">
        <is>
          <t>HEBY</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15-2024</t>
        </is>
      </c>
      <c r="B4968" s="1" t="n">
        <v>45293</v>
      </c>
      <c r="C4968" s="1" t="n">
        <v>45846</v>
      </c>
      <c r="D4968" t="inlineStr">
        <is>
          <t>UPPSALA LÄN</t>
        </is>
      </c>
      <c r="E4968" t="inlineStr">
        <is>
          <t>HEBY</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45-2024</t>
        </is>
      </c>
      <c r="B4969" s="1" t="n">
        <v>45293</v>
      </c>
      <c r="C4969" s="1" t="n">
        <v>45846</v>
      </c>
      <c r="D4969" t="inlineStr">
        <is>
          <t>UPPSALA LÄN</t>
        </is>
      </c>
      <c r="E4969" t="inlineStr">
        <is>
          <t>UPPSALA</t>
        </is>
      </c>
      <c r="G4969" t="n">
        <v>12.5</v>
      </c>
      <c r="H4969" t="n">
        <v>0</v>
      </c>
      <c r="I4969" t="n">
        <v>0</v>
      </c>
      <c r="J4969" t="n">
        <v>0</v>
      </c>
      <c r="K4969" t="n">
        <v>0</v>
      </c>
      <c r="L4969" t="n">
        <v>0</v>
      </c>
      <c r="M4969" t="n">
        <v>0</v>
      </c>
      <c r="N4969" t="n">
        <v>0</v>
      </c>
      <c r="O4969" t="n">
        <v>0</v>
      </c>
      <c r="P4969" t="n">
        <v>0</v>
      </c>
      <c r="Q4969" t="n">
        <v>0</v>
      </c>
      <c r="R4969" s="2" t="inlineStr"/>
    </row>
    <row r="4970" ht="15" customHeight="1">
      <c r="A4970" t="inlineStr">
        <is>
          <t>A 43-2024</t>
        </is>
      </c>
      <c r="B4970" s="1" t="n">
        <v>45293</v>
      </c>
      <c r="C4970" s="1" t="n">
        <v>45846</v>
      </c>
      <c r="D4970" t="inlineStr">
        <is>
          <t>UPPSALA LÄN</t>
        </is>
      </c>
      <c r="E4970" t="inlineStr">
        <is>
          <t>UPPSALA</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179-2024</t>
        </is>
      </c>
      <c r="B4971" s="1" t="n">
        <v>45294</v>
      </c>
      <c r="C4971" s="1" t="n">
        <v>45846</v>
      </c>
      <c r="D4971" t="inlineStr">
        <is>
          <t>UPPSALA LÄN</t>
        </is>
      </c>
      <c r="E4971" t="inlineStr">
        <is>
          <t>UPPSALA</t>
        </is>
      </c>
      <c r="F4971" t="inlineStr">
        <is>
          <t>Bergvik skog öst AB</t>
        </is>
      </c>
      <c r="G4971" t="n">
        <v>12.7</v>
      </c>
      <c r="H4971" t="n">
        <v>0</v>
      </c>
      <c r="I4971" t="n">
        <v>0</v>
      </c>
      <c r="J4971" t="n">
        <v>0</v>
      </c>
      <c r="K4971" t="n">
        <v>0</v>
      </c>
      <c r="L4971" t="n">
        <v>0</v>
      </c>
      <c r="M4971" t="n">
        <v>0</v>
      </c>
      <c r="N4971" t="n">
        <v>0</v>
      </c>
      <c r="O4971" t="n">
        <v>0</v>
      </c>
      <c r="P4971" t="n">
        <v>0</v>
      </c>
      <c r="Q4971" t="n">
        <v>0</v>
      </c>
      <c r="R4971" s="2" t="inlineStr"/>
    </row>
    <row r="4972" ht="15" customHeight="1">
      <c r="A4972" t="inlineStr">
        <is>
          <t>A 191-2024</t>
        </is>
      </c>
      <c r="B4972" s="1" t="n">
        <v>45294</v>
      </c>
      <c r="C4972" s="1" t="n">
        <v>45846</v>
      </c>
      <c r="D4972" t="inlineStr">
        <is>
          <t>UPPSALA LÄN</t>
        </is>
      </c>
      <c r="E4972" t="inlineStr">
        <is>
          <t>HEBY</t>
        </is>
      </c>
      <c r="F4972" t="inlineStr">
        <is>
          <t>Kommuner</t>
        </is>
      </c>
      <c r="G4972" t="n">
        <v>4.9</v>
      </c>
      <c r="H4972" t="n">
        <v>0</v>
      </c>
      <c r="I4972" t="n">
        <v>0</v>
      </c>
      <c r="J4972" t="n">
        <v>0</v>
      </c>
      <c r="K4972" t="n">
        <v>0</v>
      </c>
      <c r="L4972" t="n">
        <v>0</v>
      </c>
      <c r="M4972" t="n">
        <v>0</v>
      </c>
      <c r="N4972" t="n">
        <v>0</v>
      </c>
      <c r="O4972" t="n">
        <v>0</v>
      </c>
      <c r="P4972" t="n">
        <v>0</v>
      </c>
      <c r="Q4972" t="n">
        <v>0</v>
      </c>
      <c r="R4972" s="2" t="inlineStr"/>
    </row>
    <row r="4973" ht="15" customHeight="1">
      <c r="A4973" t="inlineStr">
        <is>
          <t>A 189-2024</t>
        </is>
      </c>
      <c r="B4973" s="1" t="n">
        <v>45294</v>
      </c>
      <c r="C4973" s="1" t="n">
        <v>45846</v>
      </c>
      <c r="D4973" t="inlineStr">
        <is>
          <t>UPPSALA LÄN</t>
        </is>
      </c>
      <c r="E4973" t="inlineStr">
        <is>
          <t>HEBY</t>
        </is>
      </c>
      <c r="G4973" t="n">
        <v>4.9</v>
      </c>
      <c r="H4973" t="n">
        <v>0</v>
      </c>
      <c r="I4973" t="n">
        <v>0</v>
      </c>
      <c r="J4973" t="n">
        <v>0</v>
      </c>
      <c r="K4973" t="n">
        <v>0</v>
      </c>
      <c r="L4973" t="n">
        <v>0</v>
      </c>
      <c r="M4973" t="n">
        <v>0</v>
      </c>
      <c r="N4973" t="n">
        <v>0</v>
      </c>
      <c r="O4973" t="n">
        <v>0</v>
      </c>
      <c r="P4973" t="n">
        <v>0</v>
      </c>
      <c r="Q4973" t="n">
        <v>0</v>
      </c>
      <c r="R4973" s="2" t="inlineStr"/>
    </row>
    <row r="4974" ht="15" customHeight="1">
      <c r="A4974" t="inlineStr">
        <is>
          <t>A 193-2024</t>
        </is>
      </c>
      <c r="B4974" s="1" t="n">
        <v>45294</v>
      </c>
      <c r="C4974" s="1" t="n">
        <v>45846</v>
      </c>
      <c r="D4974" t="inlineStr">
        <is>
          <t>UPPSALA LÄN</t>
        </is>
      </c>
      <c r="E4974" t="inlineStr">
        <is>
          <t>HEBY</t>
        </is>
      </c>
      <c r="G4974" t="n">
        <v>5.7</v>
      </c>
      <c r="H4974" t="n">
        <v>0</v>
      </c>
      <c r="I4974" t="n">
        <v>0</v>
      </c>
      <c r="J4974" t="n">
        <v>0</v>
      </c>
      <c r="K4974" t="n">
        <v>0</v>
      </c>
      <c r="L4974" t="n">
        <v>0</v>
      </c>
      <c r="M4974" t="n">
        <v>0</v>
      </c>
      <c r="N4974" t="n">
        <v>0</v>
      </c>
      <c r="O4974" t="n">
        <v>0</v>
      </c>
      <c r="P4974" t="n">
        <v>0</v>
      </c>
      <c r="Q4974" t="n">
        <v>0</v>
      </c>
      <c r="R4974" s="2" t="inlineStr"/>
    </row>
    <row r="4975" ht="15" customHeight="1">
      <c r="A4975" t="inlineStr">
        <is>
          <t>A 206-2024</t>
        </is>
      </c>
      <c r="B4975" s="1" t="n">
        <v>45294</v>
      </c>
      <c r="C4975" s="1" t="n">
        <v>45846</v>
      </c>
      <c r="D4975" t="inlineStr">
        <is>
          <t>UPPSALA LÄN</t>
        </is>
      </c>
      <c r="E4975" t="inlineStr">
        <is>
          <t>HEBY</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203-2024</t>
        </is>
      </c>
      <c r="B4976" s="1" t="n">
        <v>45294</v>
      </c>
      <c r="C4976" s="1" t="n">
        <v>45846</v>
      </c>
      <c r="D4976" t="inlineStr">
        <is>
          <t>UPPSALA LÄN</t>
        </is>
      </c>
      <c r="E4976" t="inlineStr">
        <is>
          <t>HEBY</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351-2024</t>
        </is>
      </c>
      <c r="B4977" s="1" t="n">
        <v>45295</v>
      </c>
      <c r="C4977" s="1" t="n">
        <v>45846</v>
      </c>
      <c r="D4977" t="inlineStr">
        <is>
          <t>UPPSALA LÄN</t>
        </is>
      </c>
      <c r="E4977" t="inlineStr">
        <is>
          <t>ENKÖPING</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337-2024</t>
        </is>
      </c>
      <c r="B4978" s="1" t="n">
        <v>45295</v>
      </c>
      <c r="C4978" s="1" t="n">
        <v>45846</v>
      </c>
      <c r="D4978" t="inlineStr">
        <is>
          <t>UPPSALA LÄN</t>
        </is>
      </c>
      <c r="E4978" t="inlineStr">
        <is>
          <t>HEBY</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341-2024</t>
        </is>
      </c>
      <c r="B4979" s="1" t="n">
        <v>45295</v>
      </c>
      <c r="C4979" s="1" t="n">
        <v>45846</v>
      </c>
      <c r="D4979" t="inlineStr">
        <is>
          <t>UPPSALA LÄN</t>
        </is>
      </c>
      <c r="E4979" t="inlineStr">
        <is>
          <t>UPPSALA</t>
        </is>
      </c>
      <c r="F4979" t="inlineStr">
        <is>
          <t>Allmännings- och besparingsskogar</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358-2024</t>
        </is>
      </c>
      <c r="B4980" s="1" t="n">
        <v>45295</v>
      </c>
      <c r="C4980" s="1" t="n">
        <v>45846</v>
      </c>
      <c r="D4980" t="inlineStr">
        <is>
          <t>UPPSALA LÄN</t>
        </is>
      </c>
      <c r="E4980" t="inlineStr">
        <is>
          <t>UPPSALA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352-2024</t>
        </is>
      </c>
      <c r="B4981" s="1" t="n">
        <v>45295</v>
      </c>
      <c r="C4981" s="1" t="n">
        <v>45846</v>
      </c>
      <c r="D4981" t="inlineStr">
        <is>
          <t>UPPSALA LÄN</t>
        </is>
      </c>
      <c r="E4981" t="inlineStr">
        <is>
          <t>ENKÖPING</t>
        </is>
      </c>
      <c r="G4981" t="n">
        <v>3.9</v>
      </c>
      <c r="H4981" t="n">
        <v>0</v>
      </c>
      <c r="I4981" t="n">
        <v>0</v>
      </c>
      <c r="J4981" t="n">
        <v>0</v>
      </c>
      <c r="K4981" t="n">
        <v>0</v>
      </c>
      <c r="L4981" t="n">
        <v>0</v>
      </c>
      <c r="M4981" t="n">
        <v>0</v>
      </c>
      <c r="N4981" t="n">
        <v>0</v>
      </c>
      <c r="O4981" t="n">
        <v>0</v>
      </c>
      <c r="P4981" t="n">
        <v>0</v>
      </c>
      <c r="Q4981" t="n">
        <v>0</v>
      </c>
      <c r="R4981" s="2" t="inlineStr"/>
    </row>
    <row r="4982" ht="15" customHeight="1">
      <c r="A4982" t="inlineStr">
        <is>
          <t>A 353-2024</t>
        </is>
      </c>
      <c r="B4982" s="1" t="n">
        <v>45295</v>
      </c>
      <c r="C4982" s="1" t="n">
        <v>45846</v>
      </c>
      <c r="D4982" t="inlineStr">
        <is>
          <t>UPPSALA LÄN</t>
        </is>
      </c>
      <c r="E4982" t="inlineStr">
        <is>
          <t>ENKÖPING</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422-2024</t>
        </is>
      </c>
      <c r="B4983" s="1" t="n">
        <v>45296</v>
      </c>
      <c r="C4983" s="1" t="n">
        <v>45846</v>
      </c>
      <c r="D4983" t="inlineStr">
        <is>
          <t>UPPSALA LÄN</t>
        </is>
      </c>
      <c r="E4983" t="inlineStr">
        <is>
          <t>ENKÖPING</t>
        </is>
      </c>
      <c r="G4983" t="n">
        <v>4.6</v>
      </c>
      <c r="H4983" t="n">
        <v>0</v>
      </c>
      <c r="I4983" t="n">
        <v>0</v>
      </c>
      <c r="J4983" t="n">
        <v>0</v>
      </c>
      <c r="K4983" t="n">
        <v>0</v>
      </c>
      <c r="L4983" t="n">
        <v>0</v>
      </c>
      <c r="M4983" t="n">
        <v>0</v>
      </c>
      <c r="N4983" t="n">
        <v>0</v>
      </c>
      <c r="O4983" t="n">
        <v>0</v>
      </c>
      <c r="P4983" t="n">
        <v>0</v>
      </c>
      <c r="Q4983" t="n">
        <v>0</v>
      </c>
      <c r="R4983" s="2" t="inlineStr"/>
    </row>
    <row r="4984" ht="15" customHeight="1">
      <c r="A4984" t="inlineStr">
        <is>
          <t>A 446-2024</t>
        </is>
      </c>
      <c r="B4984" s="1" t="n">
        <v>45296</v>
      </c>
      <c r="C4984" s="1" t="n">
        <v>45846</v>
      </c>
      <c r="D4984" t="inlineStr">
        <is>
          <t>UPPSALA LÄN</t>
        </is>
      </c>
      <c r="E4984" t="inlineStr">
        <is>
          <t>UPPSALA</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408-2024</t>
        </is>
      </c>
      <c r="B4985" s="1" t="n">
        <v>45296</v>
      </c>
      <c r="C4985" s="1" t="n">
        <v>45846</v>
      </c>
      <c r="D4985" t="inlineStr">
        <is>
          <t>UPPSALA LÄN</t>
        </is>
      </c>
      <c r="E4985" t="inlineStr">
        <is>
          <t>TIERP</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420-2024</t>
        </is>
      </c>
      <c r="B4986" s="1" t="n">
        <v>45296</v>
      </c>
      <c r="C4986" s="1" t="n">
        <v>45846</v>
      </c>
      <c r="D4986" t="inlineStr">
        <is>
          <t>UPPSALA LÄN</t>
        </is>
      </c>
      <c r="E4986" t="inlineStr">
        <is>
          <t>ENKÖPING</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429-2024</t>
        </is>
      </c>
      <c r="B4987" s="1" t="n">
        <v>45296</v>
      </c>
      <c r="C4987" s="1" t="n">
        <v>45846</v>
      </c>
      <c r="D4987" t="inlineStr">
        <is>
          <t>UPPSALA LÄN</t>
        </is>
      </c>
      <c r="E4987" t="inlineStr">
        <is>
          <t>TIERP</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449-2024</t>
        </is>
      </c>
      <c r="B4988" s="1" t="n">
        <v>45296</v>
      </c>
      <c r="C4988" s="1" t="n">
        <v>45846</v>
      </c>
      <c r="D4988" t="inlineStr">
        <is>
          <t>UPPSALA LÄN</t>
        </is>
      </c>
      <c r="E4988" t="inlineStr">
        <is>
          <t>UPPSALA</t>
        </is>
      </c>
      <c r="G4988" t="n">
        <v>1</v>
      </c>
      <c r="H4988" t="n">
        <v>0</v>
      </c>
      <c r="I4988" t="n">
        <v>0</v>
      </c>
      <c r="J4988" t="n">
        <v>0</v>
      </c>
      <c r="K4988" t="n">
        <v>0</v>
      </c>
      <c r="L4988" t="n">
        <v>0</v>
      </c>
      <c r="M4988" t="n">
        <v>0</v>
      </c>
      <c r="N4988" t="n">
        <v>0</v>
      </c>
      <c r="O4988" t="n">
        <v>0</v>
      </c>
      <c r="P4988" t="n">
        <v>0</v>
      </c>
      <c r="Q4988" t="n">
        <v>0</v>
      </c>
      <c r="R4988" s="2" t="inlineStr"/>
      <c r="U4988">
        <f>HYPERLINK("https://klasma.github.io/Logging_0380/knärot/A 449-2024 karta knärot.png", "A 449-2024")</f>
        <v/>
      </c>
      <c r="V4988">
        <f>HYPERLINK("https://klasma.github.io/Logging_0380/klagomål/A 449-2024 FSC-klagomål.docx", "A 449-2024")</f>
        <v/>
      </c>
      <c r="W4988">
        <f>HYPERLINK("https://klasma.github.io/Logging_0380/klagomålsmail/A 449-2024 FSC-klagomål mail.docx", "A 449-2024")</f>
        <v/>
      </c>
      <c r="X4988">
        <f>HYPERLINK("https://klasma.github.io/Logging_0380/tillsyn/A 449-2024 tillsynsbegäran.docx", "A 449-2024")</f>
        <v/>
      </c>
      <c r="Y4988">
        <f>HYPERLINK("https://klasma.github.io/Logging_0380/tillsynsmail/A 449-2024 tillsynsbegäran mail.docx", "A 449-2024")</f>
        <v/>
      </c>
    </row>
    <row r="4989" ht="15" customHeight="1">
      <c r="A4989" t="inlineStr">
        <is>
          <t>A 582-2024</t>
        </is>
      </c>
      <c r="B4989" s="1" t="n">
        <v>45299</v>
      </c>
      <c r="C4989" s="1" t="n">
        <v>45846</v>
      </c>
      <c r="D4989" t="inlineStr">
        <is>
          <t>UPPSALA LÄN</t>
        </is>
      </c>
      <c r="E4989" t="inlineStr">
        <is>
          <t>ENKÖPING</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580-2024</t>
        </is>
      </c>
      <c r="B4990" s="1" t="n">
        <v>45299</v>
      </c>
      <c r="C4990" s="1" t="n">
        <v>45846</v>
      </c>
      <c r="D4990" t="inlineStr">
        <is>
          <t>UPPSALA LÄN</t>
        </is>
      </c>
      <c r="E4990" t="inlineStr">
        <is>
          <t>ENKÖPING</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600-2024</t>
        </is>
      </c>
      <c r="B4991" s="1" t="n">
        <v>45299</v>
      </c>
      <c r="C4991" s="1" t="n">
        <v>45846</v>
      </c>
      <c r="D4991" t="inlineStr">
        <is>
          <t>UPPSALA LÄN</t>
        </is>
      </c>
      <c r="E4991" t="inlineStr">
        <is>
          <t>UPPSALA</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787-2024</t>
        </is>
      </c>
      <c r="B4992" s="1" t="n">
        <v>45300</v>
      </c>
      <c r="C4992" s="1" t="n">
        <v>45846</v>
      </c>
      <c r="D4992" t="inlineStr">
        <is>
          <t>UPPSALA LÄN</t>
        </is>
      </c>
      <c r="E4992" t="inlineStr">
        <is>
          <t>UPPSALA</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784-2024</t>
        </is>
      </c>
      <c r="B4993" s="1" t="n">
        <v>45300</v>
      </c>
      <c r="C4993" s="1" t="n">
        <v>45846</v>
      </c>
      <c r="D4993" t="inlineStr">
        <is>
          <t>UPPSALA LÄN</t>
        </is>
      </c>
      <c r="E4993" t="inlineStr">
        <is>
          <t>UPPSALA</t>
        </is>
      </c>
      <c r="G4993" t="n">
        <v>6.6</v>
      </c>
      <c r="H4993" t="n">
        <v>0</v>
      </c>
      <c r="I4993" t="n">
        <v>0</v>
      </c>
      <c r="J4993" t="n">
        <v>0</v>
      </c>
      <c r="K4993" t="n">
        <v>0</v>
      </c>
      <c r="L4993" t="n">
        <v>0</v>
      </c>
      <c r="M4993" t="n">
        <v>0</v>
      </c>
      <c r="N4993" t="n">
        <v>0</v>
      </c>
      <c r="O4993" t="n">
        <v>0</v>
      </c>
      <c r="P4993" t="n">
        <v>0</v>
      </c>
      <c r="Q4993" t="n">
        <v>0</v>
      </c>
      <c r="R4993" s="2" t="inlineStr"/>
    </row>
    <row r="4994" ht="15" customHeight="1">
      <c r="A4994" t="inlineStr">
        <is>
          <t>A 792-2024</t>
        </is>
      </c>
      <c r="B4994" s="1" t="n">
        <v>45300</v>
      </c>
      <c r="C4994" s="1" t="n">
        <v>45846</v>
      </c>
      <c r="D4994" t="inlineStr">
        <is>
          <t>UPPSALA LÄN</t>
        </is>
      </c>
      <c r="E4994" t="inlineStr">
        <is>
          <t>KNIVSTA</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781-2024</t>
        </is>
      </c>
      <c r="B4995" s="1" t="n">
        <v>45300</v>
      </c>
      <c r="C4995" s="1" t="n">
        <v>45846</v>
      </c>
      <c r="D4995" t="inlineStr">
        <is>
          <t>UPPSALA LÄN</t>
        </is>
      </c>
      <c r="E4995" t="inlineStr">
        <is>
          <t>UPPSALA</t>
        </is>
      </c>
      <c r="G4995" t="n">
        <v>6.3</v>
      </c>
      <c r="H4995" t="n">
        <v>0</v>
      </c>
      <c r="I4995" t="n">
        <v>0</v>
      </c>
      <c r="J4995" t="n">
        <v>0</v>
      </c>
      <c r="K4995" t="n">
        <v>0</v>
      </c>
      <c r="L4995" t="n">
        <v>0</v>
      </c>
      <c r="M4995" t="n">
        <v>0</v>
      </c>
      <c r="N4995" t="n">
        <v>0</v>
      </c>
      <c r="O4995" t="n">
        <v>0</v>
      </c>
      <c r="P4995" t="n">
        <v>0</v>
      </c>
      <c r="Q4995" t="n">
        <v>0</v>
      </c>
      <c r="R4995" s="2" t="inlineStr"/>
    </row>
    <row r="4996" ht="15" customHeight="1">
      <c r="A4996" t="inlineStr">
        <is>
          <t>A 794-2024</t>
        </is>
      </c>
      <c r="B4996" s="1" t="n">
        <v>45300</v>
      </c>
      <c r="C4996" s="1" t="n">
        <v>45846</v>
      </c>
      <c r="D4996" t="inlineStr">
        <is>
          <t>UPPSALA LÄN</t>
        </is>
      </c>
      <c r="E4996" t="inlineStr">
        <is>
          <t>KNIVSTA</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895-2024</t>
        </is>
      </c>
      <c r="B4997" s="1" t="n">
        <v>45301</v>
      </c>
      <c r="C4997" s="1" t="n">
        <v>45846</v>
      </c>
      <c r="D4997" t="inlineStr">
        <is>
          <t>UPPSALA LÄN</t>
        </is>
      </c>
      <c r="E4997" t="inlineStr">
        <is>
          <t>ÄLVKARLEBY</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967-2024</t>
        </is>
      </c>
      <c r="B4998" s="1" t="n">
        <v>45301</v>
      </c>
      <c r="C4998" s="1" t="n">
        <v>45846</v>
      </c>
      <c r="D4998" t="inlineStr">
        <is>
          <t>UPPSALA LÄN</t>
        </is>
      </c>
      <c r="E4998" t="inlineStr">
        <is>
          <t>TIERP</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953-2024</t>
        </is>
      </c>
      <c r="B4999" s="1" t="n">
        <v>45301</v>
      </c>
      <c r="C4999" s="1" t="n">
        <v>45846</v>
      </c>
      <c r="D4999" t="inlineStr">
        <is>
          <t>UPPSALA LÄN</t>
        </is>
      </c>
      <c r="E4999" t="inlineStr">
        <is>
          <t>TIERP</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986-2024</t>
        </is>
      </c>
      <c r="B5000" s="1" t="n">
        <v>45301</v>
      </c>
      <c r="C5000" s="1" t="n">
        <v>45846</v>
      </c>
      <c r="D5000" t="inlineStr">
        <is>
          <t>UPPSALA LÄN</t>
        </is>
      </c>
      <c r="E5000" t="inlineStr">
        <is>
          <t>TIERP</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996-2024</t>
        </is>
      </c>
      <c r="B5001" s="1" t="n">
        <v>45301</v>
      </c>
      <c r="C5001" s="1" t="n">
        <v>45846</v>
      </c>
      <c r="D5001" t="inlineStr">
        <is>
          <t>UPPSALA LÄN</t>
        </is>
      </c>
      <c r="E5001" t="inlineStr">
        <is>
          <t>ÄLVKARLEBY</t>
        </is>
      </c>
      <c r="F5001" t="inlineStr">
        <is>
          <t>Bergvik skog väst AB</t>
        </is>
      </c>
      <c r="G5001" t="n">
        <v>5.6</v>
      </c>
      <c r="H5001" t="n">
        <v>0</v>
      </c>
      <c r="I5001" t="n">
        <v>0</v>
      </c>
      <c r="J5001" t="n">
        <v>0</v>
      </c>
      <c r="K5001" t="n">
        <v>0</v>
      </c>
      <c r="L5001" t="n">
        <v>0</v>
      </c>
      <c r="M5001" t="n">
        <v>0</v>
      </c>
      <c r="N5001" t="n">
        <v>0</v>
      </c>
      <c r="O5001" t="n">
        <v>0</v>
      </c>
      <c r="P5001" t="n">
        <v>0</v>
      </c>
      <c r="Q5001" t="n">
        <v>0</v>
      </c>
      <c r="R5001" s="2" t="inlineStr"/>
    </row>
    <row r="5002" ht="15" customHeight="1">
      <c r="A5002" t="inlineStr">
        <is>
          <t>A 1160-2024</t>
        </is>
      </c>
      <c r="B5002" s="1" t="n">
        <v>45302</v>
      </c>
      <c r="C5002" s="1" t="n">
        <v>45846</v>
      </c>
      <c r="D5002" t="inlineStr">
        <is>
          <t>UPPSALA LÄN</t>
        </is>
      </c>
      <c r="E5002" t="inlineStr">
        <is>
          <t>HEBY</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1536-2024</t>
        </is>
      </c>
      <c r="B5003" s="1" t="n">
        <v>45306</v>
      </c>
      <c r="C5003" s="1" t="n">
        <v>45846</v>
      </c>
      <c r="D5003" t="inlineStr">
        <is>
          <t>UPPSALA LÄN</t>
        </is>
      </c>
      <c r="E5003" t="inlineStr">
        <is>
          <t>ENKÖPING</t>
        </is>
      </c>
      <c r="F5003" t="inlineStr">
        <is>
          <t>Kyrkan</t>
        </is>
      </c>
      <c r="G5003" t="n">
        <v>5.6</v>
      </c>
      <c r="H5003" t="n">
        <v>0</v>
      </c>
      <c r="I5003" t="n">
        <v>0</v>
      </c>
      <c r="J5003" t="n">
        <v>0</v>
      </c>
      <c r="K5003" t="n">
        <v>0</v>
      </c>
      <c r="L5003" t="n">
        <v>0</v>
      </c>
      <c r="M5003" t="n">
        <v>0</v>
      </c>
      <c r="N5003" t="n">
        <v>0</v>
      </c>
      <c r="O5003" t="n">
        <v>0</v>
      </c>
      <c r="P5003" t="n">
        <v>0</v>
      </c>
      <c r="Q5003" t="n">
        <v>0</v>
      </c>
      <c r="R5003" s="2" t="inlineStr"/>
    </row>
    <row r="5004" ht="15" customHeight="1">
      <c r="A5004" t="inlineStr">
        <is>
          <t>A 1629-2024</t>
        </is>
      </c>
      <c r="B5004" s="1" t="n">
        <v>45306</v>
      </c>
      <c r="C5004" s="1" t="n">
        <v>45846</v>
      </c>
      <c r="D5004" t="inlineStr">
        <is>
          <t>UPPSALA LÄN</t>
        </is>
      </c>
      <c r="E5004" t="inlineStr">
        <is>
          <t>KNIVSTA</t>
        </is>
      </c>
      <c r="F5004" t="inlineStr">
        <is>
          <t>Holmen skog AB</t>
        </is>
      </c>
      <c r="G5004" t="n">
        <v>3.6</v>
      </c>
      <c r="H5004" t="n">
        <v>0</v>
      </c>
      <c r="I5004" t="n">
        <v>0</v>
      </c>
      <c r="J5004" t="n">
        <v>0</v>
      </c>
      <c r="K5004" t="n">
        <v>0</v>
      </c>
      <c r="L5004" t="n">
        <v>0</v>
      </c>
      <c r="M5004" t="n">
        <v>0</v>
      </c>
      <c r="N5004" t="n">
        <v>0</v>
      </c>
      <c r="O5004" t="n">
        <v>0</v>
      </c>
      <c r="P5004" t="n">
        <v>0</v>
      </c>
      <c r="Q5004" t="n">
        <v>0</v>
      </c>
      <c r="R5004" s="2" t="inlineStr"/>
    </row>
    <row r="5005" ht="15" customHeight="1">
      <c r="A5005" t="inlineStr">
        <is>
          <t>A 1651-2024</t>
        </is>
      </c>
      <c r="B5005" s="1" t="n">
        <v>45306</v>
      </c>
      <c r="C5005" s="1" t="n">
        <v>45846</v>
      </c>
      <c r="D5005" t="inlineStr">
        <is>
          <t>UPPSALA LÄN</t>
        </is>
      </c>
      <c r="E5005" t="inlineStr">
        <is>
          <t>ENKÖPING</t>
        </is>
      </c>
      <c r="G5005" t="n">
        <v>10.2</v>
      </c>
      <c r="H5005" t="n">
        <v>0</v>
      </c>
      <c r="I5005" t="n">
        <v>0</v>
      </c>
      <c r="J5005" t="n">
        <v>0</v>
      </c>
      <c r="K5005" t="n">
        <v>0</v>
      </c>
      <c r="L5005" t="n">
        <v>0</v>
      </c>
      <c r="M5005" t="n">
        <v>0</v>
      </c>
      <c r="N5005" t="n">
        <v>0</v>
      </c>
      <c r="O5005" t="n">
        <v>0</v>
      </c>
      <c r="P5005" t="n">
        <v>0</v>
      </c>
      <c r="Q5005" t="n">
        <v>0</v>
      </c>
      <c r="R5005" s="2" t="inlineStr"/>
    </row>
    <row r="5006" ht="15" customHeight="1">
      <c r="A5006" t="inlineStr">
        <is>
          <t>A 1692-2024</t>
        </is>
      </c>
      <c r="B5006" s="1" t="n">
        <v>45307</v>
      </c>
      <c r="C5006" s="1" t="n">
        <v>45846</v>
      </c>
      <c r="D5006" t="inlineStr">
        <is>
          <t>UPPSALA LÄN</t>
        </is>
      </c>
      <c r="E5006" t="inlineStr">
        <is>
          <t>TIERP</t>
        </is>
      </c>
      <c r="G5006" t="n">
        <v>4.5</v>
      </c>
      <c r="H5006" t="n">
        <v>0</v>
      </c>
      <c r="I5006" t="n">
        <v>0</v>
      </c>
      <c r="J5006" t="n">
        <v>0</v>
      </c>
      <c r="K5006" t="n">
        <v>0</v>
      </c>
      <c r="L5006" t="n">
        <v>0</v>
      </c>
      <c r="M5006" t="n">
        <v>0</v>
      </c>
      <c r="N5006" t="n">
        <v>0</v>
      </c>
      <c r="O5006" t="n">
        <v>0</v>
      </c>
      <c r="P5006" t="n">
        <v>0</v>
      </c>
      <c r="Q5006" t="n">
        <v>0</v>
      </c>
      <c r="R5006" s="2" t="inlineStr"/>
    </row>
    <row r="5007" ht="15" customHeight="1">
      <c r="A5007" t="inlineStr">
        <is>
          <t>A 1825-2024</t>
        </is>
      </c>
      <c r="B5007" s="1" t="n">
        <v>45307</v>
      </c>
      <c r="C5007" s="1" t="n">
        <v>45846</v>
      </c>
      <c r="D5007" t="inlineStr">
        <is>
          <t>UPPSALA LÄN</t>
        </is>
      </c>
      <c r="E5007" t="inlineStr">
        <is>
          <t>UPPSALA</t>
        </is>
      </c>
      <c r="G5007" t="n">
        <v>4.2</v>
      </c>
      <c r="H5007" t="n">
        <v>0</v>
      </c>
      <c r="I5007" t="n">
        <v>0</v>
      </c>
      <c r="J5007" t="n">
        <v>0</v>
      </c>
      <c r="K5007" t="n">
        <v>0</v>
      </c>
      <c r="L5007" t="n">
        <v>0</v>
      </c>
      <c r="M5007" t="n">
        <v>0</v>
      </c>
      <c r="N5007" t="n">
        <v>0</v>
      </c>
      <c r="O5007" t="n">
        <v>0</v>
      </c>
      <c r="P5007" t="n">
        <v>0</v>
      </c>
      <c r="Q5007" t="n">
        <v>0</v>
      </c>
      <c r="R5007" s="2" t="inlineStr"/>
    </row>
    <row r="5008" ht="15" customHeight="1">
      <c r="A5008" t="inlineStr">
        <is>
          <t>A 1806-2024</t>
        </is>
      </c>
      <c r="B5008" s="1" t="n">
        <v>45307</v>
      </c>
      <c r="C5008" s="1" t="n">
        <v>45846</v>
      </c>
      <c r="D5008" t="inlineStr">
        <is>
          <t>UPPSALA LÄN</t>
        </is>
      </c>
      <c r="E5008" t="inlineStr">
        <is>
          <t>UPPSALA</t>
        </is>
      </c>
      <c r="F5008" t="inlineStr">
        <is>
          <t>Holmen skog AB</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1787-2024</t>
        </is>
      </c>
      <c r="B5009" s="1" t="n">
        <v>45307</v>
      </c>
      <c r="C5009" s="1" t="n">
        <v>45846</v>
      </c>
      <c r="D5009" t="inlineStr">
        <is>
          <t>UPPSALA LÄN</t>
        </is>
      </c>
      <c r="E5009" t="inlineStr">
        <is>
          <t>KNIVSTA</t>
        </is>
      </c>
      <c r="G5009" t="n">
        <v>7.7</v>
      </c>
      <c r="H5009" t="n">
        <v>0</v>
      </c>
      <c r="I5009" t="n">
        <v>0</v>
      </c>
      <c r="J5009" t="n">
        <v>0</v>
      </c>
      <c r="K5009" t="n">
        <v>0</v>
      </c>
      <c r="L5009" t="n">
        <v>0</v>
      </c>
      <c r="M5009" t="n">
        <v>0</v>
      </c>
      <c r="N5009" t="n">
        <v>0</v>
      </c>
      <c r="O5009" t="n">
        <v>0</v>
      </c>
      <c r="P5009" t="n">
        <v>0</v>
      </c>
      <c r="Q5009" t="n">
        <v>0</v>
      </c>
      <c r="R5009" s="2" t="inlineStr"/>
    </row>
    <row r="5010" ht="15" customHeight="1">
      <c r="A5010" t="inlineStr">
        <is>
          <t>A 1791-2024</t>
        </is>
      </c>
      <c r="B5010" s="1" t="n">
        <v>45307</v>
      </c>
      <c r="C5010" s="1" t="n">
        <v>45846</v>
      </c>
      <c r="D5010" t="inlineStr">
        <is>
          <t>UPPSALA LÄN</t>
        </is>
      </c>
      <c r="E5010" t="inlineStr">
        <is>
          <t>KNIVSTA</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1793-2024</t>
        </is>
      </c>
      <c r="B5011" s="1" t="n">
        <v>45307</v>
      </c>
      <c r="C5011" s="1" t="n">
        <v>45846</v>
      </c>
      <c r="D5011" t="inlineStr">
        <is>
          <t>UPPSALA LÄN</t>
        </is>
      </c>
      <c r="E5011" t="inlineStr">
        <is>
          <t>HEBY</t>
        </is>
      </c>
      <c r="G5011" t="n">
        <v>7.5</v>
      </c>
      <c r="H5011" t="n">
        <v>0</v>
      </c>
      <c r="I5011" t="n">
        <v>0</v>
      </c>
      <c r="J5011" t="n">
        <v>0</v>
      </c>
      <c r="K5011" t="n">
        <v>0</v>
      </c>
      <c r="L5011" t="n">
        <v>0</v>
      </c>
      <c r="M5011" t="n">
        <v>0</v>
      </c>
      <c r="N5011" t="n">
        <v>0</v>
      </c>
      <c r="O5011" t="n">
        <v>0</v>
      </c>
      <c r="P5011" t="n">
        <v>0</v>
      </c>
      <c r="Q5011" t="n">
        <v>0</v>
      </c>
      <c r="R5011" s="2" t="inlineStr"/>
    </row>
    <row r="5012" ht="15" customHeight="1">
      <c r="A5012" t="inlineStr">
        <is>
          <t>A 1838-2024</t>
        </is>
      </c>
      <c r="B5012" s="1" t="n">
        <v>45307</v>
      </c>
      <c r="C5012" s="1" t="n">
        <v>45846</v>
      </c>
      <c r="D5012" t="inlineStr">
        <is>
          <t>UPPSALA LÄN</t>
        </is>
      </c>
      <c r="E5012" t="inlineStr">
        <is>
          <t>UPPSALA</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1994-2024</t>
        </is>
      </c>
      <c r="B5013" s="1" t="n">
        <v>45308</v>
      </c>
      <c r="C5013" s="1" t="n">
        <v>45846</v>
      </c>
      <c r="D5013" t="inlineStr">
        <is>
          <t>UPPSALA LÄN</t>
        </is>
      </c>
      <c r="E5013" t="inlineStr">
        <is>
          <t>UPPSALA</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1951-2024</t>
        </is>
      </c>
      <c r="B5014" s="1" t="n">
        <v>45308</v>
      </c>
      <c r="C5014" s="1" t="n">
        <v>45846</v>
      </c>
      <c r="D5014" t="inlineStr">
        <is>
          <t>UPPSALA LÄN</t>
        </is>
      </c>
      <c r="E5014" t="inlineStr">
        <is>
          <t>TIERP</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2007-2024</t>
        </is>
      </c>
      <c r="B5015" s="1" t="n">
        <v>45308</v>
      </c>
      <c r="C5015" s="1" t="n">
        <v>45846</v>
      </c>
      <c r="D5015" t="inlineStr">
        <is>
          <t>UPPSALA LÄN</t>
        </is>
      </c>
      <c r="E5015" t="inlineStr">
        <is>
          <t>HEBY</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2011-2024</t>
        </is>
      </c>
      <c r="B5016" s="1" t="n">
        <v>45308</v>
      </c>
      <c r="C5016" s="1" t="n">
        <v>45846</v>
      </c>
      <c r="D5016" t="inlineStr">
        <is>
          <t>UPPSALA LÄN</t>
        </is>
      </c>
      <c r="E5016" t="inlineStr">
        <is>
          <t>TIERP</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2182-2024</t>
        </is>
      </c>
      <c r="B5017" s="1" t="n">
        <v>45309</v>
      </c>
      <c r="C5017" s="1" t="n">
        <v>45846</v>
      </c>
      <c r="D5017" t="inlineStr">
        <is>
          <t>UPPSALA LÄN</t>
        </is>
      </c>
      <c r="E5017" t="inlineStr">
        <is>
          <t>KNIVSTA</t>
        </is>
      </c>
      <c r="F5017" t="inlineStr">
        <is>
          <t>Holmen skog AB</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2190-2024</t>
        </is>
      </c>
      <c r="B5018" s="1" t="n">
        <v>45309</v>
      </c>
      <c r="C5018" s="1" t="n">
        <v>45846</v>
      </c>
      <c r="D5018" t="inlineStr">
        <is>
          <t>UPPSALA LÄN</t>
        </is>
      </c>
      <c r="E5018" t="inlineStr">
        <is>
          <t>KNIVSTA</t>
        </is>
      </c>
      <c r="F5018" t="inlineStr">
        <is>
          <t>Holmen skog AB</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2171-2024</t>
        </is>
      </c>
      <c r="B5019" s="1" t="n">
        <v>45309</v>
      </c>
      <c r="C5019" s="1" t="n">
        <v>45846</v>
      </c>
      <c r="D5019" t="inlineStr">
        <is>
          <t>UPPSALA LÄN</t>
        </is>
      </c>
      <c r="E5019" t="inlineStr">
        <is>
          <t>KNIVSTA</t>
        </is>
      </c>
      <c r="F5019" t="inlineStr">
        <is>
          <t>Holmen skog AB</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2183-2024</t>
        </is>
      </c>
      <c r="B5020" s="1" t="n">
        <v>45309</v>
      </c>
      <c r="C5020" s="1" t="n">
        <v>45846</v>
      </c>
      <c r="D5020" t="inlineStr">
        <is>
          <t>UPPSALA LÄN</t>
        </is>
      </c>
      <c r="E5020" t="inlineStr">
        <is>
          <t>ÄLVKARLEBY</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2169-2024</t>
        </is>
      </c>
      <c r="B5021" s="1" t="n">
        <v>45309</v>
      </c>
      <c r="C5021" s="1" t="n">
        <v>45846</v>
      </c>
      <c r="D5021" t="inlineStr">
        <is>
          <t>UPPSALA LÄN</t>
        </is>
      </c>
      <c r="E5021" t="inlineStr">
        <is>
          <t>KNIVSTA</t>
        </is>
      </c>
      <c r="F5021" t="inlineStr">
        <is>
          <t>Holmen skog AB</t>
        </is>
      </c>
      <c r="G5021" t="n">
        <v>3.3</v>
      </c>
      <c r="H5021" t="n">
        <v>0</v>
      </c>
      <c r="I5021" t="n">
        <v>0</v>
      </c>
      <c r="J5021" t="n">
        <v>0</v>
      </c>
      <c r="K5021" t="n">
        <v>0</v>
      </c>
      <c r="L5021" t="n">
        <v>0</v>
      </c>
      <c r="M5021" t="n">
        <v>0</v>
      </c>
      <c r="N5021" t="n">
        <v>0</v>
      </c>
      <c r="O5021" t="n">
        <v>0</v>
      </c>
      <c r="P5021" t="n">
        <v>0</v>
      </c>
      <c r="Q5021" t="n">
        <v>0</v>
      </c>
      <c r="R5021" s="2" t="inlineStr"/>
    </row>
    <row r="5022" ht="15" customHeight="1">
      <c r="A5022" t="inlineStr">
        <is>
          <t>A 2184-2024</t>
        </is>
      </c>
      <c r="B5022" s="1" t="n">
        <v>45309</v>
      </c>
      <c r="C5022" s="1" t="n">
        <v>45846</v>
      </c>
      <c r="D5022" t="inlineStr">
        <is>
          <t>UPPSALA LÄN</t>
        </is>
      </c>
      <c r="E5022" t="inlineStr">
        <is>
          <t>ÄLVKARLEBY</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2188-2024</t>
        </is>
      </c>
      <c r="B5023" s="1" t="n">
        <v>45309</v>
      </c>
      <c r="C5023" s="1" t="n">
        <v>45846</v>
      </c>
      <c r="D5023" t="inlineStr">
        <is>
          <t>UPPSALA LÄN</t>
        </is>
      </c>
      <c r="E5023" t="inlineStr">
        <is>
          <t>KNIVSTA</t>
        </is>
      </c>
      <c r="F5023" t="inlineStr">
        <is>
          <t>Holmen skog AB</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2221-2024</t>
        </is>
      </c>
      <c r="B5024" s="1" t="n">
        <v>45309</v>
      </c>
      <c r="C5024" s="1" t="n">
        <v>45846</v>
      </c>
      <c r="D5024" t="inlineStr">
        <is>
          <t>UPPSALA LÄN</t>
        </is>
      </c>
      <c r="E5024" t="inlineStr">
        <is>
          <t>ENKÖPING</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2322-2024</t>
        </is>
      </c>
      <c r="B5025" s="1" t="n">
        <v>45309</v>
      </c>
      <c r="C5025" s="1" t="n">
        <v>45846</v>
      </c>
      <c r="D5025" t="inlineStr">
        <is>
          <t>UPPSALA LÄN</t>
        </is>
      </c>
      <c r="E5025" t="inlineStr">
        <is>
          <t>ENKÖPING</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2301-2024</t>
        </is>
      </c>
      <c r="B5026" s="1" t="n">
        <v>45310</v>
      </c>
      <c r="C5026" s="1" t="n">
        <v>45846</v>
      </c>
      <c r="D5026" t="inlineStr">
        <is>
          <t>UPPSALA LÄN</t>
        </is>
      </c>
      <c r="E5026" t="inlineStr">
        <is>
          <t>TIERP</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2294-2024</t>
        </is>
      </c>
      <c r="B5027" s="1" t="n">
        <v>45310</v>
      </c>
      <c r="C5027" s="1" t="n">
        <v>45846</v>
      </c>
      <c r="D5027" t="inlineStr">
        <is>
          <t>UPPSALA LÄN</t>
        </is>
      </c>
      <c r="E5027" t="inlineStr">
        <is>
          <t>UPPSALA</t>
        </is>
      </c>
      <c r="F5027" t="inlineStr">
        <is>
          <t>Allmännings- och besparingsskogar</t>
        </is>
      </c>
      <c r="G5027" t="n">
        <v>6</v>
      </c>
      <c r="H5027" t="n">
        <v>0</v>
      </c>
      <c r="I5027" t="n">
        <v>0</v>
      </c>
      <c r="J5027" t="n">
        <v>0</v>
      </c>
      <c r="K5027" t="n">
        <v>0</v>
      </c>
      <c r="L5027" t="n">
        <v>0</v>
      </c>
      <c r="M5027" t="n">
        <v>0</v>
      </c>
      <c r="N5027" t="n">
        <v>0</v>
      </c>
      <c r="O5027" t="n">
        <v>0</v>
      </c>
      <c r="P5027" t="n">
        <v>0</v>
      </c>
      <c r="Q5027" t="n">
        <v>0</v>
      </c>
      <c r="R5027" s="2" t="inlineStr"/>
    </row>
    <row r="5028" ht="15" customHeight="1">
      <c r="A5028" t="inlineStr">
        <is>
          <t>A 2327-2024</t>
        </is>
      </c>
      <c r="B5028" s="1" t="n">
        <v>45310</v>
      </c>
      <c r="C5028" s="1" t="n">
        <v>45846</v>
      </c>
      <c r="D5028" t="inlineStr">
        <is>
          <t>UPPSALA LÄN</t>
        </is>
      </c>
      <c r="E5028" t="inlineStr">
        <is>
          <t>UPPSALA</t>
        </is>
      </c>
      <c r="F5028" t="inlineStr">
        <is>
          <t>Kyrkan</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2339-2024</t>
        </is>
      </c>
      <c r="B5029" s="1" t="n">
        <v>45310</v>
      </c>
      <c r="C5029" s="1" t="n">
        <v>45846</v>
      </c>
      <c r="D5029" t="inlineStr">
        <is>
          <t>UPPSALA LÄN</t>
        </is>
      </c>
      <c r="E5029" t="inlineStr">
        <is>
          <t>UPPSALA</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2357-2024</t>
        </is>
      </c>
      <c r="B5030" s="1" t="n">
        <v>45310</v>
      </c>
      <c r="C5030" s="1" t="n">
        <v>45846</v>
      </c>
      <c r="D5030" t="inlineStr">
        <is>
          <t>UPPSALA LÄN</t>
        </is>
      </c>
      <c r="E5030" t="inlineStr">
        <is>
          <t>UPPSALA</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2456-2024</t>
        </is>
      </c>
      <c r="B5031" s="1" t="n">
        <v>45312</v>
      </c>
      <c r="C5031" s="1" t="n">
        <v>45846</v>
      </c>
      <c r="D5031" t="inlineStr">
        <is>
          <t>UPPSALA LÄN</t>
        </is>
      </c>
      <c r="E5031" t="inlineStr">
        <is>
          <t>ENKÖPING</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2454-2024</t>
        </is>
      </c>
      <c r="B5032" s="1" t="n">
        <v>45312</v>
      </c>
      <c r="C5032" s="1" t="n">
        <v>45846</v>
      </c>
      <c r="D5032" t="inlineStr">
        <is>
          <t>UPPSALA LÄN</t>
        </is>
      </c>
      <c r="E5032" t="inlineStr">
        <is>
          <t>TIERP</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2462-2024</t>
        </is>
      </c>
      <c r="B5033" s="1" t="n">
        <v>45313</v>
      </c>
      <c r="C5033" s="1" t="n">
        <v>45846</v>
      </c>
      <c r="D5033" t="inlineStr">
        <is>
          <t>UPPSALA LÄN</t>
        </is>
      </c>
      <c r="E5033" t="inlineStr">
        <is>
          <t>ÖSTHAMMAR</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2723-2024</t>
        </is>
      </c>
      <c r="B5034" s="1" t="n">
        <v>45314</v>
      </c>
      <c r="C5034" s="1" t="n">
        <v>45846</v>
      </c>
      <c r="D5034" t="inlineStr">
        <is>
          <t>UPPSALA LÄN</t>
        </is>
      </c>
      <c r="E5034" t="inlineStr">
        <is>
          <t>HEBY</t>
        </is>
      </c>
      <c r="G5034" t="n">
        <v>7.5</v>
      </c>
      <c r="H5034" t="n">
        <v>0</v>
      </c>
      <c r="I5034" t="n">
        <v>0</v>
      </c>
      <c r="J5034" t="n">
        <v>0</v>
      </c>
      <c r="K5034" t="n">
        <v>0</v>
      </c>
      <c r="L5034" t="n">
        <v>0</v>
      </c>
      <c r="M5034" t="n">
        <v>0</v>
      </c>
      <c r="N5034" t="n">
        <v>0</v>
      </c>
      <c r="O5034" t="n">
        <v>0</v>
      </c>
      <c r="P5034" t="n">
        <v>0</v>
      </c>
      <c r="Q5034" t="n">
        <v>0</v>
      </c>
      <c r="R5034" s="2" t="inlineStr"/>
    </row>
    <row r="5035" ht="15" customHeight="1">
      <c r="A5035" t="inlineStr">
        <is>
          <t>A 2740-2024</t>
        </is>
      </c>
      <c r="B5035" s="1" t="n">
        <v>45314</v>
      </c>
      <c r="C5035" s="1" t="n">
        <v>45846</v>
      </c>
      <c r="D5035" t="inlineStr">
        <is>
          <t>UPPSALA LÄN</t>
        </is>
      </c>
      <c r="E5035" t="inlineStr">
        <is>
          <t>UPPSALA</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2676-2024</t>
        </is>
      </c>
      <c r="B5036" s="1" t="n">
        <v>45314</v>
      </c>
      <c r="C5036" s="1" t="n">
        <v>45846</v>
      </c>
      <c r="D5036" t="inlineStr">
        <is>
          <t>UPPSALA LÄN</t>
        </is>
      </c>
      <c r="E5036" t="inlineStr">
        <is>
          <t>TIERP</t>
        </is>
      </c>
      <c r="G5036" t="n">
        <v>6.3</v>
      </c>
      <c r="H5036" t="n">
        <v>0</v>
      </c>
      <c r="I5036" t="n">
        <v>0</v>
      </c>
      <c r="J5036" t="n">
        <v>0</v>
      </c>
      <c r="K5036" t="n">
        <v>0</v>
      </c>
      <c r="L5036" t="n">
        <v>0</v>
      </c>
      <c r="M5036" t="n">
        <v>0</v>
      </c>
      <c r="N5036" t="n">
        <v>0</v>
      </c>
      <c r="O5036" t="n">
        <v>0</v>
      </c>
      <c r="P5036" t="n">
        <v>0</v>
      </c>
      <c r="Q5036" t="n">
        <v>0</v>
      </c>
      <c r="R5036" s="2" t="inlineStr"/>
    </row>
    <row r="5037" ht="15" customHeight="1">
      <c r="A5037" t="inlineStr">
        <is>
          <t>A 2735-2024</t>
        </is>
      </c>
      <c r="B5037" s="1" t="n">
        <v>45314</v>
      </c>
      <c r="C5037" s="1" t="n">
        <v>45846</v>
      </c>
      <c r="D5037" t="inlineStr">
        <is>
          <t>UPPSALA LÄN</t>
        </is>
      </c>
      <c r="E5037" t="inlineStr">
        <is>
          <t>UPPSALA</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2769-2024</t>
        </is>
      </c>
      <c r="B5038" s="1" t="n">
        <v>45314</v>
      </c>
      <c r="C5038" s="1" t="n">
        <v>45846</v>
      </c>
      <c r="D5038" t="inlineStr">
        <is>
          <t>UPPSALA LÄN</t>
        </is>
      </c>
      <c r="E5038" t="inlineStr">
        <is>
          <t>UPPSALA</t>
        </is>
      </c>
      <c r="G5038" t="n">
        <v>7.1</v>
      </c>
      <c r="H5038" t="n">
        <v>0</v>
      </c>
      <c r="I5038" t="n">
        <v>0</v>
      </c>
      <c r="J5038" t="n">
        <v>0</v>
      </c>
      <c r="K5038" t="n">
        <v>0</v>
      </c>
      <c r="L5038" t="n">
        <v>0</v>
      </c>
      <c r="M5038" t="n">
        <v>0</v>
      </c>
      <c r="N5038" t="n">
        <v>0</v>
      </c>
      <c r="O5038" t="n">
        <v>0</v>
      </c>
      <c r="P5038" t="n">
        <v>0</v>
      </c>
      <c r="Q5038" t="n">
        <v>0</v>
      </c>
      <c r="R5038" s="2" t="inlineStr"/>
    </row>
    <row r="5039" ht="15" customHeight="1">
      <c r="A5039" t="inlineStr">
        <is>
          <t>A 2785-2024</t>
        </is>
      </c>
      <c r="B5039" s="1" t="n">
        <v>45314</v>
      </c>
      <c r="C5039" s="1" t="n">
        <v>45846</v>
      </c>
      <c r="D5039" t="inlineStr">
        <is>
          <t>UPPSALA LÄN</t>
        </is>
      </c>
      <c r="E5039" t="inlineStr">
        <is>
          <t>UPPSALA</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2920-2024</t>
        </is>
      </c>
      <c r="B5040" s="1" t="n">
        <v>45315</v>
      </c>
      <c r="C5040" s="1" t="n">
        <v>45846</v>
      </c>
      <c r="D5040" t="inlineStr">
        <is>
          <t>UPPSALA LÄN</t>
        </is>
      </c>
      <c r="E5040" t="inlineStr">
        <is>
          <t>ÖSTHAMMAR</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2983-2024</t>
        </is>
      </c>
      <c r="B5041" s="1" t="n">
        <v>45315</v>
      </c>
      <c r="C5041" s="1" t="n">
        <v>45846</v>
      </c>
      <c r="D5041" t="inlineStr">
        <is>
          <t>UPPSALA LÄN</t>
        </is>
      </c>
      <c r="E5041" t="inlineStr">
        <is>
          <t>ENKÖPING</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3051-2024</t>
        </is>
      </c>
      <c r="B5042" s="1" t="n">
        <v>45316</v>
      </c>
      <c r="C5042" s="1" t="n">
        <v>45846</v>
      </c>
      <c r="D5042" t="inlineStr">
        <is>
          <t>UPPSALA LÄN</t>
        </is>
      </c>
      <c r="E5042" t="inlineStr">
        <is>
          <t>ENKÖPING</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3130-2024</t>
        </is>
      </c>
      <c r="B5043" s="1" t="n">
        <v>45316</v>
      </c>
      <c r="C5043" s="1" t="n">
        <v>45846</v>
      </c>
      <c r="D5043" t="inlineStr">
        <is>
          <t>UPPSALA LÄN</t>
        </is>
      </c>
      <c r="E5043" t="inlineStr">
        <is>
          <t>ENKÖPING</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3175-2024</t>
        </is>
      </c>
      <c r="B5044" s="1" t="n">
        <v>45316</v>
      </c>
      <c r="C5044" s="1" t="n">
        <v>45846</v>
      </c>
      <c r="D5044" t="inlineStr">
        <is>
          <t>UPPSALA LÄN</t>
        </is>
      </c>
      <c r="E5044" t="inlineStr">
        <is>
          <t>UPPSALA</t>
        </is>
      </c>
      <c r="F5044" t="inlineStr">
        <is>
          <t>Bergvik skog öst AB</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3183-2024</t>
        </is>
      </c>
      <c r="B5045" s="1" t="n">
        <v>45316</v>
      </c>
      <c r="C5045" s="1" t="n">
        <v>45846</v>
      </c>
      <c r="D5045" t="inlineStr">
        <is>
          <t>UPPSALA LÄN</t>
        </is>
      </c>
      <c r="E5045" t="inlineStr">
        <is>
          <t>UPPSALA</t>
        </is>
      </c>
      <c r="F5045" t="inlineStr">
        <is>
          <t>Bergvik skog öst AB</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3191-2024</t>
        </is>
      </c>
      <c r="B5046" s="1" t="n">
        <v>45316</v>
      </c>
      <c r="C5046" s="1" t="n">
        <v>45846</v>
      </c>
      <c r="D5046" t="inlineStr">
        <is>
          <t>UPPSALA LÄN</t>
        </is>
      </c>
      <c r="E5046" t="inlineStr">
        <is>
          <t>KNIVSTA</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3305-2024</t>
        </is>
      </c>
      <c r="B5047" s="1" t="n">
        <v>45316</v>
      </c>
      <c r="C5047" s="1" t="n">
        <v>45846</v>
      </c>
      <c r="D5047" t="inlineStr">
        <is>
          <t>UPPSALA LÄN</t>
        </is>
      </c>
      <c r="E5047" t="inlineStr">
        <is>
          <t>TIERP</t>
        </is>
      </c>
      <c r="G5047" t="n">
        <v>47.8</v>
      </c>
      <c r="H5047" t="n">
        <v>0</v>
      </c>
      <c r="I5047" t="n">
        <v>0</v>
      </c>
      <c r="J5047" t="n">
        <v>0</v>
      </c>
      <c r="K5047" t="n">
        <v>0</v>
      </c>
      <c r="L5047" t="n">
        <v>0</v>
      </c>
      <c r="M5047" t="n">
        <v>0</v>
      </c>
      <c r="N5047" t="n">
        <v>0</v>
      </c>
      <c r="O5047" t="n">
        <v>0</v>
      </c>
      <c r="P5047" t="n">
        <v>0</v>
      </c>
      <c r="Q5047" t="n">
        <v>0</v>
      </c>
      <c r="R5047" s="2" t="inlineStr"/>
    </row>
    <row r="5048" ht="15" customHeight="1">
      <c r="A5048" t="inlineStr">
        <is>
          <t>A 3261-2024</t>
        </is>
      </c>
      <c r="B5048" s="1" t="n">
        <v>45317</v>
      </c>
      <c r="C5048" s="1" t="n">
        <v>45846</v>
      </c>
      <c r="D5048" t="inlineStr">
        <is>
          <t>UPPSALA LÄN</t>
        </is>
      </c>
      <c r="E5048" t="inlineStr">
        <is>
          <t>UPPSALA</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3260-2024</t>
        </is>
      </c>
      <c r="B5049" s="1" t="n">
        <v>45317</v>
      </c>
      <c r="C5049" s="1" t="n">
        <v>45846</v>
      </c>
      <c r="D5049" t="inlineStr">
        <is>
          <t>UPPSALA LÄN</t>
        </is>
      </c>
      <c r="E5049" t="inlineStr">
        <is>
          <t>UPPSALA</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3355-2024</t>
        </is>
      </c>
      <c r="B5050" s="1" t="n">
        <v>45317</v>
      </c>
      <c r="C5050" s="1" t="n">
        <v>45846</v>
      </c>
      <c r="D5050" t="inlineStr">
        <is>
          <t>UPPSALA LÄN</t>
        </is>
      </c>
      <c r="E5050" t="inlineStr">
        <is>
          <t>HEBY</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3371-2024</t>
        </is>
      </c>
      <c r="B5051" s="1" t="n">
        <v>45317</v>
      </c>
      <c r="C5051" s="1" t="n">
        <v>45846</v>
      </c>
      <c r="D5051" t="inlineStr">
        <is>
          <t>UPPSALA LÄN</t>
        </is>
      </c>
      <c r="E5051" t="inlineStr">
        <is>
          <t>HEBY</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3374-2024</t>
        </is>
      </c>
      <c r="B5052" s="1" t="n">
        <v>45317</v>
      </c>
      <c r="C5052" s="1" t="n">
        <v>45846</v>
      </c>
      <c r="D5052" t="inlineStr">
        <is>
          <t>UPPSALA LÄN</t>
        </is>
      </c>
      <c r="E5052" t="inlineStr">
        <is>
          <t>HEBY</t>
        </is>
      </c>
      <c r="G5052" t="n">
        <v>8.4</v>
      </c>
      <c r="H5052" t="n">
        <v>0</v>
      </c>
      <c r="I5052" t="n">
        <v>0</v>
      </c>
      <c r="J5052" t="n">
        <v>0</v>
      </c>
      <c r="K5052" t="n">
        <v>0</v>
      </c>
      <c r="L5052" t="n">
        <v>0</v>
      </c>
      <c r="M5052" t="n">
        <v>0</v>
      </c>
      <c r="N5052" t="n">
        <v>0</v>
      </c>
      <c r="O5052" t="n">
        <v>0</v>
      </c>
      <c r="P5052" t="n">
        <v>0</v>
      </c>
      <c r="Q5052" t="n">
        <v>0</v>
      </c>
      <c r="R5052" s="2" t="inlineStr"/>
    </row>
    <row r="5053" ht="15" customHeight="1">
      <c r="A5053" t="inlineStr">
        <is>
          <t>A 3368-2024</t>
        </is>
      </c>
      <c r="B5053" s="1" t="n">
        <v>45317</v>
      </c>
      <c r="C5053" s="1" t="n">
        <v>45846</v>
      </c>
      <c r="D5053" t="inlineStr">
        <is>
          <t>UPPSALA LÄN</t>
        </is>
      </c>
      <c r="E5053" t="inlineStr">
        <is>
          <t>HEBY</t>
        </is>
      </c>
      <c r="G5053" t="n">
        <v>0.2</v>
      </c>
      <c r="H5053" t="n">
        <v>0</v>
      </c>
      <c r="I5053" t="n">
        <v>0</v>
      </c>
      <c r="J5053" t="n">
        <v>0</v>
      </c>
      <c r="K5053" t="n">
        <v>0</v>
      </c>
      <c r="L5053" t="n">
        <v>0</v>
      </c>
      <c r="M5053" t="n">
        <v>0</v>
      </c>
      <c r="N5053" t="n">
        <v>0</v>
      </c>
      <c r="O5053" t="n">
        <v>0</v>
      </c>
      <c r="P5053" t="n">
        <v>0</v>
      </c>
      <c r="Q5053" t="n">
        <v>0</v>
      </c>
      <c r="R5053" s="2" t="inlineStr"/>
    </row>
    <row r="5054" ht="15" customHeight="1">
      <c r="A5054" t="inlineStr">
        <is>
          <t>A 3376-2024</t>
        </is>
      </c>
      <c r="B5054" s="1" t="n">
        <v>45317</v>
      </c>
      <c r="C5054" s="1" t="n">
        <v>45846</v>
      </c>
      <c r="D5054" t="inlineStr">
        <is>
          <t>UPPSALA LÄN</t>
        </is>
      </c>
      <c r="E5054" t="inlineStr">
        <is>
          <t>HEBY</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3377-2024</t>
        </is>
      </c>
      <c r="B5055" s="1" t="n">
        <v>45317</v>
      </c>
      <c r="C5055" s="1" t="n">
        <v>45846</v>
      </c>
      <c r="D5055" t="inlineStr">
        <is>
          <t>UPPSALA LÄN</t>
        </is>
      </c>
      <c r="E5055" t="inlineStr">
        <is>
          <t>HEBY</t>
        </is>
      </c>
      <c r="G5055" t="n">
        <v>6.5</v>
      </c>
      <c r="H5055" t="n">
        <v>0</v>
      </c>
      <c r="I5055" t="n">
        <v>0</v>
      </c>
      <c r="J5055" t="n">
        <v>0</v>
      </c>
      <c r="K5055" t="n">
        <v>0</v>
      </c>
      <c r="L5055" t="n">
        <v>0</v>
      </c>
      <c r="M5055" t="n">
        <v>0</v>
      </c>
      <c r="N5055" t="n">
        <v>0</v>
      </c>
      <c r="O5055" t="n">
        <v>0</v>
      </c>
      <c r="P5055" t="n">
        <v>0</v>
      </c>
      <c r="Q5055" t="n">
        <v>0</v>
      </c>
      <c r="R5055" s="2" t="inlineStr"/>
    </row>
    <row r="5056" ht="15" customHeight="1">
      <c r="A5056" t="inlineStr">
        <is>
          <t>A 3468-2024</t>
        </is>
      </c>
      <c r="B5056" s="1" t="n">
        <v>45320</v>
      </c>
      <c r="C5056" s="1" t="n">
        <v>45846</v>
      </c>
      <c r="D5056" t="inlineStr">
        <is>
          <t>UPPSALA LÄN</t>
        </is>
      </c>
      <c r="E5056" t="inlineStr">
        <is>
          <t>HEBY</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3503-2024</t>
        </is>
      </c>
      <c r="B5057" s="1" t="n">
        <v>45320</v>
      </c>
      <c r="C5057" s="1" t="n">
        <v>45846</v>
      </c>
      <c r="D5057" t="inlineStr">
        <is>
          <t>UPPSALA LÄN</t>
        </is>
      </c>
      <c r="E5057" t="inlineStr">
        <is>
          <t>TIERP</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3771-2024</t>
        </is>
      </c>
      <c r="B5058" s="1" t="n">
        <v>45321</v>
      </c>
      <c r="C5058" s="1" t="n">
        <v>45846</v>
      </c>
      <c r="D5058" t="inlineStr">
        <is>
          <t>UPPSALA LÄN</t>
        </is>
      </c>
      <c r="E5058" t="inlineStr">
        <is>
          <t>HEBY</t>
        </is>
      </c>
      <c r="G5058" t="n">
        <v>4.7</v>
      </c>
      <c r="H5058" t="n">
        <v>0</v>
      </c>
      <c r="I5058" t="n">
        <v>0</v>
      </c>
      <c r="J5058" t="n">
        <v>0</v>
      </c>
      <c r="K5058" t="n">
        <v>0</v>
      </c>
      <c r="L5058" t="n">
        <v>0</v>
      </c>
      <c r="M5058" t="n">
        <v>0</v>
      </c>
      <c r="N5058" t="n">
        <v>0</v>
      </c>
      <c r="O5058" t="n">
        <v>0</v>
      </c>
      <c r="P5058" t="n">
        <v>0</v>
      </c>
      <c r="Q5058" t="n">
        <v>0</v>
      </c>
      <c r="R5058" s="2" t="inlineStr"/>
    </row>
    <row r="5059" ht="15" customHeight="1">
      <c r="A5059" t="inlineStr">
        <is>
          <t>A 3779-2024</t>
        </is>
      </c>
      <c r="B5059" s="1" t="n">
        <v>45321</v>
      </c>
      <c r="C5059" s="1" t="n">
        <v>45846</v>
      </c>
      <c r="D5059" t="inlineStr">
        <is>
          <t>UPPSALA LÄN</t>
        </is>
      </c>
      <c r="E5059" t="inlineStr">
        <is>
          <t>HEBY</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3813-2024</t>
        </is>
      </c>
      <c r="B5060" s="1" t="n">
        <v>45321</v>
      </c>
      <c r="C5060" s="1" t="n">
        <v>45846</v>
      </c>
      <c r="D5060" t="inlineStr">
        <is>
          <t>UPPSALA LÄN</t>
        </is>
      </c>
      <c r="E5060" t="inlineStr">
        <is>
          <t>UPPSALA</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3977-2024</t>
        </is>
      </c>
      <c r="B5061" s="1" t="n">
        <v>45322</v>
      </c>
      <c r="C5061" s="1" t="n">
        <v>45846</v>
      </c>
      <c r="D5061" t="inlineStr">
        <is>
          <t>UPPSALA LÄN</t>
        </is>
      </c>
      <c r="E5061" t="inlineStr">
        <is>
          <t>ENKÖPING</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4065-2024</t>
        </is>
      </c>
      <c r="B5062" s="1" t="n">
        <v>45323</v>
      </c>
      <c r="C5062" s="1" t="n">
        <v>45846</v>
      </c>
      <c r="D5062" t="inlineStr">
        <is>
          <t>UPPSALA LÄN</t>
        </is>
      </c>
      <c r="E5062" t="inlineStr">
        <is>
          <t>UPPSALA</t>
        </is>
      </c>
      <c r="F5062" t="inlineStr">
        <is>
          <t>Holmen skog AB</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4040-2024</t>
        </is>
      </c>
      <c r="B5063" s="1" t="n">
        <v>45323</v>
      </c>
      <c r="C5063" s="1" t="n">
        <v>45846</v>
      </c>
      <c r="D5063" t="inlineStr">
        <is>
          <t>UPPSALA LÄN</t>
        </is>
      </c>
      <c r="E5063" t="inlineStr">
        <is>
          <t>HEBY</t>
        </is>
      </c>
      <c r="G5063" t="n">
        <v>4.5</v>
      </c>
      <c r="H5063" t="n">
        <v>0</v>
      </c>
      <c r="I5063" t="n">
        <v>0</v>
      </c>
      <c r="J5063" t="n">
        <v>0</v>
      </c>
      <c r="K5063" t="n">
        <v>0</v>
      </c>
      <c r="L5063" t="n">
        <v>0</v>
      </c>
      <c r="M5063" t="n">
        <v>0</v>
      </c>
      <c r="N5063" t="n">
        <v>0</v>
      </c>
      <c r="O5063" t="n">
        <v>0</v>
      </c>
      <c r="P5063" t="n">
        <v>0</v>
      </c>
      <c r="Q5063" t="n">
        <v>0</v>
      </c>
      <c r="R5063" s="2" t="inlineStr"/>
    </row>
    <row r="5064" ht="15" customHeight="1">
      <c r="A5064" t="inlineStr">
        <is>
          <t>A 4044-2024</t>
        </is>
      </c>
      <c r="B5064" s="1" t="n">
        <v>45323</v>
      </c>
      <c r="C5064" s="1" t="n">
        <v>45846</v>
      </c>
      <c r="D5064" t="inlineStr">
        <is>
          <t>UPPSALA LÄN</t>
        </is>
      </c>
      <c r="E5064" t="inlineStr">
        <is>
          <t>ENKÖPING</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4216-2024</t>
        </is>
      </c>
      <c r="B5065" s="1" t="n">
        <v>45324</v>
      </c>
      <c r="C5065" s="1" t="n">
        <v>45846</v>
      </c>
      <c r="D5065" t="inlineStr">
        <is>
          <t>UPPSALA LÄN</t>
        </is>
      </c>
      <c r="E5065" t="inlineStr">
        <is>
          <t>UPPSALA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4412-2024</t>
        </is>
      </c>
      <c r="B5066" s="1" t="n">
        <v>45327</v>
      </c>
      <c r="C5066" s="1" t="n">
        <v>45846</v>
      </c>
      <c r="D5066" t="inlineStr">
        <is>
          <t>UPPSALA LÄN</t>
        </is>
      </c>
      <c r="E5066" t="inlineStr">
        <is>
          <t>UPPSALA</t>
        </is>
      </c>
      <c r="G5066" t="n">
        <v>5.4</v>
      </c>
      <c r="H5066" t="n">
        <v>0</v>
      </c>
      <c r="I5066" t="n">
        <v>0</v>
      </c>
      <c r="J5066" t="n">
        <v>0</v>
      </c>
      <c r="K5066" t="n">
        <v>0</v>
      </c>
      <c r="L5066" t="n">
        <v>0</v>
      </c>
      <c r="M5066" t="n">
        <v>0</v>
      </c>
      <c r="N5066" t="n">
        <v>0</v>
      </c>
      <c r="O5066" t="n">
        <v>0</v>
      </c>
      <c r="P5066" t="n">
        <v>0</v>
      </c>
      <c r="Q5066" t="n">
        <v>0</v>
      </c>
      <c r="R5066" s="2" t="inlineStr"/>
    </row>
    <row r="5067" ht="15" customHeight="1">
      <c r="A5067" t="inlineStr">
        <is>
          <t>A 4425-2024</t>
        </is>
      </c>
      <c r="B5067" s="1" t="n">
        <v>45327</v>
      </c>
      <c r="C5067" s="1" t="n">
        <v>45846</v>
      </c>
      <c r="D5067" t="inlineStr">
        <is>
          <t>UPPSALA LÄN</t>
        </is>
      </c>
      <c r="E5067" t="inlineStr">
        <is>
          <t>UPPSALA</t>
        </is>
      </c>
      <c r="F5067" t="inlineStr">
        <is>
          <t>Allmännings- och besparingsskogar</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4461-2024</t>
        </is>
      </c>
      <c r="B5068" s="1" t="n">
        <v>45327</v>
      </c>
      <c r="C5068" s="1" t="n">
        <v>45846</v>
      </c>
      <c r="D5068" t="inlineStr">
        <is>
          <t>UPPSALA LÄN</t>
        </is>
      </c>
      <c r="E5068" t="inlineStr">
        <is>
          <t>UPPSALA</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4503-2024</t>
        </is>
      </c>
      <c r="B5069" s="1" t="n">
        <v>45327</v>
      </c>
      <c r="C5069" s="1" t="n">
        <v>45846</v>
      </c>
      <c r="D5069" t="inlineStr">
        <is>
          <t>UPPSALA LÄN</t>
        </is>
      </c>
      <c r="E5069" t="inlineStr">
        <is>
          <t>UPPSALA</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4509-2024</t>
        </is>
      </c>
      <c r="B5070" s="1" t="n">
        <v>45327</v>
      </c>
      <c r="C5070" s="1" t="n">
        <v>45846</v>
      </c>
      <c r="D5070" t="inlineStr">
        <is>
          <t>UPPSALA LÄN</t>
        </is>
      </c>
      <c r="E5070" t="inlineStr">
        <is>
          <t>UPPSALA</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4521-2024</t>
        </is>
      </c>
      <c r="B5071" s="1" t="n">
        <v>45327</v>
      </c>
      <c r="C5071" s="1" t="n">
        <v>45846</v>
      </c>
      <c r="D5071" t="inlineStr">
        <is>
          <t>UPPSALA LÄN</t>
        </is>
      </c>
      <c r="E5071" t="inlineStr">
        <is>
          <t>HÅBO</t>
        </is>
      </c>
      <c r="G5071" t="n">
        <v>17.4</v>
      </c>
      <c r="H5071" t="n">
        <v>0</v>
      </c>
      <c r="I5071" t="n">
        <v>0</v>
      </c>
      <c r="J5071" t="n">
        <v>0</v>
      </c>
      <c r="K5071" t="n">
        <v>0</v>
      </c>
      <c r="L5071" t="n">
        <v>0</v>
      </c>
      <c r="M5071" t="n">
        <v>0</v>
      </c>
      <c r="N5071" t="n">
        <v>0</v>
      </c>
      <c r="O5071" t="n">
        <v>0</v>
      </c>
      <c r="P5071" t="n">
        <v>0</v>
      </c>
      <c r="Q5071" t="n">
        <v>0</v>
      </c>
      <c r="R5071" s="2" t="inlineStr"/>
    </row>
    <row r="5072" ht="15" customHeight="1">
      <c r="A5072" t="inlineStr">
        <is>
          <t>A 4524-2024</t>
        </is>
      </c>
      <c r="B5072" s="1" t="n">
        <v>45327</v>
      </c>
      <c r="C5072" s="1" t="n">
        <v>45846</v>
      </c>
      <c r="D5072" t="inlineStr">
        <is>
          <t>UPPSALA LÄN</t>
        </is>
      </c>
      <c r="E5072" t="inlineStr">
        <is>
          <t>HÅBO</t>
        </is>
      </c>
      <c r="G5072" t="n">
        <v>4.6</v>
      </c>
      <c r="H5072" t="n">
        <v>0</v>
      </c>
      <c r="I5072" t="n">
        <v>0</v>
      </c>
      <c r="J5072" t="n">
        <v>0</v>
      </c>
      <c r="K5072" t="n">
        <v>0</v>
      </c>
      <c r="L5072" t="n">
        <v>0</v>
      </c>
      <c r="M5072" t="n">
        <v>0</v>
      </c>
      <c r="N5072" t="n">
        <v>0</v>
      </c>
      <c r="O5072" t="n">
        <v>0</v>
      </c>
      <c r="P5072" t="n">
        <v>0</v>
      </c>
      <c r="Q5072" t="n">
        <v>0</v>
      </c>
      <c r="R5072" s="2" t="inlineStr"/>
    </row>
    <row r="5073" ht="15" customHeight="1">
      <c r="A5073" t="inlineStr">
        <is>
          <t>A 4740-2024</t>
        </is>
      </c>
      <c r="B5073" s="1" t="n">
        <v>45328</v>
      </c>
      <c r="C5073" s="1" t="n">
        <v>45846</v>
      </c>
      <c r="D5073" t="inlineStr">
        <is>
          <t>UPPSALA LÄN</t>
        </is>
      </c>
      <c r="E5073" t="inlineStr">
        <is>
          <t>HEBY</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4893-2024</t>
        </is>
      </c>
      <c r="B5074" s="1" t="n">
        <v>45329</v>
      </c>
      <c r="C5074" s="1" t="n">
        <v>45846</v>
      </c>
      <c r="D5074" t="inlineStr">
        <is>
          <t>UPPSALA LÄN</t>
        </is>
      </c>
      <c r="E5074" t="inlineStr">
        <is>
          <t>HEBY</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4980-2024</t>
        </is>
      </c>
      <c r="B5075" s="1" t="n">
        <v>45329</v>
      </c>
      <c r="C5075" s="1" t="n">
        <v>45846</v>
      </c>
      <c r="D5075" t="inlineStr">
        <is>
          <t>UPPSALA LÄN</t>
        </is>
      </c>
      <c r="E5075" t="inlineStr">
        <is>
          <t>UPPSALA</t>
        </is>
      </c>
      <c r="G5075" t="n">
        <v>10.8</v>
      </c>
      <c r="H5075" t="n">
        <v>0</v>
      </c>
      <c r="I5075" t="n">
        <v>0</v>
      </c>
      <c r="J5075" t="n">
        <v>0</v>
      </c>
      <c r="K5075" t="n">
        <v>0</v>
      </c>
      <c r="L5075" t="n">
        <v>0</v>
      </c>
      <c r="M5075" t="n">
        <v>0</v>
      </c>
      <c r="N5075" t="n">
        <v>0</v>
      </c>
      <c r="O5075" t="n">
        <v>0</v>
      </c>
      <c r="P5075" t="n">
        <v>0</v>
      </c>
      <c r="Q5075" t="n">
        <v>0</v>
      </c>
      <c r="R5075" s="2" t="inlineStr"/>
    </row>
    <row r="5076" ht="15" customHeight="1">
      <c r="A5076" t="inlineStr">
        <is>
          <t>A 4984-2024</t>
        </is>
      </c>
      <c r="B5076" s="1" t="n">
        <v>45329</v>
      </c>
      <c r="C5076" s="1" t="n">
        <v>45846</v>
      </c>
      <c r="D5076" t="inlineStr">
        <is>
          <t>UPPSALA LÄN</t>
        </is>
      </c>
      <c r="E5076" t="inlineStr">
        <is>
          <t>ÖSTHAMMAR</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5042-2024</t>
        </is>
      </c>
      <c r="B5077" s="1" t="n">
        <v>45329</v>
      </c>
      <c r="C5077" s="1" t="n">
        <v>45846</v>
      </c>
      <c r="D5077" t="inlineStr">
        <is>
          <t>UPPSALA LÄN</t>
        </is>
      </c>
      <c r="E5077" t="inlineStr">
        <is>
          <t>ÖSTHAMMAR</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5149-2024</t>
        </is>
      </c>
      <c r="B5078" s="1" t="n">
        <v>45330</v>
      </c>
      <c r="C5078" s="1" t="n">
        <v>45846</v>
      </c>
      <c r="D5078" t="inlineStr">
        <is>
          <t>UPPSALA LÄN</t>
        </is>
      </c>
      <c r="E5078" t="inlineStr">
        <is>
          <t>ÖSTHAMMAR</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5198-2024</t>
        </is>
      </c>
      <c r="B5079" s="1" t="n">
        <v>45330</v>
      </c>
      <c r="C5079" s="1" t="n">
        <v>45846</v>
      </c>
      <c r="D5079" t="inlineStr">
        <is>
          <t>UPPSALA LÄN</t>
        </is>
      </c>
      <c r="E5079" t="inlineStr">
        <is>
          <t>ÖSTHAMMAR</t>
        </is>
      </c>
      <c r="F5079" t="inlineStr">
        <is>
          <t>Övriga Aktiebolag</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5126-2024</t>
        </is>
      </c>
      <c r="B5080" s="1" t="n">
        <v>45330</v>
      </c>
      <c r="C5080" s="1" t="n">
        <v>45846</v>
      </c>
      <c r="D5080" t="inlineStr">
        <is>
          <t>UPPSALA LÄN</t>
        </is>
      </c>
      <c r="E5080" t="inlineStr">
        <is>
          <t>TIERP</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5212-2024</t>
        </is>
      </c>
      <c r="B5081" s="1" t="n">
        <v>45330</v>
      </c>
      <c r="C5081" s="1" t="n">
        <v>45846</v>
      </c>
      <c r="D5081" t="inlineStr">
        <is>
          <t>UPPSALA LÄN</t>
        </is>
      </c>
      <c r="E5081" t="inlineStr">
        <is>
          <t>HEBY</t>
        </is>
      </c>
      <c r="G5081" t="n">
        <v>5.8</v>
      </c>
      <c r="H5081" t="n">
        <v>0</v>
      </c>
      <c r="I5081" t="n">
        <v>0</v>
      </c>
      <c r="J5081" t="n">
        <v>0</v>
      </c>
      <c r="K5081" t="n">
        <v>0</v>
      </c>
      <c r="L5081" t="n">
        <v>0</v>
      </c>
      <c r="M5081" t="n">
        <v>0</v>
      </c>
      <c r="N5081" t="n">
        <v>0</v>
      </c>
      <c r="O5081" t="n">
        <v>0</v>
      </c>
      <c r="P5081" t="n">
        <v>0</v>
      </c>
      <c r="Q5081" t="n">
        <v>0</v>
      </c>
      <c r="R5081" s="2" t="inlineStr"/>
    </row>
    <row r="5082" ht="15" customHeight="1">
      <c r="A5082" t="inlineStr">
        <is>
          <t>A 5216-2024</t>
        </is>
      </c>
      <c r="B5082" s="1" t="n">
        <v>45330</v>
      </c>
      <c r="C5082" s="1" t="n">
        <v>45846</v>
      </c>
      <c r="D5082" t="inlineStr">
        <is>
          <t>UPPSALA LÄN</t>
        </is>
      </c>
      <c r="E5082" t="inlineStr">
        <is>
          <t>ÖSTHAMMAR</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5161-2024</t>
        </is>
      </c>
      <c r="B5083" s="1" t="n">
        <v>45330</v>
      </c>
      <c r="C5083" s="1" t="n">
        <v>45846</v>
      </c>
      <c r="D5083" t="inlineStr">
        <is>
          <t>UPPSALA LÄN</t>
        </is>
      </c>
      <c r="E5083" t="inlineStr">
        <is>
          <t>ÖSTHAMMAR</t>
        </is>
      </c>
      <c r="G5083" t="n">
        <v>5.5</v>
      </c>
      <c r="H5083" t="n">
        <v>0</v>
      </c>
      <c r="I5083" t="n">
        <v>0</v>
      </c>
      <c r="J5083" t="n">
        <v>0</v>
      </c>
      <c r="K5083" t="n">
        <v>0</v>
      </c>
      <c r="L5083" t="n">
        <v>0</v>
      </c>
      <c r="M5083" t="n">
        <v>0</v>
      </c>
      <c r="N5083" t="n">
        <v>0</v>
      </c>
      <c r="O5083" t="n">
        <v>0</v>
      </c>
      <c r="P5083" t="n">
        <v>0</v>
      </c>
      <c r="Q5083" t="n">
        <v>0</v>
      </c>
      <c r="R5083" s="2" t="inlineStr"/>
    </row>
    <row r="5084" ht="15" customHeight="1">
      <c r="A5084" t="inlineStr">
        <is>
          <t>A 5211-2024</t>
        </is>
      </c>
      <c r="B5084" s="1" t="n">
        <v>45330</v>
      </c>
      <c r="C5084" s="1" t="n">
        <v>45846</v>
      </c>
      <c r="D5084" t="inlineStr">
        <is>
          <t>UPPSALA LÄN</t>
        </is>
      </c>
      <c r="E5084" t="inlineStr">
        <is>
          <t>ENKÖPING</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5223-2024</t>
        </is>
      </c>
      <c r="B5085" s="1" t="n">
        <v>45330</v>
      </c>
      <c r="C5085" s="1" t="n">
        <v>45846</v>
      </c>
      <c r="D5085" t="inlineStr">
        <is>
          <t>UPPSALA LÄN</t>
        </is>
      </c>
      <c r="E5085" t="inlineStr">
        <is>
          <t>ÖSTHAMMAR</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5391-2024</t>
        </is>
      </c>
      <c r="B5086" s="1" t="n">
        <v>45331</v>
      </c>
      <c r="C5086" s="1" t="n">
        <v>45846</v>
      </c>
      <c r="D5086" t="inlineStr">
        <is>
          <t>UPPSALA LÄN</t>
        </is>
      </c>
      <c r="E5086" t="inlineStr">
        <is>
          <t>HEBY</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5340-2024</t>
        </is>
      </c>
      <c r="B5087" s="1" t="n">
        <v>45331</v>
      </c>
      <c r="C5087" s="1" t="n">
        <v>45846</v>
      </c>
      <c r="D5087" t="inlineStr">
        <is>
          <t>UPPSALA LÄN</t>
        </is>
      </c>
      <c r="E5087" t="inlineStr">
        <is>
          <t>HEBY</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5390-2024</t>
        </is>
      </c>
      <c r="B5088" s="1" t="n">
        <v>45331</v>
      </c>
      <c r="C5088" s="1" t="n">
        <v>45846</v>
      </c>
      <c r="D5088" t="inlineStr">
        <is>
          <t>UPPSALA LÄN</t>
        </is>
      </c>
      <c r="E5088" t="inlineStr">
        <is>
          <t>HEBY</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5475-2024</t>
        </is>
      </c>
      <c r="B5089" s="1" t="n">
        <v>45333</v>
      </c>
      <c r="C5089" s="1" t="n">
        <v>45846</v>
      </c>
      <c r="D5089" t="inlineStr">
        <is>
          <t>UPPSALA LÄN</t>
        </is>
      </c>
      <c r="E5089" t="inlineStr">
        <is>
          <t>UPPSALA</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5521-2024</t>
        </is>
      </c>
      <c r="B5090" s="1" t="n">
        <v>45334</v>
      </c>
      <c r="C5090" s="1" t="n">
        <v>45846</v>
      </c>
      <c r="D5090" t="inlineStr">
        <is>
          <t>UPPSALA LÄN</t>
        </is>
      </c>
      <c r="E5090" t="inlineStr">
        <is>
          <t>ENKÖPING</t>
        </is>
      </c>
      <c r="G5090" t="n">
        <v>8.4</v>
      </c>
      <c r="H5090" t="n">
        <v>0</v>
      </c>
      <c r="I5090" t="n">
        <v>0</v>
      </c>
      <c r="J5090" t="n">
        <v>0</v>
      </c>
      <c r="K5090" t="n">
        <v>0</v>
      </c>
      <c r="L5090" t="n">
        <v>0</v>
      </c>
      <c r="M5090" t="n">
        <v>0</v>
      </c>
      <c r="N5090" t="n">
        <v>0</v>
      </c>
      <c r="O5090" t="n">
        <v>0</v>
      </c>
      <c r="P5090" t="n">
        <v>0</v>
      </c>
      <c r="Q5090" t="n">
        <v>0</v>
      </c>
      <c r="R5090" s="2" t="inlineStr"/>
    </row>
    <row r="5091" ht="15" customHeight="1">
      <c r="A5091" t="inlineStr">
        <is>
          <t>A 5538-2024</t>
        </is>
      </c>
      <c r="B5091" s="1" t="n">
        <v>45334</v>
      </c>
      <c r="C5091" s="1" t="n">
        <v>45846</v>
      </c>
      <c r="D5091" t="inlineStr">
        <is>
          <t>UPPSALA LÄN</t>
        </is>
      </c>
      <c r="E5091" t="inlineStr">
        <is>
          <t>HEBY</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5539-2024</t>
        </is>
      </c>
      <c r="B5092" s="1" t="n">
        <v>45334</v>
      </c>
      <c r="C5092" s="1" t="n">
        <v>45846</v>
      </c>
      <c r="D5092" t="inlineStr">
        <is>
          <t>UPPSALA LÄN</t>
        </is>
      </c>
      <c r="E5092" t="inlineStr">
        <is>
          <t>HEBY</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5537-2024</t>
        </is>
      </c>
      <c r="B5093" s="1" t="n">
        <v>45334</v>
      </c>
      <c r="C5093" s="1" t="n">
        <v>45846</v>
      </c>
      <c r="D5093" t="inlineStr">
        <is>
          <t>UPPSALA LÄN</t>
        </is>
      </c>
      <c r="E5093" t="inlineStr">
        <is>
          <t>HEBY</t>
        </is>
      </c>
      <c r="G5093" t="n">
        <v>4.9</v>
      </c>
      <c r="H5093" t="n">
        <v>0</v>
      </c>
      <c r="I5093" t="n">
        <v>0</v>
      </c>
      <c r="J5093" t="n">
        <v>0</v>
      </c>
      <c r="K5093" t="n">
        <v>0</v>
      </c>
      <c r="L5093" t="n">
        <v>0</v>
      </c>
      <c r="M5093" t="n">
        <v>0</v>
      </c>
      <c r="N5093" t="n">
        <v>0</v>
      </c>
      <c r="O5093" t="n">
        <v>0</v>
      </c>
      <c r="P5093" t="n">
        <v>0</v>
      </c>
      <c r="Q5093" t="n">
        <v>0</v>
      </c>
      <c r="R5093" s="2" t="inlineStr"/>
    </row>
    <row r="5094" ht="15" customHeight="1">
      <c r="A5094" t="inlineStr">
        <is>
          <t>A 5851-2024</t>
        </is>
      </c>
      <c r="B5094" s="1" t="n">
        <v>45335</v>
      </c>
      <c r="C5094" s="1" t="n">
        <v>45846</v>
      </c>
      <c r="D5094" t="inlineStr">
        <is>
          <t>UPPSALA LÄN</t>
        </is>
      </c>
      <c r="E5094" t="inlineStr">
        <is>
          <t>ÖSTHAMMAR</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5848-2024</t>
        </is>
      </c>
      <c r="B5095" s="1" t="n">
        <v>45335</v>
      </c>
      <c r="C5095" s="1" t="n">
        <v>45846</v>
      </c>
      <c r="D5095" t="inlineStr">
        <is>
          <t>UPPSALA LÄN</t>
        </is>
      </c>
      <c r="E5095" t="inlineStr">
        <is>
          <t>UPPSALA</t>
        </is>
      </c>
      <c r="F5095" t="inlineStr">
        <is>
          <t>Kyrkan</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5860-2024</t>
        </is>
      </c>
      <c r="B5096" s="1" t="n">
        <v>45335</v>
      </c>
      <c r="C5096" s="1" t="n">
        <v>45846</v>
      </c>
      <c r="D5096" t="inlineStr">
        <is>
          <t>UPPSALA LÄN</t>
        </is>
      </c>
      <c r="E5096" t="inlineStr">
        <is>
          <t>ÖSTHAMMAR</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5899-2024</t>
        </is>
      </c>
      <c r="B5097" s="1" t="n">
        <v>45335</v>
      </c>
      <c r="C5097" s="1" t="n">
        <v>45846</v>
      </c>
      <c r="D5097" t="inlineStr">
        <is>
          <t>UPPSALA LÄN</t>
        </is>
      </c>
      <c r="E5097" t="inlineStr">
        <is>
          <t>UPPSALA</t>
        </is>
      </c>
      <c r="F5097" t="inlineStr">
        <is>
          <t>Allmännings- och besparingsskogar</t>
        </is>
      </c>
      <c r="G5097" t="n">
        <v>3.7</v>
      </c>
      <c r="H5097" t="n">
        <v>0</v>
      </c>
      <c r="I5097" t="n">
        <v>0</v>
      </c>
      <c r="J5097" t="n">
        <v>0</v>
      </c>
      <c r="K5097" t="n">
        <v>0</v>
      </c>
      <c r="L5097" t="n">
        <v>0</v>
      </c>
      <c r="M5097" t="n">
        <v>0</v>
      </c>
      <c r="N5097" t="n">
        <v>0</v>
      </c>
      <c r="O5097" t="n">
        <v>0</v>
      </c>
      <c r="P5097" t="n">
        <v>0</v>
      </c>
      <c r="Q5097" t="n">
        <v>0</v>
      </c>
      <c r="R5097" s="2" t="inlineStr"/>
    </row>
    <row r="5098" ht="15" customHeight="1">
      <c r="A5098" t="inlineStr">
        <is>
          <t>A 5876-2024</t>
        </is>
      </c>
      <c r="B5098" s="1" t="n">
        <v>45335</v>
      </c>
      <c r="C5098" s="1" t="n">
        <v>45846</v>
      </c>
      <c r="D5098" t="inlineStr">
        <is>
          <t>UPPSALA LÄN</t>
        </is>
      </c>
      <c r="E5098" t="inlineStr">
        <is>
          <t>UPPSALA</t>
        </is>
      </c>
      <c r="F5098" t="inlineStr">
        <is>
          <t>Kyrkan</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5896-2024</t>
        </is>
      </c>
      <c r="B5099" s="1" t="n">
        <v>45335</v>
      </c>
      <c r="C5099" s="1" t="n">
        <v>45846</v>
      </c>
      <c r="D5099" t="inlineStr">
        <is>
          <t>UPPSALA LÄN</t>
        </is>
      </c>
      <c r="E5099" t="inlineStr">
        <is>
          <t>UPPSALA</t>
        </is>
      </c>
      <c r="F5099" t="inlineStr">
        <is>
          <t>Allmännings- och besparingsskogar</t>
        </is>
      </c>
      <c r="G5099" t="n">
        <v>6.9</v>
      </c>
      <c r="H5099" t="n">
        <v>0</v>
      </c>
      <c r="I5099" t="n">
        <v>0</v>
      </c>
      <c r="J5099" t="n">
        <v>0</v>
      </c>
      <c r="K5099" t="n">
        <v>0</v>
      </c>
      <c r="L5099" t="n">
        <v>0</v>
      </c>
      <c r="M5099" t="n">
        <v>0</v>
      </c>
      <c r="N5099" t="n">
        <v>0</v>
      </c>
      <c r="O5099" t="n">
        <v>0</v>
      </c>
      <c r="P5099" t="n">
        <v>0</v>
      </c>
      <c r="Q5099" t="n">
        <v>0</v>
      </c>
      <c r="R5099" s="2" t="inlineStr"/>
    </row>
    <row r="5100" ht="15" customHeight="1">
      <c r="A5100" t="inlineStr">
        <is>
          <t>A 5974-2024</t>
        </is>
      </c>
      <c r="B5100" s="1" t="n">
        <v>45336</v>
      </c>
      <c r="C5100" s="1" t="n">
        <v>45846</v>
      </c>
      <c r="D5100" t="inlineStr">
        <is>
          <t>UPPSALA LÄN</t>
        </is>
      </c>
      <c r="E5100" t="inlineStr">
        <is>
          <t>UPPSALA</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5975-2024</t>
        </is>
      </c>
      <c r="B5101" s="1" t="n">
        <v>45336</v>
      </c>
      <c r="C5101" s="1" t="n">
        <v>45846</v>
      </c>
      <c r="D5101" t="inlineStr">
        <is>
          <t>UPPSALA LÄN</t>
        </is>
      </c>
      <c r="E5101" t="inlineStr">
        <is>
          <t>UPPSALA</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6024-2024</t>
        </is>
      </c>
      <c r="B5102" s="1" t="n">
        <v>45336</v>
      </c>
      <c r="C5102" s="1" t="n">
        <v>45846</v>
      </c>
      <c r="D5102" t="inlineStr">
        <is>
          <t>UPPSALA LÄN</t>
        </is>
      </c>
      <c r="E5102" t="inlineStr">
        <is>
          <t>UPPSALA</t>
        </is>
      </c>
      <c r="F5102" t="inlineStr">
        <is>
          <t>Holmen skog AB</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6199-2024</t>
        </is>
      </c>
      <c r="B5103" s="1" t="n">
        <v>45337</v>
      </c>
      <c r="C5103" s="1" t="n">
        <v>45846</v>
      </c>
      <c r="D5103" t="inlineStr">
        <is>
          <t>UPPSALA LÄN</t>
        </is>
      </c>
      <c r="E5103" t="inlineStr">
        <is>
          <t>UPPSALA</t>
        </is>
      </c>
      <c r="F5103" t="inlineStr">
        <is>
          <t>Kyrkan</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6211-2024</t>
        </is>
      </c>
      <c r="B5104" s="1" t="n">
        <v>45337</v>
      </c>
      <c r="C5104" s="1" t="n">
        <v>45846</v>
      </c>
      <c r="D5104" t="inlineStr">
        <is>
          <t>UPPSALA LÄN</t>
        </is>
      </c>
      <c r="E5104" t="inlineStr">
        <is>
          <t>UPPSALA</t>
        </is>
      </c>
      <c r="G5104" t="n">
        <v>14.8</v>
      </c>
      <c r="H5104" t="n">
        <v>0</v>
      </c>
      <c r="I5104" t="n">
        <v>0</v>
      </c>
      <c r="J5104" t="n">
        <v>0</v>
      </c>
      <c r="K5104" t="n">
        <v>0</v>
      </c>
      <c r="L5104" t="n">
        <v>0</v>
      </c>
      <c r="M5104" t="n">
        <v>0</v>
      </c>
      <c r="N5104" t="n">
        <v>0</v>
      </c>
      <c r="O5104" t="n">
        <v>0</v>
      </c>
      <c r="P5104" t="n">
        <v>0</v>
      </c>
      <c r="Q5104" t="n">
        <v>0</v>
      </c>
      <c r="R5104" s="2" t="inlineStr"/>
    </row>
    <row r="5105" ht="15" customHeight="1">
      <c r="A5105" t="inlineStr">
        <is>
          <t>A 6226-2024</t>
        </is>
      </c>
      <c r="B5105" s="1" t="n">
        <v>45337</v>
      </c>
      <c r="C5105" s="1" t="n">
        <v>45846</v>
      </c>
      <c r="D5105" t="inlineStr">
        <is>
          <t>UPPSALA LÄN</t>
        </is>
      </c>
      <c r="E5105" t="inlineStr">
        <is>
          <t>HEBY</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6234-2024</t>
        </is>
      </c>
      <c r="B5106" s="1" t="n">
        <v>45337</v>
      </c>
      <c r="C5106" s="1" t="n">
        <v>45846</v>
      </c>
      <c r="D5106" t="inlineStr">
        <is>
          <t>UPPSALA LÄN</t>
        </is>
      </c>
      <c r="E5106" t="inlineStr">
        <is>
          <t>KNIVSTA</t>
        </is>
      </c>
      <c r="F5106" t="inlineStr">
        <is>
          <t>Holmen skog AB</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6227-2024</t>
        </is>
      </c>
      <c r="B5107" s="1" t="n">
        <v>45337</v>
      </c>
      <c r="C5107" s="1" t="n">
        <v>45846</v>
      </c>
      <c r="D5107" t="inlineStr">
        <is>
          <t>UPPSALA LÄN</t>
        </is>
      </c>
      <c r="E5107" t="inlineStr">
        <is>
          <t>KNIVSTA</t>
        </is>
      </c>
      <c r="F5107" t="inlineStr">
        <is>
          <t>Holmen skog AB</t>
        </is>
      </c>
      <c r="G5107" t="n">
        <v>5.9</v>
      </c>
      <c r="H5107" t="n">
        <v>0</v>
      </c>
      <c r="I5107" t="n">
        <v>0</v>
      </c>
      <c r="J5107" t="n">
        <v>0</v>
      </c>
      <c r="K5107" t="n">
        <v>0</v>
      </c>
      <c r="L5107" t="n">
        <v>0</v>
      </c>
      <c r="M5107" t="n">
        <v>0</v>
      </c>
      <c r="N5107" t="n">
        <v>0</v>
      </c>
      <c r="O5107" t="n">
        <v>0</v>
      </c>
      <c r="P5107" t="n">
        <v>0</v>
      </c>
      <c r="Q5107" t="n">
        <v>0</v>
      </c>
      <c r="R5107" s="2" t="inlineStr"/>
    </row>
    <row r="5108" ht="15" customHeight="1">
      <c r="A5108" t="inlineStr">
        <is>
          <t>A 6247-2024</t>
        </is>
      </c>
      <c r="B5108" s="1" t="n">
        <v>45337</v>
      </c>
      <c r="C5108" s="1" t="n">
        <v>45846</v>
      </c>
      <c r="D5108" t="inlineStr">
        <is>
          <t>UPPSALA LÄN</t>
        </is>
      </c>
      <c r="E5108" t="inlineStr">
        <is>
          <t>ENKÖPING</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6120-2024</t>
        </is>
      </c>
      <c r="B5109" s="1" t="n">
        <v>45337</v>
      </c>
      <c r="C5109" s="1" t="n">
        <v>45846</v>
      </c>
      <c r="D5109" t="inlineStr">
        <is>
          <t>UPPSALA LÄN</t>
        </is>
      </c>
      <c r="E5109" t="inlineStr">
        <is>
          <t>ÖSTHAMMAR</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6098-2024</t>
        </is>
      </c>
      <c r="B5110" s="1" t="n">
        <v>45337</v>
      </c>
      <c r="C5110" s="1" t="n">
        <v>45846</v>
      </c>
      <c r="D5110" t="inlineStr">
        <is>
          <t>UPPSALA LÄN</t>
        </is>
      </c>
      <c r="E5110" t="inlineStr">
        <is>
          <t>UPPSALA</t>
        </is>
      </c>
      <c r="F5110" t="inlineStr">
        <is>
          <t>Övriga Aktiebolag</t>
        </is>
      </c>
      <c r="G5110" t="n">
        <v>10.6</v>
      </c>
      <c r="H5110" t="n">
        <v>0</v>
      </c>
      <c r="I5110" t="n">
        <v>0</v>
      </c>
      <c r="J5110" t="n">
        <v>0</v>
      </c>
      <c r="K5110" t="n">
        <v>0</v>
      </c>
      <c r="L5110" t="n">
        <v>0</v>
      </c>
      <c r="M5110" t="n">
        <v>0</v>
      </c>
      <c r="N5110" t="n">
        <v>0</v>
      </c>
      <c r="O5110" t="n">
        <v>0</v>
      </c>
      <c r="P5110" t="n">
        <v>0</v>
      </c>
      <c r="Q5110" t="n">
        <v>0</v>
      </c>
      <c r="R5110" s="2" t="inlineStr"/>
    </row>
    <row r="5111" ht="15" customHeight="1">
      <c r="A5111" t="inlineStr">
        <is>
          <t>A 6102-2024</t>
        </is>
      </c>
      <c r="B5111" s="1" t="n">
        <v>45337</v>
      </c>
      <c r="C5111" s="1" t="n">
        <v>45846</v>
      </c>
      <c r="D5111" t="inlineStr">
        <is>
          <t>UPPSALA LÄN</t>
        </is>
      </c>
      <c r="E5111" t="inlineStr">
        <is>
          <t>ÖSTHAMMAR</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6106-2024</t>
        </is>
      </c>
      <c r="B5112" s="1" t="n">
        <v>45337</v>
      </c>
      <c r="C5112" s="1" t="n">
        <v>45846</v>
      </c>
      <c r="D5112" t="inlineStr">
        <is>
          <t>UPPSALA LÄN</t>
        </is>
      </c>
      <c r="E5112" t="inlineStr">
        <is>
          <t>ÖSTHAMMAR</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6144-2024</t>
        </is>
      </c>
      <c r="B5113" s="1" t="n">
        <v>45337</v>
      </c>
      <c r="C5113" s="1" t="n">
        <v>45846</v>
      </c>
      <c r="D5113" t="inlineStr">
        <is>
          <t>UPPSALA LÄN</t>
        </is>
      </c>
      <c r="E5113" t="inlineStr">
        <is>
          <t>ENKÖPING</t>
        </is>
      </c>
      <c r="G5113" t="n">
        <v>13.8</v>
      </c>
      <c r="H5113" t="n">
        <v>0</v>
      </c>
      <c r="I5113" t="n">
        <v>0</v>
      </c>
      <c r="J5113" t="n">
        <v>0</v>
      </c>
      <c r="K5113" t="n">
        <v>0</v>
      </c>
      <c r="L5113" t="n">
        <v>0</v>
      </c>
      <c r="M5113" t="n">
        <v>0</v>
      </c>
      <c r="N5113" t="n">
        <v>0</v>
      </c>
      <c r="O5113" t="n">
        <v>0</v>
      </c>
      <c r="P5113" t="n">
        <v>0</v>
      </c>
      <c r="Q5113" t="n">
        <v>0</v>
      </c>
      <c r="R5113" s="2" t="inlineStr"/>
    </row>
    <row r="5114" ht="15" customHeight="1">
      <c r="A5114" t="inlineStr">
        <is>
          <t>A 6143-2024</t>
        </is>
      </c>
      <c r="B5114" s="1" t="n">
        <v>45337</v>
      </c>
      <c r="C5114" s="1" t="n">
        <v>45846</v>
      </c>
      <c r="D5114" t="inlineStr">
        <is>
          <t>UPPSALA LÄN</t>
        </is>
      </c>
      <c r="E5114" t="inlineStr">
        <is>
          <t>ÖSTHAMMAR</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6121-2024</t>
        </is>
      </c>
      <c r="B5115" s="1" t="n">
        <v>45337</v>
      </c>
      <c r="C5115" s="1" t="n">
        <v>45846</v>
      </c>
      <c r="D5115" t="inlineStr">
        <is>
          <t>UPPSALA LÄN</t>
        </is>
      </c>
      <c r="E5115" t="inlineStr">
        <is>
          <t>ÖSTHAMMAR</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6363-2024</t>
        </is>
      </c>
      <c r="B5116" s="1" t="n">
        <v>45338</v>
      </c>
      <c r="C5116" s="1" t="n">
        <v>45846</v>
      </c>
      <c r="D5116" t="inlineStr">
        <is>
          <t>UPPSALA LÄN</t>
        </is>
      </c>
      <c r="E5116" t="inlineStr">
        <is>
          <t>UPPSALA</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6385-2024</t>
        </is>
      </c>
      <c r="B5117" s="1" t="n">
        <v>45338</v>
      </c>
      <c r="C5117" s="1" t="n">
        <v>45846</v>
      </c>
      <c r="D5117" t="inlineStr">
        <is>
          <t>UPPSALA LÄN</t>
        </is>
      </c>
      <c r="E5117" t="inlineStr">
        <is>
          <t>TIERP</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6395-2024</t>
        </is>
      </c>
      <c r="B5118" s="1" t="n">
        <v>45338</v>
      </c>
      <c r="C5118" s="1" t="n">
        <v>45846</v>
      </c>
      <c r="D5118" t="inlineStr">
        <is>
          <t>UPPSALA LÄN</t>
        </is>
      </c>
      <c r="E5118" t="inlineStr">
        <is>
          <t>TIERP</t>
        </is>
      </c>
      <c r="G5118" t="n">
        <v>4.6</v>
      </c>
      <c r="H5118" t="n">
        <v>0</v>
      </c>
      <c r="I5118" t="n">
        <v>0</v>
      </c>
      <c r="J5118" t="n">
        <v>0</v>
      </c>
      <c r="K5118" t="n">
        <v>0</v>
      </c>
      <c r="L5118" t="n">
        <v>0</v>
      </c>
      <c r="M5118" t="n">
        <v>0</v>
      </c>
      <c r="N5118" t="n">
        <v>0</v>
      </c>
      <c r="O5118" t="n">
        <v>0</v>
      </c>
      <c r="P5118" t="n">
        <v>0</v>
      </c>
      <c r="Q5118" t="n">
        <v>0</v>
      </c>
      <c r="R5118" s="2" t="inlineStr"/>
    </row>
    <row r="5119" ht="15" customHeight="1">
      <c r="A5119" t="inlineStr">
        <is>
          <t>A 6418-2024</t>
        </is>
      </c>
      <c r="B5119" s="1" t="n">
        <v>45338</v>
      </c>
      <c r="C5119" s="1" t="n">
        <v>45846</v>
      </c>
      <c r="D5119" t="inlineStr">
        <is>
          <t>UPPSALA LÄN</t>
        </is>
      </c>
      <c r="E5119" t="inlineStr">
        <is>
          <t>ÖSTHAMMAR</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6497-2024</t>
        </is>
      </c>
      <c r="B5120" s="1" t="n">
        <v>45339</v>
      </c>
      <c r="C5120" s="1" t="n">
        <v>45846</v>
      </c>
      <c r="D5120" t="inlineStr">
        <is>
          <t>UPPSALA LÄN</t>
        </is>
      </c>
      <c r="E5120" t="inlineStr">
        <is>
          <t>HEBY</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6501-2024</t>
        </is>
      </c>
      <c r="B5121" s="1" t="n">
        <v>45339</v>
      </c>
      <c r="C5121" s="1" t="n">
        <v>45846</v>
      </c>
      <c r="D5121" t="inlineStr">
        <is>
          <t>UPPSALA LÄN</t>
        </is>
      </c>
      <c r="E5121" t="inlineStr">
        <is>
          <t>UPPSALA</t>
        </is>
      </c>
      <c r="F5121" t="inlineStr">
        <is>
          <t>Bergvik skog öst AB</t>
        </is>
      </c>
      <c r="G5121" t="n">
        <v>5.3</v>
      </c>
      <c r="H5121" t="n">
        <v>0</v>
      </c>
      <c r="I5121" t="n">
        <v>0</v>
      </c>
      <c r="J5121" t="n">
        <v>0</v>
      </c>
      <c r="K5121" t="n">
        <v>0</v>
      </c>
      <c r="L5121" t="n">
        <v>0</v>
      </c>
      <c r="M5121" t="n">
        <v>0</v>
      </c>
      <c r="N5121" t="n">
        <v>0</v>
      </c>
      <c r="O5121" t="n">
        <v>0</v>
      </c>
      <c r="P5121" t="n">
        <v>0</v>
      </c>
      <c r="Q5121" t="n">
        <v>0</v>
      </c>
      <c r="R5121" s="2" t="inlineStr"/>
    </row>
    <row r="5122" ht="15" customHeight="1">
      <c r="A5122" t="inlineStr">
        <is>
          <t>A 6506-2024</t>
        </is>
      </c>
      <c r="B5122" s="1" t="n">
        <v>45339</v>
      </c>
      <c r="C5122" s="1" t="n">
        <v>45846</v>
      </c>
      <c r="D5122" t="inlineStr">
        <is>
          <t>UPPSALA LÄN</t>
        </is>
      </c>
      <c r="E5122" t="inlineStr">
        <is>
          <t>UPPSALA</t>
        </is>
      </c>
      <c r="F5122" t="inlineStr">
        <is>
          <t>Bergvik skog öst AB</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6505-2024</t>
        </is>
      </c>
      <c r="B5123" s="1" t="n">
        <v>45339</v>
      </c>
      <c r="C5123" s="1" t="n">
        <v>45846</v>
      </c>
      <c r="D5123" t="inlineStr">
        <is>
          <t>UPPSALA LÄN</t>
        </is>
      </c>
      <c r="E5123" t="inlineStr">
        <is>
          <t>UPPSALA</t>
        </is>
      </c>
      <c r="F5123" t="inlineStr">
        <is>
          <t>Bergvik skog öst AB</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6500-2024</t>
        </is>
      </c>
      <c r="B5124" s="1" t="n">
        <v>45339</v>
      </c>
      <c r="C5124" s="1" t="n">
        <v>45846</v>
      </c>
      <c r="D5124" t="inlineStr">
        <is>
          <t>UPPSALA LÄN</t>
        </is>
      </c>
      <c r="E5124" t="inlineStr">
        <is>
          <t>UPPSALA</t>
        </is>
      </c>
      <c r="F5124" t="inlineStr">
        <is>
          <t>Bergvik skog öst AB</t>
        </is>
      </c>
      <c r="G5124" t="n">
        <v>23.7</v>
      </c>
      <c r="H5124" t="n">
        <v>0</v>
      </c>
      <c r="I5124" t="n">
        <v>0</v>
      </c>
      <c r="J5124" t="n">
        <v>0</v>
      </c>
      <c r="K5124" t="n">
        <v>0</v>
      </c>
      <c r="L5124" t="n">
        <v>0</v>
      </c>
      <c r="M5124" t="n">
        <v>0</v>
      </c>
      <c r="N5124" t="n">
        <v>0</v>
      </c>
      <c r="O5124" t="n">
        <v>0</v>
      </c>
      <c r="P5124" t="n">
        <v>0</v>
      </c>
      <c r="Q5124" t="n">
        <v>0</v>
      </c>
      <c r="R5124" s="2" t="inlineStr"/>
    </row>
    <row r="5125" ht="15" customHeight="1">
      <c r="A5125" t="inlineStr">
        <is>
          <t>A 6504-2024</t>
        </is>
      </c>
      <c r="B5125" s="1" t="n">
        <v>45339</v>
      </c>
      <c r="C5125" s="1" t="n">
        <v>45846</v>
      </c>
      <c r="D5125" t="inlineStr">
        <is>
          <t>UPPSALA LÄN</t>
        </is>
      </c>
      <c r="E5125" t="inlineStr">
        <is>
          <t>UPPSALA</t>
        </is>
      </c>
      <c r="F5125" t="inlineStr">
        <is>
          <t>Bergvik skog öst AB</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6503-2024</t>
        </is>
      </c>
      <c r="B5126" s="1" t="n">
        <v>45339</v>
      </c>
      <c r="C5126" s="1" t="n">
        <v>45846</v>
      </c>
      <c r="D5126" t="inlineStr">
        <is>
          <t>UPPSALA LÄN</t>
        </is>
      </c>
      <c r="E5126" t="inlineStr">
        <is>
          <t>UPPSALA</t>
        </is>
      </c>
      <c r="F5126" t="inlineStr">
        <is>
          <t>Bergvik skog öst AB</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6507-2024</t>
        </is>
      </c>
      <c r="B5127" s="1" t="n">
        <v>45339</v>
      </c>
      <c r="C5127" s="1" t="n">
        <v>45846</v>
      </c>
      <c r="D5127" t="inlineStr">
        <is>
          <t>UPPSALA LÄN</t>
        </is>
      </c>
      <c r="E5127" t="inlineStr">
        <is>
          <t>UPPSALA</t>
        </is>
      </c>
      <c r="F5127" t="inlineStr">
        <is>
          <t>Bergvik skog öst AB</t>
        </is>
      </c>
      <c r="G5127" t="n">
        <v>6.6</v>
      </c>
      <c r="H5127" t="n">
        <v>0</v>
      </c>
      <c r="I5127" t="n">
        <v>0</v>
      </c>
      <c r="J5127" t="n">
        <v>0</v>
      </c>
      <c r="K5127" t="n">
        <v>0</v>
      </c>
      <c r="L5127" t="n">
        <v>0</v>
      </c>
      <c r="M5127" t="n">
        <v>0</v>
      </c>
      <c r="N5127" t="n">
        <v>0</v>
      </c>
      <c r="O5127" t="n">
        <v>0</v>
      </c>
      <c r="P5127" t="n">
        <v>0</v>
      </c>
      <c r="Q5127" t="n">
        <v>0</v>
      </c>
      <c r="R5127" s="2" t="inlineStr"/>
    </row>
    <row r="5128" ht="15" customHeight="1">
      <c r="A5128" t="inlineStr">
        <is>
          <t>A 6547-2024</t>
        </is>
      </c>
      <c r="B5128" s="1" t="n">
        <v>45341</v>
      </c>
      <c r="C5128" s="1" t="n">
        <v>45846</v>
      </c>
      <c r="D5128" t="inlineStr">
        <is>
          <t>UPPSALA LÄN</t>
        </is>
      </c>
      <c r="E5128" t="inlineStr">
        <is>
          <t>HEBY</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6555-2024</t>
        </is>
      </c>
      <c r="B5129" s="1" t="n">
        <v>45341</v>
      </c>
      <c r="C5129" s="1" t="n">
        <v>45846</v>
      </c>
      <c r="D5129" t="inlineStr">
        <is>
          <t>UPPSALA LÄN</t>
        </is>
      </c>
      <c r="E5129" t="inlineStr">
        <is>
          <t>HEBY</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6554-2024</t>
        </is>
      </c>
      <c r="B5130" s="1" t="n">
        <v>45341</v>
      </c>
      <c r="C5130" s="1" t="n">
        <v>45846</v>
      </c>
      <c r="D5130" t="inlineStr">
        <is>
          <t>UPPSALA LÄN</t>
        </is>
      </c>
      <c r="E5130" t="inlineStr">
        <is>
          <t>HEBY</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6628-2024</t>
        </is>
      </c>
      <c r="B5131" s="1" t="n">
        <v>45341</v>
      </c>
      <c r="C5131" s="1" t="n">
        <v>45846</v>
      </c>
      <c r="D5131" t="inlineStr">
        <is>
          <t>UPPSALA LÄN</t>
        </is>
      </c>
      <c r="E5131" t="inlineStr">
        <is>
          <t>UPPSALA</t>
        </is>
      </c>
      <c r="G5131" t="n">
        <v>4.3</v>
      </c>
      <c r="H5131" t="n">
        <v>0</v>
      </c>
      <c r="I5131" t="n">
        <v>0</v>
      </c>
      <c r="J5131" t="n">
        <v>0</v>
      </c>
      <c r="K5131" t="n">
        <v>0</v>
      </c>
      <c r="L5131" t="n">
        <v>0</v>
      </c>
      <c r="M5131" t="n">
        <v>0</v>
      </c>
      <c r="N5131" t="n">
        <v>0</v>
      </c>
      <c r="O5131" t="n">
        <v>0</v>
      </c>
      <c r="P5131" t="n">
        <v>0</v>
      </c>
      <c r="Q5131" t="n">
        <v>0</v>
      </c>
      <c r="R5131" s="2" t="inlineStr"/>
    </row>
    <row r="5132" ht="15" customHeight="1">
      <c r="A5132" t="inlineStr">
        <is>
          <t>A 6630-2024</t>
        </is>
      </c>
      <c r="B5132" s="1" t="n">
        <v>45341</v>
      </c>
      <c r="C5132" s="1" t="n">
        <v>45846</v>
      </c>
      <c r="D5132" t="inlineStr">
        <is>
          <t>UPPSALA LÄN</t>
        </is>
      </c>
      <c r="E5132" t="inlineStr">
        <is>
          <t>UPPSALA</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6650-2024</t>
        </is>
      </c>
      <c r="B5133" s="1" t="n">
        <v>45341</v>
      </c>
      <c r="C5133" s="1" t="n">
        <v>45846</v>
      </c>
      <c r="D5133" t="inlineStr">
        <is>
          <t>UPPSALA LÄN</t>
        </is>
      </c>
      <c r="E5133" t="inlineStr">
        <is>
          <t>UPPSALA</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6656-2024</t>
        </is>
      </c>
      <c r="B5134" s="1" t="n">
        <v>45341</v>
      </c>
      <c r="C5134" s="1" t="n">
        <v>45846</v>
      </c>
      <c r="D5134" t="inlineStr">
        <is>
          <t>UPPSALA LÄN</t>
        </is>
      </c>
      <c r="E5134" t="inlineStr">
        <is>
          <t>ÖSTHAMMAR</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6676-2024</t>
        </is>
      </c>
      <c r="B5135" s="1" t="n">
        <v>45341</v>
      </c>
      <c r="C5135" s="1" t="n">
        <v>45846</v>
      </c>
      <c r="D5135" t="inlineStr">
        <is>
          <t>UPPSALA LÄN</t>
        </is>
      </c>
      <c r="E5135" t="inlineStr">
        <is>
          <t>UPPSALA</t>
        </is>
      </c>
      <c r="F5135" t="inlineStr">
        <is>
          <t>Bergvik skog öst AB</t>
        </is>
      </c>
      <c r="G5135" t="n">
        <v>4.8</v>
      </c>
      <c r="H5135" t="n">
        <v>0</v>
      </c>
      <c r="I5135" t="n">
        <v>0</v>
      </c>
      <c r="J5135" t="n">
        <v>0</v>
      </c>
      <c r="K5135" t="n">
        <v>0</v>
      </c>
      <c r="L5135" t="n">
        <v>0</v>
      </c>
      <c r="M5135" t="n">
        <v>0</v>
      </c>
      <c r="N5135" t="n">
        <v>0</v>
      </c>
      <c r="O5135" t="n">
        <v>0</v>
      </c>
      <c r="P5135" t="n">
        <v>0</v>
      </c>
      <c r="Q5135" t="n">
        <v>0</v>
      </c>
      <c r="R5135" s="2" t="inlineStr"/>
    </row>
    <row r="5136" ht="15" customHeight="1">
      <c r="A5136" t="inlineStr">
        <is>
          <t>A 6609-2024</t>
        </is>
      </c>
      <c r="B5136" s="1" t="n">
        <v>45341</v>
      </c>
      <c r="C5136" s="1" t="n">
        <v>45846</v>
      </c>
      <c r="D5136" t="inlineStr">
        <is>
          <t>UPPSALA LÄN</t>
        </is>
      </c>
      <c r="E5136" t="inlineStr">
        <is>
          <t>UPPSALA</t>
        </is>
      </c>
      <c r="G5136" t="n">
        <v>5.2</v>
      </c>
      <c r="H5136" t="n">
        <v>0</v>
      </c>
      <c r="I5136" t="n">
        <v>0</v>
      </c>
      <c r="J5136" t="n">
        <v>0</v>
      </c>
      <c r="K5136" t="n">
        <v>0</v>
      </c>
      <c r="L5136" t="n">
        <v>0</v>
      </c>
      <c r="M5136" t="n">
        <v>0</v>
      </c>
      <c r="N5136" t="n">
        <v>0</v>
      </c>
      <c r="O5136" t="n">
        <v>0</v>
      </c>
      <c r="P5136" t="n">
        <v>0</v>
      </c>
      <c r="Q5136" t="n">
        <v>0</v>
      </c>
      <c r="R5136" s="2" t="inlineStr"/>
    </row>
    <row r="5137" ht="15" customHeight="1">
      <c r="A5137" t="inlineStr">
        <is>
          <t>A 6661-2024</t>
        </is>
      </c>
      <c r="B5137" s="1" t="n">
        <v>45341</v>
      </c>
      <c r="C5137" s="1" t="n">
        <v>45846</v>
      </c>
      <c r="D5137" t="inlineStr">
        <is>
          <t>UPPSALA LÄN</t>
        </is>
      </c>
      <c r="E5137" t="inlineStr">
        <is>
          <t>ÖSTHAMMAR</t>
        </is>
      </c>
      <c r="G5137" t="n">
        <v>0.2</v>
      </c>
      <c r="H5137" t="n">
        <v>0</v>
      </c>
      <c r="I5137" t="n">
        <v>0</v>
      </c>
      <c r="J5137" t="n">
        <v>0</v>
      </c>
      <c r="K5137" t="n">
        <v>0</v>
      </c>
      <c r="L5137" t="n">
        <v>0</v>
      </c>
      <c r="M5137" t="n">
        <v>0</v>
      </c>
      <c r="N5137" t="n">
        <v>0</v>
      </c>
      <c r="O5137" t="n">
        <v>0</v>
      </c>
      <c r="P5137" t="n">
        <v>0</v>
      </c>
      <c r="Q5137" t="n">
        <v>0</v>
      </c>
      <c r="R5137" s="2" t="inlineStr"/>
    </row>
    <row r="5138" ht="15" customHeight="1">
      <c r="A5138" t="inlineStr">
        <is>
          <t>A 6679-2024</t>
        </is>
      </c>
      <c r="B5138" s="1" t="n">
        <v>45341</v>
      </c>
      <c r="C5138" s="1" t="n">
        <v>45846</v>
      </c>
      <c r="D5138" t="inlineStr">
        <is>
          <t>UPPSALA LÄN</t>
        </is>
      </c>
      <c r="E5138" t="inlineStr">
        <is>
          <t>UPPSALA</t>
        </is>
      </c>
      <c r="F5138" t="inlineStr">
        <is>
          <t>Bergvik skog öst AB</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6677-2024</t>
        </is>
      </c>
      <c r="B5139" s="1" t="n">
        <v>45341</v>
      </c>
      <c r="C5139" s="1" t="n">
        <v>45846</v>
      </c>
      <c r="D5139" t="inlineStr">
        <is>
          <t>UPPSALA LÄN</t>
        </is>
      </c>
      <c r="E5139" t="inlineStr">
        <is>
          <t>UPPSALA</t>
        </is>
      </c>
      <c r="F5139" t="inlineStr">
        <is>
          <t>Bergvik skog öst AB</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6678-2024</t>
        </is>
      </c>
      <c r="B5140" s="1" t="n">
        <v>45341</v>
      </c>
      <c r="C5140" s="1" t="n">
        <v>45846</v>
      </c>
      <c r="D5140" t="inlineStr">
        <is>
          <t>UPPSALA LÄN</t>
        </is>
      </c>
      <c r="E5140" t="inlineStr">
        <is>
          <t>UPPSALA</t>
        </is>
      </c>
      <c r="F5140" t="inlineStr">
        <is>
          <t>Bergvik skog öst AB</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6882-2024</t>
        </is>
      </c>
      <c r="B5141" s="1" t="n">
        <v>45342</v>
      </c>
      <c r="C5141" s="1" t="n">
        <v>45846</v>
      </c>
      <c r="D5141" t="inlineStr">
        <is>
          <t>UPPSALA LÄN</t>
        </is>
      </c>
      <c r="E5141" t="inlineStr">
        <is>
          <t>HEBY</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6885-2024</t>
        </is>
      </c>
      <c r="B5142" s="1" t="n">
        <v>45342</v>
      </c>
      <c r="C5142" s="1" t="n">
        <v>45846</v>
      </c>
      <c r="D5142" t="inlineStr">
        <is>
          <t>UPPSALA LÄN</t>
        </is>
      </c>
      <c r="E5142" t="inlineStr">
        <is>
          <t>HEBY</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6966-2024</t>
        </is>
      </c>
      <c r="B5143" s="1" t="n">
        <v>45343</v>
      </c>
      <c r="C5143" s="1" t="n">
        <v>45846</v>
      </c>
      <c r="D5143" t="inlineStr">
        <is>
          <t>UPPSALA LÄN</t>
        </is>
      </c>
      <c r="E5143" t="inlineStr">
        <is>
          <t>UPPSALA</t>
        </is>
      </c>
      <c r="F5143" t="inlineStr">
        <is>
          <t>Holmen skog AB</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7048-2024</t>
        </is>
      </c>
      <c r="B5144" s="1" t="n">
        <v>45343</v>
      </c>
      <c r="C5144" s="1" t="n">
        <v>45846</v>
      </c>
      <c r="D5144" t="inlineStr">
        <is>
          <t>UPPSALA LÄN</t>
        </is>
      </c>
      <c r="E5144" t="inlineStr">
        <is>
          <t>TIERP</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7065-2024</t>
        </is>
      </c>
      <c r="B5145" s="1" t="n">
        <v>45343</v>
      </c>
      <c r="C5145" s="1" t="n">
        <v>45846</v>
      </c>
      <c r="D5145" t="inlineStr">
        <is>
          <t>UPPSALA LÄN</t>
        </is>
      </c>
      <c r="E5145" t="inlineStr">
        <is>
          <t>TIERP</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7084-2024</t>
        </is>
      </c>
      <c r="B5146" s="1" t="n">
        <v>45343</v>
      </c>
      <c r="C5146" s="1" t="n">
        <v>45846</v>
      </c>
      <c r="D5146" t="inlineStr">
        <is>
          <t>UPPSALA LÄN</t>
        </is>
      </c>
      <c r="E5146" t="inlineStr">
        <is>
          <t>HEBY</t>
        </is>
      </c>
      <c r="F5146" t="inlineStr">
        <is>
          <t>Kyrkan</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7088-2024</t>
        </is>
      </c>
      <c r="B5147" s="1" t="n">
        <v>45343</v>
      </c>
      <c r="C5147" s="1" t="n">
        <v>45846</v>
      </c>
      <c r="D5147" t="inlineStr">
        <is>
          <t>UPPSALA LÄN</t>
        </is>
      </c>
      <c r="E5147" t="inlineStr">
        <is>
          <t>HEBY</t>
        </is>
      </c>
      <c r="F5147" t="inlineStr">
        <is>
          <t>Kyrkan</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7169-2024</t>
        </is>
      </c>
      <c r="B5148" s="1" t="n">
        <v>45344</v>
      </c>
      <c r="C5148" s="1" t="n">
        <v>45846</v>
      </c>
      <c r="D5148" t="inlineStr">
        <is>
          <t>UPPSALA LÄN</t>
        </is>
      </c>
      <c r="E5148" t="inlineStr">
        <is>
          <t>HEBY</t>
        </is>
      </c>
      <c r="G5148" t="n">
        <v>4.7</v>
      </c>
      <c r="H5148" t="n">
        <v>0</v>
      </c>
      <c r="I5148" t="n">
        <v>0</v>
      </c>
      <c r="J5148" t="n">
        <v>0</v>
      </c>
      <c r="K5148" t="n">
        <v>0</v>
      </c>
      <c r="L5148" t="n">
        <v>0</v>
      </c>
      <c r="M5148" t="n">
        <v>0</v>
      </c>
      <c r="N5148" t="n">
        <v>0</v>
      </c>
      <c r="O5148" t="n">
        <v>0</v>
      </c>
      <c r="P5148" t="n">
        <v>0</v>
      </c>
      <c r="Q5148" t="n">
        <v>0</v>
      </c>
      <c r="R5148" s="2" t="inlineStr"/>
    </row>
    <row r="5149" ht="15" customHeight="1">
      <c r="A5149" t="inlineStr">
        <is>
          <t>A 7173-2024</t>
        </is>
      </c>
      <c r="B5149" s="1" t="n">
        <v>45344</v>
      </c>
      <c r="C5149" s="1" t="n">
        <v>45846</v>
      </c>
      <c r="D5149" t="inlineStr">
        <is>
          <t>UPPSALA LÄN</t>
        </is>
      </c>
      <c r="E5149" t="inlineStr">
        <is>
          <t>HEBY</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7253-2024</t>
        </is>
      </c>
      <c r="B5150" s="1" t="n">
        <v>45344</v>
      </c>
      <c r="C5150" s="1" t="n">
        <v>45846</v>
      </c>
      <c r="D5150" t="inlineStr">
        <is>
          <t>UPPSALA LÄN</t>
        </is>
      </c>
      <c r="E5150" t="inlineStr">
        <is>
          <t>UPPSALA</t>
        </is>
      </c>
      <c r="F5150" t="inlineStr">
        <is>
          <t>Kyrkan</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7158-2024</t>
        </is>
      </c>
      <c r="B5151" s="1" t="n">
        <v>45344</v>
      </c>
      <c r="C5151" s="1" t="n">
        <v>45846</v>
      </c>
      <c r="D5151" t="inlineStr">
        <is>
          <t>UPPSALA LÄN</t>
        </is>
      </c>
      <c r="E5151" t="inlineStr">
        <is>
          <t>UPPSALA</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7166-2024</t>
        </is>
      </c>
      <c r="B5152" s="1" t="n">
        <v>45344</v>
      </c>
      <c r="C5152" s="1" t="n">
        <v>45846</v>
      </c>
      <c r="D5152" t="inlineStr">
        <is>
          <t>UPPSALA LÄN</t>
        </is>
      </c>
      <c r="E5152" t="inlineStr">
        <is>
          <t>HEBY</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7175-2024</t>
        </is>
      </c>
      <c r="B5153" s="1" t="n">
        <v>45344</v>
      </c>
      <c r="C5153" s="1" t="n">
        <v>45846</v>
      </c>
      <c r="D5153" t="inlineStr">
        <is>
          <t>UPPSALA LÄN</t>
        </is>
      </c>
      <c r="E5153" t="inlineStr">
        <is>
          <t>UPPSALA</t>
        </is>
      </c>
      <c r="F5153" t="inlineStr">
        <is>
          <t>Kyrkan</t>
        </is>
      </c>
      <c r="G5153" t="n">
        <v>5.3</v>
      </c>
      <c r="H5153" t="n">
        <v>0</v>
      </c>
      <c r="I5153" t="n">
        <v>0</v>
      </c>
      <c r="J5153" t="n">
        <v>0</v>
      </c>
      <c r="K5153" t="n">
        <v>0</v>
      </c>
      <c r="L5153" t="n">
        <v>0</v>
      </c>
      <c r="M5153" t="n">
        <v>0</v>
      </c>
      <c r="N5153" t="n">
        <v>0</v>
      </c>
      <c r="O5153" t="n">
        <v>0</v>
      </c>
      <c r="P5153" t="n">
        <v>0</v>
      </c>
      <c r="Q5153" t="n">
        <v>0</v>
      </c>
      <c r="R5153" s="2" t="inlineStr"/>
    </row>
    <row r="5154" ht="15" customHeight="1">
      <c r="A5154" t="inlineStr">
        <is>
          <t>A 7127-2024</t>
        </is>
      </c>
      <c r="B5154" s="1" t="n">
        <v>45344</v>
      </c>
      <c r="C5154" s="1" t="n">
        <v>45846</v>
      </c>
      <c r="D5154" t="inlineStr">
        <is>
          <t>UPPSALA LÄN</t>
        </is>
      </c>
      <c r="E5154" t="inlineStr">
        <is>
          <t>TIERP</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7275-2024</t>
        </is>
      </c>
      <c r="B5155" s="1" t="n">
        <v>45344</v>
      </c>
      <c r="C5155" s="1" t="n">
        <v>45846</v>
      </c>
      <c r="D5155" t="inlineStr">
        <is>
          <t>UPPSALA LÄN</t>
        </is>
      </c>
      <c r="E5155" t="inlineStr">
        <is>
          <t>UPPSALA</t>
        </is>
      </c>
      <c r="F5155" t="inlineStr">
        <is>
          <t>Bergvik skog öst AB</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7226-2024</t>
        </is>
      </c>
      <c r="B5156" s="1" t="n">
        <v>45344</v>
      </c>
      <c r="C5156" s="1" t="n">
        <v>45846</v>
      </c>
      <c r="D5156" t="inlineStr">
        <is>
          <t>UPPSALA LÄN</t>
        </is>
      </c>
      <c r="E5156" t="inlineStr">
        <is>
          <t>UPPSALA</t>
        </is>
      </c>
      <c r="F5156" t="inlineStr">
        <is>
          <t>Kyrkan</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7274-2024</t>
        </is>
      </c>
      <c r="B5157" s="1" t="n">
        <v>45344</v>
      </c>
      <c r="C5157" s="1" t="n">
        <v>45846</v>
      </c>
      <c r="D5157" t="inlineStr">
        <is>
          <t>UPPSALA LÄN</t>
        </is>
      </c>
      <c r="E5157" t="inlineStr">
        <is>
          <t>UPPSALA</t>
        </is>
      </c>
      <c r="F5157" t="inlineStr">
        <is>
          <t>Bergvik skog öst AB</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7278-2024</t>
        </is>
      </c>
      <c r="B5158" s="1" t="n">
        <v>45344</v>
      </c>
      <c r="C5158" s="1" t="n">
        <v>45846</v>
      </c>
      <c r="D5158" t="inlineStr">
        <is>
          <t>UPPSALA LÄN</t>
        </is>
      </c>
      <c r="E5158" t="inlineStr">
        <is>
          <t>UPPSALA</t>
        </is>
      </c>
      <c r="F5158" t="inlineStr">
        <is>
          <t>Bergvik skog öst AB</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7160-2024</t>
        </is>
      </c>
      <c r="B5159" s="1" t="n">
        <v>45344</v>
      </c>
      <c r="C5159" s="1" t="n">
        <v>45846</v>
      </c>
      <c r="D5159" t="inlineStr">
        <is>
          <t>UPPSALA LÄN</t>
        </is>
      </c>
      <c r="E5159" t="inlineStr">
        <is>
          <t>HEBY</t>
        </is>
      </c>
      <c r="G5159" t="n">
        <v>3.4</v>
      </c>
      <c r="H5159" t="n">
        <v>0</v>
      </c>
      <c r="I5159" t="n">
        <v>0</v>
      </c>
      <c r="J5159" t="n">
        <v>0</v>
      </c>
      <c r="K5159" t="n">
        <v>0</v>
      </c>
      <c r="L5159" t="n">
        <v>0</v>
      </c>
      <c r="M5159" t="n">
        <v>0</v>
      </c>
      <c r="N5159" t="n">
        <v>0</v>
      </c>
      <c r="O5159" t="n">
        <v>0</v>
      </c>
      <c r="P5159" t="n">
        <v>0</v>
      </c>
      <c r="Q5159" t="n">
        <v>0</v>
      </c>
      <c r="R5159" s="2" t="inlineStr"/>
    </row>
    <row r="5160" ht="15" customHeight="1">
      <c r="A5160" t="inlineStr">
        <is>
          <t>A 7276-2024</t>
        </is>
      </c>
      <c r="B5160" s="1" t="n">
        <v>45344</v>
      </c>
      <c r="C5160" s="1" t="n">
        <v>45846</v>
      </c>
      <c r="D5160" t="inlineStr">
        <is>
          <t>UPPSALA LÄN</t>
        </is>
      </c>
      <c r="E5160" t="inlineStr">
        <is>
          <t>UPPSALA</t>
        </is>
      </c>
      <c r="F5160" t="inlineStr">
        <is>
          <t>Bergvik skog öst AB</t>
        </is>
      </c>
      <c r="G5160" t="n">
        <v>0.2</v>
      </c>
      <c r="H5160" t="n">
        <v>0</v>
      </c>
      <c r="I5160" t="n">
        <v>0</v>
      </c>
      <c r="J5160" t="n">
        <v>0</v>
      </c>
      <c r="K5160" t="n">
        <v>0</v>
      </c>
      <c r="L5160" t="n">
        <v>0</v>
      </c>
      <c r="M5160" t="n">
        <v>0</v>
      </c>
      <c r="N5160" t="n">
        <v>0</v>
      </c>
      <c r="O5160" t="n">
        <v>0</v>
      </c>
      <c r="P5160" t="n">
        <v>0</v>
      </c>
      <c r="Q5160" t="n">
        <v>0</v>
      </c>
      <c r="R5160" s="2" t="inlineStr"/>
    </row>
    <row r="5161" ht="15" customHeight="1">
      <c r="A5161" t="inlineStr">
        <is>
          <t>A 7389-2024</t>
        </is>
      </c>
      <c r="B5161" s="1" t="n">
        <v>45345</v>
      </c>
      <c r="C5161" s="1" t="n">
        <v>45846</v>
      </c>
      <c r="D5161" t="inlineStr">
        <is>
          <t>UPPSALA LÄN</t>
        </is>
      </c>
      <c r="E5161" t="inlineStr">
        <is>
          <t>UPPSALA</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7390-2024</t>
        </is>
      </c>
      <c r="B5162" s="1" t="n">
        <v>45345</v>
      </c>
      <c r="C5162" s="1" t="n">
        <v>45846</v>
      </c>
      <c r="D5162" t="inlineStr">
        <is>
          <t>UPPSALA LÄN</t>
        </is>
      </c>
      <c r="E5162" t="inlineStr">
        <is>
          <t>UPPSALA</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7400-2024</t>
        </is>
      </c>
      <c r="B5163" s="1" t="n">
        <v>45345</v>
      </c>
      <c r="C5163" s="1" t="n">
        <v>45846</v>
      </c>
      <c r="D5163" t="inlineStr">
        <is>
          <t>UPPSALA LÄN</t>
        </is>
      </c>
      <c r="E5163" t="inlineStr">
        <is>
          <t>UPPSALA</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7388-2024</t>
        </is>
      </c>
      <c r="B5164" s="1" t="n">
        <v>45345</v>
      </c>
      <c r="C5164" s="1" t="n">
        <v>45846</v>
      </c>
      <c r="D5164" t="inlineStr">
        <is>
          <t>UPPSALA LÄN</t>
        </is>
      </c>
      <c r="E5164" t="inlineStr">
        <is>
          <t>UPPSALA</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7407-2024</t>
        </is>
      </c>
      <c r="B5165" s="1" t="n">
        <v>45345</v>
      </c>
      <c r="C5165" s="1" t="n">
        <v>45846</v>
      </c>
      <c r="D5165" t="inlineStr">
        <is>
          <t>UPPSALA LÄN</t>
        </is>
      </c>
      <c r="E5165" t="inlineStr">
        <is>
          <t>UPPSALA</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7403-2024</t>
        </is>
      </c>
      <c r="B5166" s="1" t="n">
        <v>45345</v>
      </c>
      <c r="C5166" s="1" t="n">
        <v>45846</v>
      </c>
      <c r="D5166" t="inlineStr">
        <is>
          <t>UPPSALA LÄN</t>
        </is>
      </c>
      <c r="E5166" t="inlineStr">
        <is>
          <t>UPPSALA</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7649-2024</t>
        </is>
      </c>
      <c r="B5167" s="1" t="n">
        <v>45348</v>
      </c>
      <c r="C5167" s="1" t="n">
        <v>45846</v>
      </c>
      <c r="D5167" t="inlineStr">
        <is>
          <t>UPPSALA LÄN</t>
        </is>
      </c>
      <c r="E5167" t="inlineStr">
        <is>
          <t>UPPSALA</t>
        </is>
      </c>
      <c r="F5167" t="inlineStr">
        <is>
          <t>Kyrkan</t>
        </is>
      </c>
      <c r="G5167" t="n">
        <v>6.2</v>
      </c>
      <c r="H5167" t="n">
        <v>0</v>
      </c>
      <c r="I5167" t="n">
        <v>0</v>
      </c>
      <c r="J5167" t="n">
        <v>0</v>
      </c>
      <c r="K5167" t="n">
        <v>0</v>
      </c>
      <c r="L5167" t="n">
        <v>0</v>
      </c>
      <c r="M5167" t="n">
        <v>0</v>
      </c>
      <c r="N5167" t="n">
        <v>0</v>
      </c>
      <c r="O5167" t="n">
        <v>0</v>
      </c>
      <c r="P5167" t="n">
        <v>0</v>
      </c>
      <c r="Q5167" t="n">
        <v>0</v>
      </c>
      <c r="R5167" s="2" t="inlineStr"/>
    </row>
    <row r="5168" ht="15" customHeight="1">
      <c r="A5168" t="inlineStr">
        <is>
          <t>A 7654-2024</t>
        </is>
      </c>
      <c r="B5168" s="1" t="n">
        <v>45348</v>
      </c>
      <c r="C5168" s="1" t="n">
        <v>45846</v>
      </c>
      <c r="D5168" t="inlineStr">
        <is>
          <t>UPPSALA LÄN</t>
        </is>
      </c>
      <c r="E5168" t="inlineStr">
        <is>
          <t>UPPSALA</t>
        </is>
      </c>
      <c r="F5168" t="inlineStr">
        <is>
          <t>Kyrkan</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7732-2024</t>
        </is>
      </c>
      <c r="B5169" s="1" t="n">
        <v>45349</v>
      </c>
      <c r="C5169" s="1" t="n">
        <v>45846</v>
      </c>
      <c r="D5169" t="inlineStr">
        <is>
          <t>UPPSALA LÄN</t>
        </is>
      </c>
      <c r="E5169" t="inlineStr">
        <is>
          <t>UPPSALA</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7727-2024</t>
        </is>
      </c>
      <c r="B5170" s="1" t="n">
        <v>45349</v>
      </c>
      <c r="C5170" s="1" t="n">
        <v>45846</v>
      </c>
      <c r="D5170" t="inlineStr">
        <is>
          <t>UPPSALA LÄN</t>
        </is>
      </c>
      <c r="E5170" t="inlineStr">
        <is>
          <t>UPPSALA</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7750-2024</t>
        </is>
      </c>
      <c r="B5171" s="1" t="n">
        <v>45349</v>
      </c>
      <c r="C5171" s="1" t="n">
        <v>45846</v>
      </c>
      <c r="D5171" t="inlineStr">
        <is>
          <t>UPPSALA LÄN</t>
        </is>
      </c>
      <c r="E5171" t="inlineStr">
        <is>
          <t>UPPSALA</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7868-2024</t>
        </is>
      </c>
      <c r="B5172" s="1" t="n">
        <v>45350</v>
      </c>
      <c r="C5172" s="1" t="n">
        <v>45846</v>
      </c>
      <c r="D5172" t="inlineStr">
        <is>
          <t>UPPSALA LÄN</t>
        </is>
      </c>
      <c r="E5172" t="inlineStr">
        <is>
          <t>ENKÖPING</t>
        </is>
      </c>
      <c r="G5172" t="n">
        <v>0.3</v>
      </c>
      <c r="H5172" t="n">
        <v>0</v>
      </c>
      <c r="I5172" t="n">
        <v>0</v>
      </c>
      <c r="J5172" t="n">
        <v>0</v>
      </c>
      <c r="K5172" t="n">
        <v>0</v>
      </c>
      <c r="L5172" t="n">
        <v>0</v>
      </c>
      <c r="M5172" t="n">
        <v>0</v>
      </c>
      <c r="N5172" t="n">
        <v>0</v>
      </c>
      <c r="O5172" t="n">
        <v>0</v>
      </c>
      <c r="P5172" t="n">
        <v>0</v>
      </c>
      <c r="Q5172" t="n">
        <v>0</v>
      </c>
      <c r="R5172" s="2" t="inlineStr"/>
    </row>
    <row r="5173" ht="15" customHeight="1">
      <c r="A5173" t="inlineStr">
        <is>
          <t>A 7974-2024</t>
        </is>
      </c>
      <c r="B5173" s="1" t="n">
        <v>45350</v>
      </c>
      <c r="C5173" s="1" t="n">
        <v>45846</v>
      </c>
      <c r="D5173" t="inlineStr">
        <is>
          <t>UPPSALA LÄN</t>
        </is>
      </c>
      <c r="E5173" t="inlineStr">
        <is>
          <t>UPPSALA</t>
        </is>
      </c>
      <c r="F5173" t="inlineStr">
        <is>
          <t>Övriga Aktiebolag</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7866-2024</t>
        </is>
      </c>
      <c r="B5174" s="1" t="n">
        <v>45350</v>
      </c>
      <c r="C5174" s="1" t="n">
        <v>45846</v>
      </c>
      <c r="D5174" t="inlineStr">
        <is>
          <t>UPPSALA LÄN</t>
        </is>
      </c>
      <c r="E5174" t="inlineStr">
        <is>
          <t>ENKÖPING</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7870-2024</t>
        </is>
      </c>
      <c r="B5175" s="1" t="n">
        <v>45350</v>
      </c>
      <c r="C5175" s="1" t="n">
        <v>45846</v>
      </c>
      <c r="D5175" t="inlineStr">
        <is>
          <t>UPPSALA LÄN</t>
        </is>
      </c>
      <c r="E5175" t="inlineStr">
        <is>
          <t>ENKÖPING</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8056-2024</t>
        </is>
      </c>
      <c r="B5176" s="1" t="n">
        <v>45351</v>
      </c>
      <c r="C5176" s="1" t="n">
        <v>45846</v>
      </c>
      <c r="D5176" t="inlineStr">
        <is>
          <t>UPPSALA LÄN</t>
        </is>
      </c>
      <c r="E5176" t="inlineStr">
        <is>
          <t>HEBY</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8112-2024</t>
        </is>
      </c>
      <c r="B5177" s="1" t="n">
        <v>45351</v>
      </c>
      <c r="C5177" s="1" t="n">
        <v>45846</v>
      </c>
      <c r="D5177" t="inlineStr">
        <is>
          <t>UPPSALA LÄN</t>
        </is>
      </c>
      <c r="E5177" t="inlineStr">
        <is>
          <t>HEBY</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8132-2024</t>
        </is>
      </c>
      <c r="B5178" s="1" t="n">
        <v>45351</v>
      </c>
      <c r="C5178" s="1" t="n">
        <v>45846</v>
      </c>
      <c r="D5178" t="inlineStr">
        <is>
          <t>UPPSALA LÄN</t>
        </is>
      </c>
      <c r="E5178" t="inlineStr">
        <is>
          <t>UPPSALA</t>
        </is>
      </c>
      <c r="F5178" t="inlineStr">
        <is>
          <t>Övriga Aktiebolag</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8103-2024</t>
        </is>
      </c>
      <c r="B5179" s="1" t="n">
        <v>45351</v>
      </c>
      <c r="C5179" s="1" t="n">
        <v>45846</v>
      </c>
      <c r="D5179" t="inlineStr">
        <is>
          <t>UPPSALA LÄN</t>
        </is>
      </c>
      <c r="E5179" t="inlineStr">
        <is>
          <t>ENKÖPING</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8137-2024</t>
        </is>
      </c>
      <c r="B5180" s="1" t="n">
        <v>45351</v>
      </c>
      <c r="C5180" s="1" t="n">
        <v>45846</v>
      </c>
      <c r="D5180" t="inlineStr">
        <is>
          <t>UPPSALA LÄN</t>
        </is>
      </c>
      <c r="E5180" t="inlineStr">
        <is>
          <t>HEBY</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8168-2024</t>
        </is>
      </c>
      <c r="B5181" s="1" t="n">
        <v>45351</v>
      </c>
      <c r="C5181" s="1" t="n">
        <v>45846</v>
      </c>
      <c r="D5181" t="inlineStr">
        <is>
          <t>UPPSALA LÄN</t>
        </is>
      </c>
      <c r="E5181" t="inlineStr">
        <is>
          <t>HEBY</t>
        </is>
      </c>
      <c r="G5181" t="n">
        <v>5.6</v>
      </c>
      <c r="H5181" t="n">
        <v>0</v>
      </c>
      <c r="I5181" t="n">
        <v>0</v>
      </c>
      <c r="J5181" t="n">
        <v>0</v>
      </c>
      <c r="K5181" t="n">
        <v>0</v>
      </c>
      <c r="L5181" t="n">
        <v>0</v>
      </c>
      <c r="M5181" t="n">
        <v>0</v>
      </c>
      <c r="N5181" t="n">
        <v>0</v>
      </c>
      <c r="O5181" t="n">
        <v>0</v>
      </c>
      <c r="P5181" t="n">
        <v>0</v>
      </c>
      <c r="Q5181" t="n">
        <v>0</v>
      </c>
      <c r="R5181" s="2" t="inlineStr"/>
    </row>
    <row r="5182" ht="15" customHeight="1">
      <c r="A5182" t="inlineStr">
        <is>
          <t>A 8109-2024</t>
        </is>
      </c>
      <c r="B5182" s="1" t="n">
        <v>45351</v>
      </c>
      <c r="C5182" s="1" t="n">
        <v>45846</v>
      </c>
      <c r="D5182" t="inlineStr">
        <is>
          <t>UPPSALA LÄN</t>
        </is>
      </c>
      <c r="E5182" t="inlineStr">
        <is>
          <t>UPPSALA</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8139-2024</t>
        </is>
      </c>
      <c r="B5183" s="1" t="n">
        <v>45351</v>
      </c>
      <c r="C5183" s="1" t="n">
        <v>45846</v>
      </c>
      <c r="D5183" t="inlineStr">
        <is>
          <t>UPPSALA LÄN</t>
        </is>
      </c>
      <c r="E5183" t="inlineStr">
        <is>
          <t>HEBY</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8155-2024</t>
        </is>
      </c>
      <c r="B5184" s="1" t="n">
        <v>45351</v>
      </c>
      <c r="C5184" s="1" t="n">
        <v>45846</v>
      </c>
      <c r="D5184" t="inlineStr">
        <is>
          <t>UPPSALA LÄN</t>
        </is>
      </c>
      <c r="E5184" t="inlineStr">
        <is>
          <t>HEBY</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8152-2024</t>
        </is>
      </c>
      <c r="B5185" s="1" t="n">
        <v>45351</v>
      </c>
      <c r="C5185" s="1" t="n">
        <v>45846</v>
      </c>
      <c r="D5185" t="inlineStr">
        <is>
          <t>UPPSALA LÄN</t>
        </is>
      </c>
      <c r="E5185" t="inlineStr">
        <is>
          <t>HEBY</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8217-2024</t>
        </is>
      </c>
      <c r="B5186" s="1" t="n">
        <v>45351</v>
      </c>
      <c r="C5186" s="1" t="n">
        <v>45846</v>
      </c>
      <c r="D5186" t="inlineStr">
        <is>
          <t>UPPSALA LÄN</t>
        </is>
      </c>
      <c r="E5186" t="inlineStr">
        <is>
          <t>ENKÖPING</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8672-2024</t>
        </is>
      </c>
      <c r="B5187" s="1" t="n">
        <v>45352</v>
      </c>
      <c r="C5187" s="1" t="n">
        <v>45846</v>
      </c>
      <c r="D5187" t="inlineStr">
        <is>
          <t>UPPSALA LÄN</t>
        </is>
      </c>
      <c r="E5187" t="inlineStr">
        <is>
          <t>UPPSALA</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8343-2024</t>
        </is>
      </c>
      <c r="B5188" s="1" t="n">
        <v>45352</v>
      </c>
      <c r="C5188" s="1" t="n">
        <v>45846</v>
      </c>
      <c r="D5188" t="inlineStr">
        <is>
          <t>UPPSALA LÄN</t>
        </is>
      </c>
      <c r="E5188" t="inlineStr">
        <is>
          <t>KNIVSTA</t>
        </is>
      </c>
      <c r="F5188" t="inlineStr">
        <is>
          <t>Holmen skog AB</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8357-2024</t>
        </is>
      </c>
      <c r="B5189" s="1" t="n">
        <v>45352</v>
      </c>
      <c r="C5189" s="1" t="n">
        <v>45846</v>
      </c>
      <c r="D5189" t="inlineStr">
        <is>
          <t>UPPSALA LÄN</t>
        </is>
      </c>
      <c r="E5189" t="inlineStr">
        <is>
          <t>KNIVSTA</t>
        </is>
      </c>
      <c r="F5189" t="inlineStr">
        <is>
          <t>Holmen skog AB</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8338-2024</t>
        </is>
      </c>
      <c r="B5190" s="1" t="n">
        <v>45352</v>
      </c>
      <c r="C5190" s="1" t="n">
        <v>45846</v>
      </c>
      <c r="D5190" t="inlineStr">
        <is>
          <t>UPPSALA LÄN</t>
        </is>
      </c>
      <c r="E5190" t="inlineStr">
        <is>
          <t>UPPSALA</t>
        </is>
      </c>
      <c r="F5190" t="inlineStr">
        <is>
          <t>Kyrkan</t>
        </is>
      </c>
      <c r="G5190" t="n">
        <v>5.7</v>
      </c>
      <c r="H5190" t="n">
        <v>0</v>
      </c>
      <c r="I5190" t="n">
        <v>0</v>
      </c>
      <c r="J5190" t="n">
        <v>0</v>
      </c>
      <c r="K5190" t="n">
        <v>0</v>
      </c>
      <c r="L5190" t="n">
        <v>0</v>
      </c>
      <c r="M5190" t="n">
        <v>0</v>
      </c>
      <c r="N5190" t="n">
        <v>0</v>
      </c>
      <c r="O5190" t="n">
        <v>0</v>
      </c>
      <c r="P5190" t="n">
        <v>0</v>
      </c>
      <c r="Q5190" t="n">
        <v>0</v>
      </c>
      <c r="R5190" s="2" t="inlineStr"/>
    </row>
    <row r="5191" ht="15" customHeight="1">
      <c r="A5191" t="inlineStr">
        <is>
          <t>A 8473-2024</t>
        </is>
      </c>
      <c r="B5191" s="1" t="n">
        <v>45355</v>
      </c>
      <c r="C5191" s="1" t="n">
        <v>45846</v>
      </c>
      <c r="D5191" t="inlineStr">
        <is>
          <t>UPPSALA LÄN</t>
        </is>
      </c>
      <c r="E5191" t="inlineStr">
        <is>
          <t>HEBY</t>
        </is>
      </c>
      <c r="F5191" t="inlineStr">
        <is>
          <t>Kyrkan</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8699-2024</t>
        </is>
      </c>
      <c r="B5192" s="1" t="n">
        <v>45355</v>
      </c>
      <c r="C5192" s="1" t="n">
        <v>45846</v>
      </c>
      <c r="D5192" t="inlineStr">
        <is>
          <t>UPPSALA LÄN</t>
        </is>
      </c>
      <c r="E5192" t="inlineStr">
        <is>
          <t>HEBY</t>
        </is>
      </c>
      <c r="G5192" t="n">
        <v>3.7</v>
      </c>
      <c r="H5192" t="n">
        <v>0</v>
      </c>
      <c r="I5192" t="n">
        <v>0</v>
      </c>
      <c r="J5192" t="n">
        <v>0</v>
      </c>
      <c r="K5192" t="n">
        <v>0</v>
      </c>
      <c r="L5192" t="n">
        <v>0</v>
      </c>
      <c r="M5192" t="n">
        <v>0</v>
      </c>
      <c r="N5192" t="n">
        <v>0</v>
      </c>
      <c r="O5192" t="n">
        <v>0</v>
      </c>
      <c r="P5192" t="n">
        <v>0</v>
      </c>
      <c r="Q5192" t="n">
        <v>0</v>
      </c>
      <c r="R5192" s="2" t="inlineStr"/>
    </row>
    <row r="5193" ht="15" customHeight="1">
      <c r="A5193" t="inlineStr">
        <is>
          <t>A 8702-2024</t>
        </is>
      </c>
      <c r="B5193" s="1" t="n">
        <v>45355</v>
      </c>
      <c r="C5193" s="1" t="n">
        <v>45846</v>
      </c>
      <c r="D5193" t="inlineStr">
        <is>
          <t>UPPSALA LÄN</t>
        </is>
      </c>
      <c r="E5193" t="inlineStr">
        <is>
          <t>HEBY</t>
        </is>
      </c>
      <c r="G5193" t="n">
        <v>12.6</v>
      </c>
      <c r="H5193" t="n">
        <v>0</v>
      </c>
      <c r="I5193" t="n">
        <v>0</v>
      </c>
      <c r="J5193" t="n">
        <v>0</v>
      </c>
      <c r="K5193" t="n">
        <v>0</v>
      </c>
      <c r="L5193" t="n">
        <v>0</v>
      </c>
      <c r="M5193" t="n">
        <v>0</v>
      </c>
      <c r="N5193" t="n">
        <v>0</v>
      </c>
      <c r="O5193" t="n">
        <v>0</v>
      </c>
      <c r="P5193" t="n">
        <v>0</v>
      </c>
      <c r="Q5193" t="n">
        <v>0</v>
      </c>
      <c r="R5193" s="2" t="inlineStr"/>
    </row>
    <row r="5194" ht="15" customHeight="1">
      <c r="A5194" t="inlineStr">
        <is>
          <t>A 8689-2024</t>
        </is>
      </c>
      <c r="B5194" s="1" t="n">
        <v>45355</v>
      </c>
      <c r="C5194" s="1" t="n">
        <v>45846</v>
      </c>
      <c r="D5194" t="inlineStr">
        <is>
          <t>UPPSALA LÄN</t>
        </is>
      </c>
      <c r="E5194" t="inlineStr">
        <is>
          <t>HEBY</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8673-2024</t>
        </is>
      </c>
      <c r="B5195" s="1" t="n">
        <v>45356</v>
      </c>
      <c r="C5195" s="1" t="n">
        <v>45846</v>
      </c>
      <c r="D5195" t="inlineStr">
        <is>
          <t>UPPSALA LÄN</t>
        </is>
      </c>
      <c r="E5195" t="inlineStr">
        <is>
          <t>ÖSTHAMMAR</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8906-2024</t>
        </is>
      </c>
      <c r="B5196" s="1" t="n">
        <v>45357</v>
      </c>
      <c r="C5196" s="1" t="n">
        <v>45846</v>
      </c>
      <c r="D5196" t="inlineStr">
        <is>
          <t>UPPSALA LÄN</t>
        </is>
      </c>
      <c r="E5196" t="inlineStr">
        <is>
          <t>HEBY</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8958-2024</t>
        </is>
      </c>
      <c r="B5197" s="1" t="n">
        <v>45357</v>
      </c>
      <c r="C5197" s="1" t="n">
        <v>45846</v>
      </c>
      <c r="D5197" t="inlineStr">
        <is>
          <t>UPPSALA LÄN</t>
        </is>
      </c>
      <c r="E5197" t="inlineStr">
        <is>
          <t>TIERP</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8944-2024</t>
        </is>
      </c>
      <c r="B5198" s="1" t="n">
        <v>45357</v>
      </c>
      <c r="C5198" s="1" t="n">
        <v>45846</v>
      </c>
      <c r="D5198" t="inlineStr">
        <is>
          <t>UPPSALA LÄN</t>
        </is>
      </c>
      <c r="E5198" t="inlineStr">
        <is>
          <t>KNIVSTA</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9235-2024</t>
        </is>
      </c>
      <c r="B5199" s="1" t="n">
        <v>45357</v>
      </c>
      <c r="C5199" s="1" t="n">
        <v>45846</v>
      </c>
      <c r="D5199" t="inlineStr">
        <is>
          <t>UPPSALA LÄN</t>
        </is>
      </c>
      <c r="E5199" t="inlineStr">
        <is>
          <t>UPPSALA</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9185-2024</t>
        </is>
      </c>
      <c r="B5200" s="1" t="n">
        <v>45358</v>
      </c>
      <c r="C5200" s="1" t="n">
        <v>45846</v>
      </c>
      <c r="D5200" t="inlineStr">
        <is>
          <t>UPPSALA LÄN</t>
        </is>
      </c>
      <c r="E5200" t="inlineStr">
        <is>
          <t>ENKÖPING</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9201-2024</t>
        </is>
      </c>
      <c r="B5201" s="1" t="n">
        <v>45358</v>
      </c>
      <c r="C5201" s="1" t="n">
        <v>45846</v>
      </c>
      <c r="D5201" t="inlineStr">
        <is>
          <t>UPPSALA LÄN</t>
        </is>
      </c>
      <c r="E5201" t="inlineStr">
        <is>
          <t>UPPSALA</t>
        </is>
      </c>
      <c r="F5201" t="inlineStr">
        <is>
          <t>Allmännings- och besparingsskogar</t>
        </is>
      </c>
      <c r="G5201" t="n">
        <v>6.5</v>
      </c>
      <c r="H5201" t="n">
        <v>0</v>
      </c>
      <c r="I5201" t="n">
        <v>0</v>
      </c>
      <c r="J5201" t="n">
        <v>0</v>
      </c>
      <c r="K5201" t="n">
        <v>0</v>
      </c>
      <c r="L5201" t="n">
        <v>0</v>
      </c>
      <c r="M5201" t="n">
        <v>0</v>
      </c>
      <c r="N5201" t="n">
        <v>0</v>
      </c>
      <c r="O5201" t="n">
        <v>0</v>
      </c>
      <c r="P5201" t="n">
        <v>0</v>
      </c>
      <c r="Q5201" t="n">
        <v>0</v>
      </c>
      <c r="R5201" s="2" t="inlineStr"/>
    </row>
    <row r="5202" ht="15" customHeight="1">
      <c r="A5202" t="inlineStr">
        <is>
          <t>A 9130-2024</t>
        </is>
      </c>
      <c r="B5202" s="1" t="n">
        <v>45358</v>
      </c>
      <c r="C5202" s="1" t="n">
        <v>45846</v>
      </c>
      <c r="D5202" t="inlineStr">
        <is>
          <t>UPPSALA LÄN</t>
        </is>
      </c>
      <c r="E5202" t="inlineStr">
        <is>
          <t>TIERP</t>
        </is>
      </c>
      <c r="G5202" t="n">
        <v>6.3</v>
      </c>
      <c r="H5202" t="n">
        <v>0</v>
      </c>
      <c r="I5202" t="n">
        <v>0</v>
      </c>
      <c r="J5202" t="n">
        <v>0</v>
      </c>
      <c r="K5202" t="n">
        <v>0</v>
      </c>
      <c r="L5202" t="n">
        <v>0</v>
      </c>
      <c r="M5202" t="n">
        <v>0</v>
      </c>
      <c r="N5202" t="n">
        <v>0</v>
      </c>
      <c r="O5202" t="n">
        <v>0</v>
      </c>
      <c r="P5202" t="n">
        <v>0</v>
      </c>
      <c r="Q5202" t="n">
        <v>0</v>
      </c>
      <c r="R5202" s="2" t="inlineStr"/>
    </row>
    <row r="5203" ht="15" customHeight="1">
      <c r="A5203" t="inlineStr">
        <is>
          <t>A 9174-2024</t>
        </is>
      </c>
      <c r="B5203" s="1" t="n">
        <v>45358</v>
      </c>
      <c r="C5203" s="1" t="n">
        <v>45846</v>
      </c>
      <c r="D5203" t="inlineStr">
        <is>
          <t>UPPSALA LÄN</t>
        </is>
      </c>
      <c r="E5203" t="inlineStr">
        <is>
          <t>ENKÖPING</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9195-2024</t>
        </is>
      </c>
      <c r="B5204" s="1" t="n">
        <v>45358</v>
      </c>
      <c r="C5204" s="1" t="n">
        <v>45846</v>
      </c>
      <c r="D5204" t="inlineStr">
        <is>
          <t>UPPSALA LÄN</t>
        </is>
      </c>
      <c r="E5204" t="inlineStr">
        <is>
          <t>UPPSALA</t>
        </is>
      </c>
      <c r="F5204" t="inlineStr">
        <is>
          <t>Allmännings- och besparingsskogar</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9264-2024</t>
        </is>
      </c>
      <c r="B5205" s="1" t="n">
        <v>45358</v>
      </c>
      <c r="C5205" s="1" t="n">
        <v>45846</v>
      </c>
      <c r="D5205" t="inlineStr">
        <is>
          <t>UPPSALA LÄN</t>
        </is>
      </c>
      <c r="E5205" t="inlineStr">
        <is>
          <t>ÖSTHAMMAR</t>
        </is>
      </c>
      <c r="F5205" t="inlineStr">
        <is>
          <t>Bergvik skog öst AB</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9267-2024</t>
        </is>
      </c>
      <c r="B5206" s="1" t="n">
        <v>45358</v>
      </c>
      <c r="C5206" s="1" t="n">
        <v>45846</v>
      </c>
      <c r="D5206" t="inlineStr">
        <is>
          <t>UPPSALA LÄN</t>
        </is>
      </c>
      <c r="E5206" t="inlineStr">
        <is>
          <t>ÖSTHAMMAR</t>
        </is>
      </c>
      <c r="F5206" t="inlineStr">
        <is>
          <t>Bergvik skog öst AB</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9291-2024</t>
        </is>
      </c>
      <c r="B5207" s="1" t="n">
        <v>45358</v>
      </c>
      <c r="C5207" s="1" t="n">
        <v>45846</v>
      </c>
      <c r="D5207" t="inlineStr">
        <is>
          <t>UPPSALA LÄN</t>
        </is>
      </c>
      <c r="E5207" t="inlineStr">
        <is>
          <t>ÖSTHAMMAR</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9171-2024</t>
        </is>
      </c>
      <c r="B5208" s="1" t="n">
        <v>45358</v>
      </c>
      <c r="C5208" s="1" t="n">
        <v>45846</v>
      </c>
      <c r="D5208" t="inlineStr">
        <is>
          <t>UPPSALA LÄN</t>
        </is>
      </c>
      <c r="E5208" t="inlineStr">
        <is>
          <t>ENKÖPING</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9175-2024</t>
        </is>
      </c>
      <c r="B5209" s="1" t="n">
        <v>45358</v>
      </c>
      <c r="C5209" s="1" t="n">
        <v>45846</v>
      </c>
      <c r="D5209" t="inlineStr">
        <is>
          <t>UPPSALA LÄN</t>
        </is>
      </c>
      <c r="E5209" t="inlineStr">
        <is>
          <t>ENKÖPING</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9192-2024</t>
        </is>
      </c>
      <c r="B5210" s="1" t="n">
        <v>45358</v>
      </c>
      <c r="C5210" s="1" t="n">
        <v>45846</v>
      </c>
      <c r="D5210" t="inlineStr">
        <is>
          <t>UPPSALA LÄN</t>
        </is>
      </c>
      <c r="E5210" t="inlineStr">
        <is>
          <t>ENKÖPING</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9255-2024</t>
        </is>
      </c>
      <c r="B5211" s="1" t="n">
        <v>45358</v>
      </c>
      <c r="C5211" s="1" t="n">
        <v>45846</v>
      </c>
      <c r="D5211" t="inlineStr">
        <is>
          <t>UPPSALA LÄN</t>
        </is>
      </c>
      <c r="E5211" t="inlineStr">
        <is>
          <t>UPPSALA</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9428-2024</t>
        </is>
      </c>
      <c r="B5212" s="1" t="n">
        <v>45359</v>
      </c>
      <c r="C5212" s="1" t="n">
        <v>45846</v>
      </c>
      <c r="D5212" t="inlineStr">
        <is>
          <t>UPPSALA LÄN</t>
        </is>
      </c>
      <c r="E5212" t="inlineStr">
        <is>
          <t>UPPSALA</t>
        </is>
      </c>
      <c r="F5212" t="inlineStr">
        <is>
          <t>Bergvik skog öst AB</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9453-2024</t>
        </is>
      </c>
      <c r="B5213" s="1" t="n">
        <v>45359</v>
      </c>
      <c r="C5213" s="1" t="n">
        <v>45846</v>
      </c>
      <c r="D5213" t="inlineStr">
        <is>
          <t>UPPSALA LÄN</t>
        </is>
      </c>
      <c r="E5213" t="inlineStr">
        <is>
          <t>UPPSALA</t>
        </is>
      </c>
      <c r="F5213" t="inlineStr">
        <is>
          <t>Bergvik skog öst AB</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9608-2024</t>
        </is>
      </c>
      <c r="B5214" s="1" t="n">
        <v>45361</v>
      </c>
      <c r="C5214" s="1" t="n">
        <v>45846</v>
      </c>
      <c r="D5214" t="inlineStr">
        <is>
          <t>UPPSALA LÄN</t>
        </is>
      </c>
      <c r="E5214" t="inlineStr">
        <is>
          <t>UPPSALA</t>
        </is>
      </c>
      <c r="F5214" t="inlineStr">
        <is>
          <t>Bergvik skog öst AB</t>
        </is>
      </c>
      <c r="G5214" t="n">
        <v>4</v>
      </c>
      <c r="H5214" t="n">
        <v>0</v>
      </c>
      <c r="I5214" t="n">
        <v>0</v>
      </c>
      <c r="J5214" t="n">
        <v>0</v>
      </c>
      <c r="K5214" t="n">
        <v>0</v>
      </c>
      <c r="L5214" t="n">
        <v>0</v>
      </c>
      <c r="M5214" t="n">
        <v>0</v>
      </c>
      <c r="N5214" t="n">
        <v>0</v>
      </c>
      <c r="O5214" t="n">
        <v>0</v>
      </c>
      <c r="P5214" t="n">
        <v>0</v>
      </c>
      <c r="Q5214" t="n">
        <v>0</v>
      </c>
      <c r="R5214" s="2" t="inlineStr"/>
    </row>
    <row r="5215" ht="15" customHeight="1">
      <c r="A5215" t="inlineStr">
        <is>
          <t>A 9609-2024</t>
        </is>
      </c>
      <c r="B5215" s="1" t="n">
        <v>45361</v>
      </c>
      <c r="C5215" s="1" t="n">
        <v>45846</v>
      </c>
      <c r="D5215" t="inlineStr">
        <is>
          <t>UPPSALA LÄN</t>
        </is>
      </c>
      <c r="E5215" t="inlineStr">
        <is>
          <t>UPPSALA</t>
        </is>
      </c>
      <c r="F5215" t="inlineStr">
        <is>
          <t>Bergvik skog öst AB</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9610-2024</t>
        </is>
      </c>
      <c r="B5216" s="1" t="n">
        <v>45361</v>
      </c>
      <c r="C5216" s="1" t="n">
        <v>45846</v>
      </c>
      <c r="D5216" t="inlineStr">
        <is>
          <t>UPPSALA LÄN</t>
        </is>
      </c>
      <c r="E5216" t="inlineStr">
        <is>
          <t>UPPSALA</t>
        </is>
      </c>
      <c r="F5216" t="inlineStr">
        <is>
          <t>Bergvik skog öst AB</t>
        </is>
      </c>
      <c r="G5216" t="n">
        <v>7.3</v>
      </c>
      <c r="H5216" t="n">
        <v>0</v>
      </c>
      <c r="I5216" t="n">
        <v>0</v>
      </c>
      <c r="J5216" t="n">
        <v>0</v>
      </c>
      <c r="K5216" t="n">
        <v>0</v>
      </c>
      <c r="L5216" t="n">
        <v>0</v>
      </c>
      <c r="M5216" t="n">
        <v>0</v>
      </c>
      <c r="N5216" t="n">
        <v>0</v>
      </c>
      <c r="O5216" t="n">
        <v>0</v>
      </c>
      <c r="P5216" t="n">
        <v>0</v>
      </c>
      <c r="Q5216" t="n">
        <v>0</v>
      </c>
      <c r="R5216" s="2" t="inlineStr"/>
    </row>
    <row r="5217" ht="15" customHeight="1">
      <c r="A5217" t="inlineStr">
        <is>
          <t>A 9625-2024</t>
        </is>
      </c>
      <c r="B5217" s="1" t="n">
        <v>45361</v>
      </c>
      <c r="C5217" s="1" t="n">
        <v>45846</v>
      </c>
      <c r="D5217" t="inlineStr">
        <is>
          <t>UPPSALA LÄN</t>
        </is>
      </c>
      <c r="E5217" t="inlineStr">
        <is>
          <t>UPPSALA</t>
        </is>
      </c>
      <c r="F5217" t="inlineStr">
        <is>
          <t>Bergvik skog öst AB</t>
        </is>
      </c>
      <c r="G5217" t="n">
        <v>5.9</v>
      </c>
      <c r="H5217" t="n">
        <v>0</v>
      </c>
      <c r="I5217" t="n">
        <v>0</v>
      </c>
      <c r="J5217" t="n">
        <v>0</v>
      </c>
      <c r="K5217" t="n">
        <v>0</v>
      </c>
      <c r="L5217" t="n">
        <v>0</v>
      </c>
      <c r="M5217" t="n">
        <v>0</v>
      </c>
      <c r="N5217" t="n">
        <v>0</v>
      </c>
      <c r="O5217" t="n">
        <v>0</v>
      </c>
      <c r="P5217" t="n">
        <v>0</v>
      </c>
      <c r="Q5217" t="n">
        <v>0</v>
      </c>
      <c r="R5217" s="2" t="inlineStr"/>
    </row>
    <row r="5218" ht="15" customHeight="1">
      <c r="A5218" t="inlineStr">
        <is>
          <t>A 9611-2024</t>
        </is>
      </c>
      <c r="B5218" s="1" t="n">
        <v>45361</v>
      </c>
      <c r="C5218" s="1" t="n">
        <v>45846</v>
      </c>
      <c r="D5218" t="inlineStr">
        <is>
          <t>UPPSALA LÄN</t>
        </is>
      </c>
      <c r="E5218" t="inlineStr">
        <is>
          <t>UPPSALA</t>
        </is>
      </c>
      <c r="F5218" t="inlineStr">
        <is>
          <t>Bergvik skog öst AB</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9686-2024</t>
        </is>
      </c>
      <c r="B5219" s="1" t="n">
        <v>45362</v>
      </c>
      <c r="C5219" s="1" t="n">
        <v>45846</v>
      </c>
      <c r="D5219" t="inlineStr">
        <is>
          <t>UPPSALA LÄN</t>
        </is>
      </c>
      <c r="E5219" t="inlineStr">
        <is>
          <t>HEBY</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9681-2024</t>
        </is>
      </c>
      <c r="B5220" s="1" t="n">
        <v>45362</v>
      </c>
      <c r="C5220" s="1" t="n">
        <v>45846</v>
      </c>
      <c r="D5220" t="inlineStr">
        <is>
          <t>UPPSALA LÄN</t>
        </is>
      </c>
      <c r="E5220" t="inlineStr">
        <is>
          <t>HEBY</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9735-2024</t>
        </is>
      </c>
      <c r="B5221" s="1" t="n">
        <v>45362</v>
      </c>
      <c r="C5221" s="1" t="n">
        <v>45846</v>
      </c>
      <c r="D5221" t="inlineStr">
        <is>
          <t>UPPSALA LÄN</t>
        </is>
      </c>
      <c r="E5221" t="inlineStr">
        <is>
          <t>UPPSALA</t>
        </is>
      </c>
      <c r="F5221" t="inlineStr">
        <is>
          <t>Bergvik skog öst AB</t>
        </is>
      </c>
      <c r="G5221" t="n">
        <v>13.6</v>
      </c>
      <c r="H5221" t="n">
        <v>0</v>
      </c>
      <c r="I5221" t="n">
        <v>0</v>
      </c>
      <c r="J5221" t="n">
        <v>0</v>
      </c>
      <c r="K5221" t="n">
        <v>0</v>
      </c>
      <c r="L5221" t="n">
        <v>0</v>
      </c>
      <c r="M5221" t="n">
        <v>0</v>
      </c>
      <c r="N5221" t="n">
        <v>0</v>
      </c>
      <c r="O5221" t="n">
        <v>0</v>
      </c>
      <c r="P5221" t="n">
        <v>0</v>
      </c>
      <c r="Q5221" t="n">
        <v>0</v>
      </c>
      <c r="R5221" s="2" t="inlineStr"/>
    </row>
    <row r="5222" ht="15" customHeight="1">
      <c r="A5222" t="inlineStr">
        <is>
          <t>A 9642-2024</t>
        </is>
      </c>
      <c r="B5222" s="1" t="n">
        <v>45362</v>
      </c>
      <c r="C5222" s="1" t="n">
        <v>45846</v>
      </c>
      <c r="D5222" t="inlineStr">
        <is>
          <t>UPPSALA LÄN</t>
        </is>
      </c>
      <c r="E5222" t="inlineStr">
        <is>
          <t>ÖSTHAMMAR</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9667-2024</t>
        </is>
      </c>
      <c r="B5223" s="1" t="n">
        <v>45362</v>
      </c>
      <c r="C5223" s="1" t="n">
        <v>45846</v>
      </c>
      <c r="D5223" t="inlineStr">
        <is>
          <t>UPPSALA LÄN</t>
        </is>
      </c>
      <c r="E5223" t="inlineStr">
        <is>
          <t>ENKÖPING</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9675-2024</t>
        </is>
      </c>
      <c r="B5224" s="1" t="n">
        <v>45362</v>
      </c>
      <c r="C5224" s="1" t="n">
        <v>45846</v>
      </c>
      <c r="D5224" t="inlineStr">
        <is>
          <t>UPPSALA LÄN</t>
        </is>
      </c>
      <c r="E5224" t="inlineStr">
        <is>
          <t>UPPSALA</t>
        </is>
      </c>
      <c r="F5224" t="inlineStr">
        <is>
          <t>Bergvik skog öst AB</t>
        </is>
      </c>
      <c r="G5224" t="n">
        <v>0.3</v>
      </c>
      <c r="H5224" t="n">
        <v>0</v>
      </c>
      <c r="I5224" t="n">
        <v>0</v>
      </c>
      <c r="J5224" t="n">
        <v>0</v>
      </c>
      <c r="K5224" t="n">
        <v>0</v>
      </c>
      <c r="L5224" t="n">
        <v>0</v>
      </c>
      <c r="M5224" t="n">
        <v>0</v>
      </c>
      <c r="N5224" t="n">
        <v>0</v>
      </c>
      <c r="O5224" t="n">
        <v>0</v>
      </c>
      <c r="P5224" t="n">
        <v>0</v>
      </c>
      <c r="Q5224" t="n">
        <v>0</v>
      </c>
      <c r="R5224" s="2" t="inlineStr"/>
    </row>
    <row r="5225" ht="15" customHeight="1">
      <c r="A5225" t="inlineStr">
        <is>
          <t>A 9914-2024</t>
        </is>
      </c>
      <c r="B5225" s="1" t="n">
        <v>45363</v>
      </c>
      <c r="C5225" s="1" t="n">
        <v>45846</v>
      </c>
      <c r="D5225" t="inlineStr">
        <is>
          <t>UPPSALA LÄN</t>
        </is>
      </c>
      <c r="E5225" t="inlineStr">
        <is>
          <t>UPPSALA</t>
        </is>
      </c>
      <c r="F5225" t="inlineStr">
        <is>
          <t>Bergvik skog väst AB</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9927-2024</t>
        </is>
      </c>
      <c r="B5226" s="1" t="n">
        <v>45363</v>
      </c>
      <c r="C5226" s="1" t="n">
        <v>45846</v>
      </c>
      <c r="D5226" t="inlineStr">
        <is>
          <t>UPPSALA LÄN</t>
        </is>
      </c>
      <c r="E5226" t="inlineStr">
        <is>
          <t>ÖSTHAMMAR</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9917-2024</t>
        </is>
      </c>
      <c r="B5227" s="1" t="n">
        <v>45363</v>
      </c>
      <c r="C5227" s="1" t="n">
        <v>45846</v>
      </c>
      <c r="D5227" t="inlineStr">
        <is>
          <t>UPPSALA LÄN</t>
        </is>
      </c>
      <c r="E5227" t="inlineStr">
        <is>
          <t>UPPSALA</t>
        </is>
      </c>
      <c r="F5227" t="inlineStr">
        <is>
          <t>Bergvik skog väst AB</t>
        </is>
      </c>
      <c r="G5227" t="n">
        <v>7.1</v>
      </c>
      <c r="H5227" t="n">
        <v>0</v>
      </c>
      <c r="I5227" t="n">
        <v>0</v>
      </c>
      <c r="J5227" t="n">
        <v>0</v>
      </c>
      <c r="K5227" t="n">
        <v>0</v>
      </c>
      <c r="L5227" t="n">
        <v>0</v>
      </c>
      <c r="M5227" t="n">
        <v>0</v>
      </c>
      <c r="N5227" t="n">
        <v>0</v>
      </c>
      <c r="O5227" t="n">
        <v>0</v>
      </c>
      <c r="P5227" t="n">
        <v>0</v>
      </c>
      <c r="Q5227" t="n">
        <v>0</v>
      </c>
      <c r="R5227" s="2" t="inlineStr"/>
    </row>
    <row r="5228" ht="15" customHeight="1">
      <c r="A5228" t="inlineStr">
        <is>
          <t>A 10015-2024</t>
        </is>
      </c>
      <c r="B5228" s="1" t="n">
        <v>45363</v>
      </c>
      <c r="C5228" s="1" t="n">
        <v>45846</v>
      </c>
      <c r="D5228" t="inlineStr">
        <is>
          <t>UPPSALA LÄN</t>
        </is>
      </c>
      <c r="E5228" t="inlineStr">
        <is>
          <t>HEBY</t>
        </is>
      </c>
      <c r="G5228" t="n">
        <v>5.4</v>
      </c>
      <c r="H5228" t="n">
        <v>0</v>
      </c>
      <c r="I5228" t="n">
        <v>0</v>
      </c>
      <c r="J5228" t="n">
        <v>0</v>
      </c>
      <c r="K5228" t="n">
        <v>0</v>
      </c>
      <c r="L5228" t="n">
        <v>0</v>
      </c>
      <c r="M5228" t="n">
        <v>0</v>
      </c>
      <c r="N5228" t="n">
        <v>0</v>
      </c>
      <c r="O5228" t="n">
        <v>0</v>
      </c>
      <c r="P5228" t="n">
        <v>0</v>
      </c>
      <c r="Q5228" t="n">
        <v>0</v>
      </c>
      <c r="R5228" s="2" t="inlineStr"/>
    </row>
    <row r="5229" ht="15" customHeight="1">
      <c r="A5229" t="inlineStr">
        <is>
          <t>A 9970-2024</t>
        </is>
      </c>
      <c r="B5229" s="1" t="n">
        <v>45363</v>
      </c>
      <c r="C5229" s="1" t="n">
        <v>45846</v>
      </c>
      <c r="D5229" t="inlineStr">
        <is>
          <t>UPPSALA LÄN</t>
        </is>
      </c>
      <c r="E5229" t="inlineStr">
        <is>
          <t>KNIVSTA</t>
        </is>
      </c>
      <c r="F5229" t="inlineStr">
        <is>
          <t>Holmen skog AB</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10069-2024</t>
        </is>
      </c>
      <c r="B5230" s="1" t="n">
        <v>45364</v>
      </c>
      <c r="C5230" s="1" t="n">
        <v>45846</v>
      </c>
      <c r="D5230" t="inlineStr">
        <is>
          <t>UPPSALA LÄN</t>
        </is>
      </c>
      <c r="E5230" t="inlineStr">
        <is>
          <t>HEBY</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10066-2024</t>
        </is>
      </c>
      <c r="B5231" s="1" t="n">
        <v>45364</v>
      </c>
      <c r="C5231" s="1" t="n">
        <v>45846</v>
      </c>
      <c r="D5231" t="inlineStr">
        <is>
          <t>UPPSALA LÄN</t>
        </is>
      </c>
      <c r="E5231" t="inlineStr">
        <is>
          <t>HEBY</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10086-2024</t>
        </is>
      </c>
      <c r="B5232" s="1" t="n">
        <v>45364</v>
      </c>
      <c r="C5232" s="1" t="n">
        <v>45846</v>
      </c>
      <c r="D5232" t="inlineStr">
        <is>
          <t>UPPSALA LÄN</t>
        </is>
      </c>
      <c r="E5232" t="inlineStr">
        <is>
          <t>UPPSALA</t>
        </is>
      </c>
      <c r="F5232" t="inlineStr">
        <is>
          <t>Bergvik skog öst AB</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10146-2024</t>
        </is>
      </c>
      <c r="B5233" s="1" t="n">
        <v>45364</v>
      </c>
      <c r="C5233" s="1" t="n">
        <v>45846</v>
      </c>
      <c r="D5233" t="inlineStr">
        <is>
          <t>UPPSALA LÄN</t>
        </is>
      </c>
      <c r="E5233" t="inlineStr">
        <is>
          <t>UPPSALA</t>
        </is>
      </c>
      <c r="F5233" t="inlineStr">
        <is>
          <t>Bergvik skog öst AB</t>
        </is>
      </c>
      <c r="G5233" t="n">
        <v>8</v>
      </c>
      <c r="H5233" t="n">
        <v>0</v>
      </c>
      <c r="I5233" t="n">
        <v>0</v>
      </c>
      <c r="J5233" t="n">
        <v>0</v>
      </c>
      <c r="K5233" t="n">
        <v>0</v>
      </c>
      <c r="L5233" t="n">
        <v>0</v>
      </c>
      <c r="M5233" t="n">
        <v>0</v>
      </c>
      <c r="N5233" t="n">
        <v>0</v>
      </c>
      <c r="O5233" t="n">
        <v>0</v>
      </c>
      <c r="P5233" t="n">
        <v>0</v>
      </c>
      <c r="Q5233" t="n">
        <v>0</v>
      </c>
      <c r="R5233" s="2" t="inlineStr"/>
    </row>
    <row r="5234" ht="15" customHeight="1">
      <c r="A5234" t="inlineStr">
        <is>
          <t>A 10072-2024</t>
        </is>
      </c>
      <c r="B5234" s="1" t="n">
        <v>45364</v>
      </c>
      <c r="C5234" s="1" t="n">
        <v>45846</v>
      </c>
      <c r="D5234" t="inlineStr">
        <is>
          <t>UPPSALA LÄN</t>
        </is>
      </c>
      <c r="E5234" t="inlineStr">
        <is>
          <t>HEBY</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10269-2024</t>
        </is>
      </c>
      <c r="B5235" s="1" t="n">
        <v>45365</v>
      </c>
      <c r="C5235" s="1" t="n">
        <v>45846</v>
      </c>
      <c r="D5235" t="inlineStr">
        <is>
          <t>UPPSALA LÄN</t>
        </is>
      </c>
      <c r="E5235" t="inlineStr">
        <is>
          <t>HEBY</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10430-2024</t>
        </is>
      </c>
      <c r="B5236" s="1" t="n">
        <v>45365</v>
      </c>
      <c r="C5236" s="1" t="n">
        <v>45846</v>
      </c>
      <c r="D5236" t="inlineStr">
        <is>
          <t>UPPSALA LÄN</t>
        </is>
      </c>
      <c r="E5236" t="inlineStr">
        <is>
          <t>ÖSTHAMMAR</t>
        </is>
      </c>
      <c r="F5236" t="inlineStr">
        <is>
          <t>Bergvik skog öst AB</t>
        </is>
      </c>
      <c r="G5236" t="n">
        <v>5.8</v>
      </c>
      <c r="H5236" t="n">
        <v>0</v>
      </c>
      <c r="I5236" t="n">
        <v>0</v>
      </c>
      <c r="J5236" t="n">
        <v>0</v>
      </c>
      <c r="K5236" t="n">
        <v>0</v>
      </c>
      <c r="L5236" t="n">
        <v>0</v>
      </c>
      <c r="M5236" t="n">
        <v>0</v>
      </c>
      <c r="N5236" t="n">
        <v>0</v>
      </c>
      <c r="O5236" t="n">
        <v>0</v>
      </c>
      <c r="P5236" t="n">
        <v>0</v>
      </c>
      <c r="Q5236" t="n">
        <v>0</v>
      </c>
      <c r="R5236" s="2" t="inlineStr"/>
    </row>
    <row r="5237" ht="15" customHeight="1">
      <c r="A5237" t="inlineStr">
        <is>
          <t>A 10429-2024</t>
        </is>
      </c>
      <c r="B5237" s="1" t="n">
        <v>45365</v>
      </c>
      <c r="C5237" s="1" t="n">
        <v>45846</v>
      </c>
      <c r="D5237" t="inlineStr">
        <is>
          <t>UPPSALA LÄN</t>
        </is>
      </c>
      <c r="E5237" t="inlineStr">
        <is>
          <t>ÖSTHAMMAR</t>
        </is>
      </c>
      <c r="F5237" t="inlineStr">
        <is>
          <t>Bergvik skog öst AB</t>
        </is>
      </c>
      <c r="G5237" t="n">
        <v>5.9</v>
      </c>
      <c r="H5237" t="n">
        <v>0</v>
      </c>
      <c r="I5237" t="n">
        <v>0</v>
      </c>
      <c r="J5237" t="n">
        <v>0</v>
      </c>
      <c r="K5237" t="n">
        <v>0</v>
      </c>
      <c r="L5237" t="n">
        <v>0</v>
      </c>
      <c r="M5237" t="n">
        <v>0</v>
      </c>
      <c r="N5237" t="n">
        <v>0</v>
      </c>
      <c r="O5237" t="n">
        <v>0</v>
      </c>
      <c r="P5237" t="n">
        <v>0</v>
      </c>
      <c r="Q5237" t="n">
        <v>0</v>
      </c>
      <c r="R5237" s="2" t="inlineStr"/>
    </row>
    <row r="5238" ht="15" customHeight="1">
      <c r="A5238" t="inlineStr">
        <is>
          <t>A 10431-2024</t>
        </is>
      </c>
      <c r="B5238" s="1" t="n">
        <v>45365</v>
      </c>
      <c r="C5238" s="1" t="n">
        <v>45846</v>
      </c>
      <c r="D5238" t="inlineStr">
        <is>
          <t>UPPSALA LÄN</t>
        </is>
      </c>
      <c r="E5238" t="inlineStr">
        <is>
          <t>ÖSTHAMMAR</t>
        </is>
      </c>
      <c r="F5238" t="inlineStr">
        <is>
          <t>Bergvik skog öst AB</t>
        </is>
      </c>
      <c r="G5238" t="n">
        <v>13.2</v>
      </c>
      <c r="H5238" t="n">
        <v>0</v>
      </c>
      <c r="I5238" t="n">
        <v>0</v>
      </c>
      <c r="J5238" t="n">
        <v>0</v>
      </c>
      <c r="K5238" t="n">
        <v>0</v>
      </c>
      <c r="L5238" t="n">
        <v>0</v>
      </c>
      <c r="M5238" t="n">
        <v>0</v>
      </c>
      <c r="N5238" t="n">
        <v>0</v>
      </c>
      <c r="O5238" t="n">
        <v>0</v>
      </c>
      <c r="P5238" t="n">
        <v>0</v>
      </c>
      <c r="Q5238" t="n">
        <v>0</v>
      </c>
      <c r="R5238" s="2" t="inlineStr"/>
    </row>
    <row r="5239" ht="15" customHeight="1">
      <c r="A5239" t="inlineStr">
        <is>
          <t>A 10477-2024</t>
        </is>
      </c>
      <c r="B5239" s="1" t="n">
        <v>45366</v>
      </c>
      <c r="C5239" s="1" t="n">
        <v>45846</v>
      </c>
      <c r="D5239" t="inlineStr">
        <is>
          <t>UPPSALA LÄN</t>
        </is>
      </c>
      <c r="E5239" t="inlineStr">
        <is>
          <t>UPPSALA</t>
        </is>
      </c>
      <c r="F5239" t="inlineStr">
        <is>
          <t>Holmen skog AB</t>
        </is>
      </c>
      <c r="G5239" t="n">
        <v>5.2</v>
      </c>
      <c r="H5239" t="n">
        <v>0</v>
      </c>
      <c r="I5239" t="n">
        <v>0</v>
      </c>
      <c r="J5239" t="n">
        <v>0</v>
      </c>
      <c r="K5239" t="n">
        <v>0</v>
      </c>
      <c r="L5239" t="n">
        <v>0</v>
      </c>
      <c r="M5239" t="n">
        <v>0</v>
      </c>
      <c r="N5239" t="n">
        <v>0</v>
      </c>
      <c r="O5239" t="n">
        <v>0</v>
      </c>
      <c r="P5239" t="n">
        <v>0</v>
      </c>
      <c r="Q5239" t="n">
        <v>0</v>
      </c>
      <c r="R5239" s="2" t="inlineStr"/>
    </row>
    <row r="5240" ht="15" customHeight="1">
      <c r="A5240" t="inlineStr">
        <is>
          <t>A 10534-2024</t>
        </is>
      </c>
      <c r="B5240" s="1" t="n">
        <v>45366</v>
      </c>
      <c r="C5240" s="1" t="n">
        <v>45846</v>
      </c>
      <c r="D5240" t="inlineStr">
        <is>
          <t>UPPSALA LÄN</t>
        </is>
      </c>
      <c r="E5240" t="inlineStr">
        <is>
          <t>HEBY</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10550-2024</t>
        </is>
      </c>
      <c r="B5241" s="1" t="n">
        <v>45366</v>
      </c>
      <c r="C5241" s="1" t="n">
        <v>45846</v>
      </c>
      <c r="D5241" t="inlineStr">
        <is>
          <t>UPPSALA LÄN</t>
        </is>
      </c>
      <c r="E5241" t="inlineStr">
        <is>
          <t>TIERP</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10474-2024</t>
        </is>
      </c>
      <c r="B5242" s="1" t="n">
        <v>45366</v>
      </c>
      <c r="C5242" s="1" t="n">
        <v>45846</v>
      </c>
      <c r="D5242" t="inlineStr">
        <is>
          <t>UPPSALA LÄN</t>
        </is>
      </c>
      <c r="E5242" t="inlineStr">
        <is>
          <t>UPPSALA</t>
        </is>
      </c>
      <c r="F5242" t="inlineStr">
        <is>
          <t>Holmen skog AB</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10551-2024</t>
        </is>
      </c>
      <c r="B5243" s="1" t="n">
        <v>45366</v>
      </c>
      <c r="C5243" s="1" t="n">
        <v>45846</v>
      </c>
      <c r="D5243" t="inlineStr">
        <is>
          <t>UPPSALA LÄN</t>
        </is>
      </c>
      <c r="E5243" t="inlineStr">
        <is>
          <t>TIERP</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10638-2024</t>
        </is>
      </c>
      <c r="B5244" s="1" t="n">
        <v>45367</v>
      </c>
      <c r="C5244" s="1" t="n">
        <v>45846</v>
      </c>
      <c r="D5244" t="inlineStr">
        <is>
          <t>UPPSALA LÄN</t>
        </is>
      </c>
      <c r="E5244" t="inlineStr">
        <is>
          <t>ÖSTHAMMAR</t>
        </is>
      </c>
      <c r="F5244" t="inlineStr">
        <is>
          <t>Bergvik skog öst AB</t>
        </is>
      </c>
      <c r="G5244" t="n">
        <v>9.800000000000001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10650-2024</t>
        </is>
      </c>
      <c r="B5245" s="1" t="n">
        <v>45368</v>
      </c>
      <c r="C5245" s="1" t="n">
        <v>45846</v>
      </c>
      <c r="D5245" t="inlineStr">
        <is>
          <t>UPPSALA LÄN</t>
        </is>
      </c>
      <c r="E5245" t="inlineStr">
        <is>
          <t>UPPSALA</t>
        </is>
      </c>
      <c r="F5245" t="inlineStr">
        <is>
          <t>Bergvik skog öst AB</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10651-2024</t>
        </is>
      </c>
      <c r="B5246" s="1" t="n">
        <v>45368</v>
      </c>
      <c r="C5246" s="1" t="n">
        <v>45846</v>
      </c>
      <c r="D5246" t="inlineStr">
        <is>
          <t>UPPSALA LÄN</t>
        </is>
      </c>
      <c r="E5246" t="inlineStr">
        <is>
          <t>UPPSALA</t>
        </is>
      </c>
      <c r="F5246" t="inlineStr">
        <is>
          <t>Bergvik skog öst AB</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10653-2024</t>
        </is>
      </c>
      <c r="B5247" s="1" t="n">
        <v>45368</v>
      </c>
      <c r="C5247" s="1" t="n">
        <v>45846</v>
      </c>
      <c r="D5247" t="inlineStr">
        <is>
          <t>UPPSALA LÄN</t>
        </is>
      </c>
      <c r="E5247" t="inlineStr">
        <is>
          <t>UPPSALA</t>
        </is>
      </c>
      <c r="F5247" t="inlineStr">
        <is>
          <t>Bergvik skog öst AB</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10652-2024</t>
        </is>
      </c>
      <c r="B5248" s="1" t="n">
        <v>45368</v>
      </c>
      <c r="C5248" s="1" t="n">
        <v>45846</v>
      </c>
      <c r="D5248" t="inlineStr">
        <is>
          <t>UPPSALA LÄN</t>
        </is>
      </c>
      <c r="E5248" t="inlineStr">
        <is>
          <t>UPPSALA</t>
        </is>
      </c>
      <c r="F5248" t="inlineStr">
        <is>
          <t>Bergvik skog öst AB</t>
        </is>
      </c>
      <c r="G5248" t="n">
        <v>5.5</v>
      </c>
      <c r="H5248" t="n">
        <v>0</v>
      </c>
      <c r="I5248" t="n">
        <v>0</v>
      </c>
      <c r="J5248" t="n">
        <v>0</v>
      </c>
      <c r="K5248" t="n">
        <v>0</v>
      </c>
      <c r="L5248" t="n">
        <v>0</v>
      </c>
      <c r="M5248" t="n">
        <v>0</v>
      </c>
      <c r="N5248" t="n">
        <v>0</v>
      </c>
      <c r="O5248" t="n">
        <v>0</v>
      </c>
      <c r="P5248" t="n">
        <v>0</v>
      </c>
      <c r="Q5248" t="n">
        <v>0</v>
      </c>
      <c r="R5248" s="2" t="inlineStr"/>
    </row>
    <row r="5249" ht="15" customHeight="1">
      <c r="A5249" t="inlineStr">
        <is>
          <t>A 10829-2024</t>
        </is>
      </c>
      <c r="B5249" s="1" t="n">
        <v>45369</v>
      </c>
      <c r="C5249" s="1" t="n">
        <v>45846</v>
      </c>
      <c r="D5249" t="inlineStr">
        <is>
          <t>UPPSALA LÄN</t>
        </is>
      </c>
      <c r="E5249" t="inlineStr">
        <is>
          <t>ENKÖPING</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10756-2024</t>
        </is>
      </c>
      <c r="B5250" s="1" t="n">
        <v>45369</v>
      </c>
      <c r="C5250" s="1" t="n">
        <v>45846</v>
      </c>
      <c r="D5250" t="inlineStr">
        <is>
          <t>UPPSALA LÄN</t>
        </is>
      </c>
      <c r="E5250" t="inlineStr">
        <is>
          <t>ENKÖPING</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10752-2024</t>
        </is>
      </c>
      <c r="B5251" s="1" t="n">
        <v>45369</v>
      </c>
      <c r="C5251" s="1" t="n">
        <v>45846</v>
      </c>
      <c r="D5251" t="inlineStr">
        <is>
          <t>UPPSALA LÄN</t>
        </is>
      </c>
      <c r="E5251" t="inlineStr">
        <is>
          <t>ENKÖPING</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10832-2024</t>
        </is>
      </c>
      <c r="B5252" s="1" t="n">
        <v>45369</v>
      </c>
      <c r="C5252" s="1" t="n">
        <v>45846</v>
      </c>
      <c r="D5252" t="inlineStr">
        <is>
          <t>UPPSALA LÄN</t>
        </is>
      </c>
      <c r="E5252" t="inlineStr">
        <is>
          <t>ENKÖPING</t>
        </is>
      </c>
      <c r="G5252" t="n">
        <v>7.3</v>
      </c>
      <c r="H5252" t="n">
        <v>0</v>
      </c>
      <c r="I5252" t="n">
        <v>0</v>
      </c>
      <c r="J5252" t="n">
        <v>0</v>
      </c>
      <c r="K5252" t="n">
        <v>0</v>
      </c>
      <c r="L5252" t="n">
        <v>0</v>
      </c>
      <c r="M5252" t="n">
        <v>0</v>
      </c>
      <c r="N5252" t="n">
        <v>0</v>
      </c>
      <c r="O5252" t="n">
        <v>0</v>
      </c>
      <c r="P5252" t="n">
        <v>0</v>
      </c>
      <c r="Q5252" t="n">
        <v>0</v>
      </c>
      <c r="R5252" s="2" t="inlineStr"/>
    </row>
    <row r="5253" ht="15" customHeight="1">
      <c r="A5253" t="inlineStr">
        <is>
          <t>A 10660-2024</t>
        </is>
      </c>
      <c r="B5253" s="1" t="n">
        <v>45369</v>
      </c>
      <c r="C5253" s="1" t="n">
        <v>45846</v>
      </c>
      <c r="D5253" t="inlineStr">
        <is>
          <t>UPPSALA LÄN</t>
        </is>
      </c>
      <c r="E5253" t="inlineStr">
        <is>
          <t>TIERP</t>
        </is>
      </c>
      <c r="G5253" t="n">
        <v>9.5</v>
      </c>
      <c r="H5253" t="n">
        <v>0</v>
      </c>
      <c r="I5253" t="n">
        <v>0</v>
      </c>
      <c r="J5253" t="n">
        <v>0</v>
      </c>
      <c r="K5253" t="n">
        <v>0</v>
      </c>
      <c r="L5253" t="n">
        <v>0</v>
      </c>
      <c r="M5253" t="n">
        <v>0</v>
      </c>
      <c r="N5253" t="n">
        <v>0</v>
      </c>
      <c r="O5253" t="n">
        <v>0</v>
      </c>
      <c r="P5253" t="n">
        <v>0</v>
      </c>
      <c r="Q5253" t="n">
        <v>0</v>
      </c>
      <c r="R5253" s="2" t="inlineStr"/>
    </row>
    <row r="5254" ht="15" customHeight="1">
      <c r="A5254" t="inlineStr">
        <is>
          <t>A 10827-2024</t>
        </is>
      </c>
      <c r="B5254" s="1" t="n">
        <v>45369</v>
      </c>
      <c r="C5254" s="1" t="n">
        <v>45846</v>
      </c>
      <c r="D5254" t="inlineStr">
        <is>
          <t>UPPSALA LÄN</t>
        </is>
      </c>
      <c r="E5254" t="inlineStr">
        <is>
          <t>UPPSALA</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10831-2024</t>
        </is>
      </c>
      <c r="B5255" s="1" t="n">
        <v>45369</v>
      </c>
      <c r="C5255" s="1" t="n">
        <v>45846</v>
      </c>
      <c r="D5255" t="inlineStr">
        <is>
          <t>UPPSALA LÄN</t>
        </is>
      </c>
      <c r="E5255" t="inlineStr">
        <is>
          <t>ENKÖPING</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10782-2024</t>
        </is>
      </c>
      <c r="B5256" s="1" t="n">
        <v>45369</v>
      </c>
      <c r="C5256" s="1" t="n">
        <v>45846</v>
      </c>
      <c r="D5256" t="inlineStr">
        <is>
          <t>UPPSALA LÄN</t>
        </is>
      </c>
      <c r="E5256" t="inlineStr">
        <is>
          <t>UPPSALA</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10983-2024</t>
        </is>
      </c>
      <c r="B5257" s="1" t="n">
        <v>45370</v>
      </c>
      <c r="C5257" s="1" t="n">
        <v>45846</v>
      </c>
      <c r="D5257" t="inlineStr">
        <is>
          <t>UPPSALA LÄN</t>
        </is>
      </c>
      <c r="E5257" t="inlineStr">
        <is>
          <t>ÖSTHAMMAR</t>
        </is>
      </c>
      <c r="F5257" t="inlineStr">
        <is>
          <t>Bergvik skog öst AB</t>
        </is>
      </c>
      <c r="G5257" t="n">
        <v>13.2</v>
      </c>
      <c r="H5257" t="n">
        <v>0</v>
      </c>
      <c r="I5257" t="n">
        <v>0</v>
      </c>
      <c r="J5257" t="n">
        <v>0</v>
      </c>
      <c r="K5257" t="n">
        <v>0</v>
      </c>
      <c r="L5257" t="n">
        <v>0</v>
      </c>
      <c r="M5257" t="n">
        <v>0</v>
      </c>
      <c r="N5257" t="n">
        <v>0</v>
      </c>
      <c r="O5257" t="n">
        <v>0</v>
      </c>
      <c r="P5257" t="n">
        <v>0</v>
      </c>
      <c r="Q5257" t="n">
        <v>0</v>
      </c>
      <c r="R5257" s="2" t="inlineStr"/>
    </row>
    <row r="5258" ht="15" customHeight="1">
      <c r="A5258" t="inlineStr">
        <is>
          <t>A 11055-2024</t>
        </is>
      </c>
      <c r="B5258" s="1" t="n">
        <v>45370</v>
      </c>
      <c r="C5258" s="1" t="n">
        <v>45846</v>
      </c>
      <c r="D5258" t="inlineStr">
        <is>
          <t>UPPSALA LÄN</t>
        </is>
      </c>
      <c r="E5258" t="inlineStr">
        <is>
          <t>HEBY</t>
        </is>
      </c>
      <c r="F5258" t="inlineStr">
        <is>
          <t>Övriga Aktiebolag</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11057-2024</t>
        </is>
      </c>
      <c r="B5259" s="1" t="n">
        <v>45370</v>
      </c>
      <c r="C5259" s="1" t="n">
        <v>45846</v>
      </c>
      <c r="D5259" t="inlineStr">
        <is>
          <t>UPPSALA LÄN</t>
        </is>
      </c>
      <c r="E5259" t="inlineStr">
        <is>
          <t>HEBY</t>
        </is>
      </c>
      <c r="F5259" t="inlineStr">
        <is>
          <t>Övriga Aktiebolag</t>
        </is>
      </c>
      <c r="G5259" t="n">
        <v>4.6</v>
      </c>
      <c r="H5259" t="n">
        <v>0</v>
      </c>
      <c r="I5259" t="n">
        <v>0</v>
      </c>
      <c r="J5259" t="n">
        <v>0</v>
      </c>
      <c r="K5259" t="n">
        <v>0</v>
      </c>
      <c r="L5259" t="n">
        <v>0</v>
      </c>
      <c r="M5259" t="n">
        <v>0</v>
      </c>
      <c r="N5259" t="n">
        <v>0</v>
      </c>
      <c r="O5259" t="n">
        <v>0</v>
      </c>
      <c r="P5259" t="n">
        <v>0</v>
      </c>
      <c r="Q5259" t="n">
        <v>0</v>
      </c>
      <c r="R5259" s="2" t="inlineStr"/>
    </row>
    <row r="5260" ht="15" customHeight="1">
      <c r="A5260" t="inlineStr">
        <is>
          <t>A 10960-2024</t>
        </is>
      </c>
      <c r="B5260" s="1" t="n">
        <v>45370</v>
      </c>
      <c r="C5260" s="1" t="n">
        <v>45846</v>
      </c>
      <c r="D5260" t="inlineStr">
        <is>
          <t>UPPSALA LÄN</t>
        </is>
      </c>
      <c r="E5260" t="inlineStr">
        <is>
          <t>ÖSTHAMMAR</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11169-2024</t>
        </is>
      </c>
      <c r="B5261" s="1" t="n">
        <v>45371</v>
      </c>
      <c r="C5261" s="1" t="n">
        <v>45846</v>
      </c>
      <c r="D5261" t="inlineStr">
        <is>
          <t>UPPSALA LÄN</t>
        </is>
      </c>
      <c r="E5261" t="inlineStr">
        <is>
          <t>UPPSALA</t>
        </is>
      </c>
      <c r="F5261" t="inlineStr">
        <is>
          <t>Bergvik skog öst AB</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11173-2024</t>
        </is>
      </c>
      <c r="B5262" s="1" t="n">
        <v>45371</v>
      </c>
      <c r="C5262" s="1" t="n">
        <v>45846</v>
      </c>
      <c r="D5262" t="inlineStr">
        <is>
          <t>UPPSALA LÄN</t>
        </is>
      </c>
      <c r="E5262" t="inlineStr">
        <is>
          <t>UPPSALA</t>
        </is>
      </c>
      <c r="F5262" t="inlineStr">
        <is>
          <t>Bergvik skog öst AB</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11159-2024</t>
        </is>
      </c>
      <c r="B5263" s="1" t="n">
        <v>45371</v>
      </c>
      <c r="C5263" s="1" t="n">
        <v>45846</v>
      </c>
      <c r="D5263" t="inlineStr">
        <is>
          <t>UPPSALA LÄN</t>
        </is>
      </c>
      <c r="E5263" t="inlineStr">
        <is>
          <t>UPPSALA</t>
        </is>
      </c>
      <c r="F5263" t="inlineStr">
        <is>
          <t>Bergvik skog öst AB</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11191-2024</t>
        </is>
      </c>
      <c r="B5264" s="1" t="n">
        <v>45371</v>
      </c>
      <c r="C5264" s="1" t="n">
        <v>45846</v>
      </c>
      <c r="D5264" t="inlineStr">
        <is>
          <t>UPPSALA LÄN</t>
        </is>
      </c>
      <c r="E5264" t="inlineStr">
        <is>
          <t>UPPSALA</t>
        </is>
      </c>
      <c r="F5264" t="inlineStr">
        <is>
          <t>Allmännings- och besparingsskogar</t>
        </is>
      </c>
      <c r="G5264" t="n">
        <v>6.6</v>
      </c>
      <c r="H5264" t="n">
        <v>0</v>
      </c>
      <c r="I5264" t="n">
        <v>0</v>
      </c>
      <c r="J5264" t="n">
        <v>0</v>
      </c>
      <c r="K5264" t="n">
        <v>0</v>
      </c>
      <c r="L5264" t="n">
        <v>0</v>
      </c>
      <c r="M5264" t="n">
        <v>0</v>
      </c>
      <c r="N5264" t="n">
        <v>0</v>
      </c>
      <c r="O5264" t="n">
        <v>0</v>
      </c>
      <c r="P5264" t="n">
        <v>0</v>
      </c>
      <c r="Q5264" t="n">
        <v>0</v>
      </c>
      <c r="R5264" s="2" t="inlineStr"/>
    </row>
    <row r="5265" ht="15" customHeight="1">
      <c r="A5265" t="inlineStr">
        <is>
          <t>A 11166-2024</t>
        </is>
      </c>
      <c r="B5265" s="1" t="n">
        <v>45371</v>
      </c>
      <c r="C5265" s="1" t="n">
        <v>45846</v>
      </c>
      <c r="D5265" t="inlineStr">
        <is>
          <t>UPPSALA LÄN</t>
        </is>
      </c>
      <c r="E5265" t="inlineStr">
        <is>
          <t>UPPSALA</t>
        </is>
      </c>
      <c r="F5265" t="inlineStr">
        <is>
          <t>Bergvik skog öst AB</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11201-2024</t>
        </is>
      </c>
      <c r="B5266" s="1" t="n">
        <v>45371</v>
      </c>
      <c r="C5266" s="1" t="n">
        <v>45846</v>
      </c>
      <c r="D5266" t="inlineStr">
        <is>
          <t>UPPSALA LÄN</t>
        </is>
      </c>
      <c r="E5266" t="inlineStr">
        <is>
          <t>UPPSALA</t>
        </is>
      </c>
      <c r="F5266" t="inlineStr">
        <is>
          <t>Kommuner</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11277-2024</t>
        </is>
      </c>
      <c r="B5267" s="1" t="n">
        <v>45371</v>
      </c>
      <c r="C5267" s="1" t="n">
        <v>45846</v>
      </c>
      <c r="D5267" t="inlineStr">
        <is>
          <t>UPPSALA LÄN</t>
        </is>
      </c>
      <c r="E5267" t="inlineStr">
        <is>
          <t>UPPSALA</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11289-2024</t>
        </is>
      </c>
      <c r="B5268" s="1" t="n">
        <v>45371</v>
      </c>
      <c r="C5268" s="1" t="n">
        <v>45846</v>
      </c>
      <c r="D5268" t="inlineStr">
        <is>
          <t>UPPSALA LÄN</t>
        </is>
      </c>
      <c r="E5268" t="inlineStr">
        <is>
          <t>UPPSALA</t>
        </is>
      </c>
      <c r="F5268" t="inlineStr">
        <is>
          <t>Allmännings- och besparingsskogar</t>
        </is>
      </c>
      <c r="G5268" t="n">
        <v>3.7</v>
      </c>
      <c r="H5268" t="n">
        <v>0</v>
      </c>
      <c r="I5268" t="n">
        <v>0</v>
      </c>
      <c r="J5268" t="n">
        <v>0</v>
      </c>
      <c r="K5268" t="n">
        <v>0</v>
      </c>
      <c r="L5268" t="n">
        <v>0</v>
      </c>
      <c r="M5268" t="n">
        <v>0</v>
      </c>
      <c r="N5268" t="n">
        <v>0</v>
      </c>
      <c r="O5268" t="n">
        <v>0</v>
      </c>
      <c r="P5268" t="n">
        <v>0</v>
      </c>
      <c r="Q5268" t="n">
        <v>0</v>
      </c>
      <c r="R5268" s="2" t="inlineStr"/>
    </row>
    <row r="5269" ht="15" customHeight="1">
      <c r="A5269" t="inlineStr">
        <is>
          <t>A 11200-2024</t>
        </is>
      </c>
      <c r="B5269" s="1" t="n">
        <v>45371</v>
      </c>
      <c r="C5269" s="1" t="n">
        <v>45846</v>
      </c>
      <c r="D5269" t="inlineStr">
        <is>
          <t>UPPSALA LÄN</t>
        </is>
      </c>
      <c r="E5269" t="inlineStr">
        <is>
          <t>UPPSALA</t>
        </is>
      </c>
      <c r="F5269" t="inlineStr">
        <is>
          <t>Allmännings- och besparingsskogar</t>
        </is>
      </c>
      <c r="G5269" t="n">
        <v>22.8</v>
      </c>
      <c r="H5269" t="n">
        <v>0</v>
      </c>
      <c r="I5269" t="n">
        <v>0</v>
      </c>
      <c r="J5269" t="n">
        <v>0</v>
      </c>
      <c r="K5269" t="n">
        <v>0</v>
      </c>
      <c r="L5269" t="n">
        <v>0</v>
      </c>
      <c r="M5269" t="n">
        <v>0</v>
      </c>
      <c r="N5269" t="n">
        <v>0</v>
      </c>
      <c r="O5269" t="n">
        <v>0</v>
      </c>
      <c r="P5269" t="n">
        <v>0</v>
      </c>
      <c r="Q5269" t="n">
        <v>0</v>
      </c>
      <c r="R5269" s="2" t="inlineStr"/>
    </row>
    <row r="5270" ht="15" customHeight="1">
      <c r="A5270" t="inlineStr">
        <is>
          <t>A 11260-2024</t>
        </is>
      </c>
      <c r="B5270" s="1" t="n">
        <v>45371</v>
      </c>
      <c r="C5270" s="1" t="n">
        <v>45846</v>
      </c>
      <c r="D5270" t="inlineStr">
        <is>
          <t>UPPSALA LÄN</t>
        </is>
      </c>
      <c r="E5270" t="inlineStr">
        <is>
          <t>UPPSALA</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11367-2024</t>
        </is>
      </c>
      <c r="B5271" s="1" t="n">
        <v>45372</v>
      </c>
      <c r="C5271" s="1" t="n">
        <v>45846</v>
      </c>
      <c r="D5271" t="inlineStr">
        <is>
          <t>UPPSALA LÄN</t>
        </is>
      </c>
      <c r="E5271" t="inlineStr">
        <is>
          <t>ÖSTHAMMAR</t>
        </is>
      </c>
      <c r="F5271" t="inlineStr">
        <is>
          <t>Bergvik skog öst AB</t>
        </is>
      </c>
      <c r="G5271" t="n">
        <v>17.7</v>
      </c>
      <c r="H5271" t="n">
        <v>0</v>
      </c>
      <c r="I5271" t="n">
        <v>0</v>
      </c>
      <c r="J5271" t="n">
        <v>0</v>
      </c>
      <c r="K5271" t="n">
        <v>0</v>
      </c>
      <c r="L5271" t="n">
        <v>0</v>
      </c>
      <c r="M5271" t="n">
        <v>0</v>
      </c>
      <c r="N5271" t="n">
        <v>0</v>
      </c>
      <c r="O5271" t="n">
        <v>0</v>
      </c>
      <c r="P5271" t="n">
        <v>0</v>
      </c>
      <c r="Q5271" t="n">
        <v>0</v>
      </c>
      <c r="R5271" s="2" t="inlineStr"/>
    </row>
    <row r="5272" ht="15" customHeight="1">
      <c r="A5272" t="inlineStr">
        <is>
          <t>A 11385-2024</t>
        </is>
      </c>
      <c r="B5272" s="1" t="n">
        <v>45372</v>
      </c>
      <c r="C5272" s="1" t="n">
        <v>45846</v>
      </c>
      <c r="D5272" t="inlineStr">
        <is>
          <t>UPPSALA LÄN</t>
        </is>
      </c>
      <c r="E5272" t="inlineStr">
        <is>
          <t>ÖSTHAMMAR</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11445-2024</t>
        </is>
      </c>
      <c r="B5273" s="1" t="n">
        <v>45372</v>
      </c>
      <c r="C5273" s="1" t="n">
        <v>45846</v>
      </c>
      <c r="D5273" t="inlineStr">
        <is>
          <t>UPPSALA LÄN</t>
        </is>
      </c>
      <c r="E5273" t="inlineStr">
        <is>
          <t>TIERP</t>
        </is>
      </c>
      <c r="G5273" t="n">
        <v>7.2</v>
      </c>
      <c r="H5273" t="n">
        <v>0</v>
      </c>
      <c r="I5273" t="n">
        <v>0</v>
      </c>
      <c r="J5273" t="n">
        <v>0</v>
      </c>
      <c r="K5273" t="n">
        <v>0</v>
      </c>
      <c r="L5273" t="n">
        <v>0</v>
      </c>
      <c r="M5273" t="n">
        <v>0</v>
      </c>
      <c r="N5273" t="n">
        <v>0</v>
      </c>
      <c r="O5273" t="n">
        <v>0</v>
      </c>
      <c r="P5273" t="n">
        <v>0</v>
      </c>
      <c r="Q5273" t="n">
        <v>0</v>
      </c>
      <c r="R5273" s="2" t="inlineStr"/>
    </row>
    <row r="5274" ht="15" customHeight="1">
      <c r="A5274" t="inlineStr">
        <is>
          <t>A 11457-2024</t>
        </is>
      </c>
      <c r="B5274" s="1" t="n">
        <v>45372</v>
      </c>
      <c r="C5274" s="1" t="n">
        <v>45846</v>
      </c>
      <c r="D5274" t="inlineStr">
        <is>
          <t>UPPSALA LÄN</t>
        </is>
      </c>
      <c r="E5274" t="inlineStr">
        <is>
          <t>UPPSALA</t>
        </is>
      </c>
      <c r="F5274" t="inlineStr">
        <is>
          <t>Bergvik skog öst AB</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11447-2024</t>
        </is>
      </c>
      <c r="B5275" s="1" t="n">
        <v>45372</v>
      </c>
      <c r="C5275" s="1" t="n">
        <v>45846</v>
      </c>
      <c r="D5275" t="inlineStr">
        <is>
          <t>UPPSALA LÄN</t>
        </is>
      </c>
      <c r="E5275" t="inlineStr">
        <is>
          <t>TIERP</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11446-2024</t>
        </is>
      </c>
      <c r="B5276" s="1" t="n">
        <v>45372</v>
      </c>
      <c r="C5276" s="1" t="n">
        <v>45846</v>
      </c>
      <c r="D5276" t="inlineStr">
        <is>
          <t>UPPSALA LÄN</t>
        </is>
      </c>
      <c r="E5276" t="inlineStr">
        <is>
          <t>TIERP</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11448-2024</t>
        </is>
      </c>
      <c r="B5277" s="1" t="n">
        <v>45372</v>
      </c>
      <c r="C5277" s="1" t="n">
        <v>45846</v>
      </c>
      <c r="D5277" t="inlineStr">
        <is>
          <t>UPPSALA LÄN</t>
        </is>
      </c>
      <c r="E5277" t="inlineStr">
        <is>
          <t>TIERP</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11498-2024</t>
        </is>
      </c>
      <c r="B5278" s="1" t="n">
        <v>45372</v>
      </c>
      <c r="C5278" s="1" t="n">
        <v>45846</v>
      </c>
      <c r="D5278" t="inlineStr">
        <is>
          <t>UPPSALA LÄN</t>
        </is>
      </c>
      <c r="E5278" t="inlineStr">
        <is>
          <t>ÖSTHAMMAR</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11472-2024</t>
        </is>
      </c>
      <c r="B5279" s="1" t="n">
        <v>45372</v>
      </c>
      <c r="C5279" s="1" t="n">
        <v>45846</v>
      </c>
      <c r="D5279" t="inlineStr">
        <is>
          <t>UPPSALA LÄN</t>
        </is>
      </c>
      <c r="E5279" t="inlineStr">
        <is>
          <t>ÖSTHAMMAR</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11503-2024</t>
        </is>
      </c>
      <c r="B5280" s="1" t="n">
        <v>45372</v>
      </c>
      <c r="C5280" s="1" t="n">
        <v>45846</v>
      </c>
      <c r="D5280" t="inlineStr">
        <is>
          <t>UPPSALA LÄN</t>
        </is>
      </c>
      <c r="E5280" t="inlineStr">
        <is>
          <t>ENKÖPING</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11656-2024</t>
        </is>
      </c>
      <c r="B5281" s="1" t="n">
        <v>45373</v>
      </c>
      <c r="C5281" s="1" t="n">
        <v>45846</v>
      </c>
      <c r="D5281" t="inlineStr">
        <is>
          <t>UPPSALA LÄN</t>
        </is>
      </c>
      <c r="E5281" t="inlineStr">
        <is>
          <t>ÖSTHAMMAR</t>
        </is>
      </c>
      <c r="F5281" t="inlineStr">
        <is>
          <t>Övriga Aktiebolag</t>
        </is>
      </c>
      <c r="G5281" t="n">
        <v>5.7</v>
      </c>
      <c r="H5281" t="n">
        <v>0</v>
      </c>
      <c r="I5281" t="n">
        <v>0</v>
      </c>
      <c r="J5281" t="n">
        <v>0</v>
      </c>
      <c r="K5281" t="n">
        <v>0</v>
      </c>
      <c r="L5281" t="n">
        <v>0</v>
      </c>
      <c r="M5281" t="n">
        <v>0</v>
      </c>
      <c r="N5281" t="n">
        <v>0</v>
      </c>
      <c r="O5281" t="n">
        <v>0</v>
      </c>
      <c r="P5281" t="n">
        <v>0</v>
      </c>
      <c r="Q5281" t="n">
        <v>0</v>
      </c>
      <c r="R5281" s="2" t="inlineStr"/>
    </row>
    <row r="5282" ht="15" customHeight="1">
      <c r="A5282" t="inlineStr">
        <is>
          <t>A 11677-2024</t>
        </is>
      </c>
      <c r="B5282" s="1" t="n">
        <v>45373</v>
      </c>
      <c r="C5282" s="1" t="n">
        <v>45846</v>
      </c>
      <c r="D5282" t="inlineStr">
        <is>
          <t>UPPSALA LÄN</t>
        </is>
      </c>
      <c r="E5282" t="inlineStr">
        <is>
          <t>UPPSALA</t>
        </is>
      </c>
      <c r="F5282" t="inlineStr">
        <is>
          <t>Holmen skog AB</t>
        </is>
      </c>
      <c r="G5282" t="n">
        <v>14.4</v>
      </c>
      <c r="H5282" t="n">
        <v>0</v>
      </c>
      <c r="I5282" t="n">
        <v>0</v>
      </c>
      <c r="J5282" t="n">
        <v>0</v>
      </c>
      <c r="K5282" t="n">
        <v>0</v>
      </c>
      <c r="L5282" t="n">
        <v>0</v>
      </c>
      <c r="M5282" t="n">
        <v>0</v>
      </c>
      <c r="N5282" t="n">
        <v>0</v>
      </c>
      <c r="O5282" t="n">
        <v>0</v>
      </c>
      <c r="P5282" t="n">
        <v>0</v>
      </c>
      <c r="Q5282" t="n">
        <v>0</v>
      </c>
      <c r="R5282" s="2" t="inlineStr"/>
    </row>
    <row r="5283" ht="15" customHeight="1">
      <c r="A5283" t="inlineStr">
        <is>
          <t>A 11719-2024</t>
        </is>
      </c>
      <c r="B5283" s="1" t="n">
        <v>45373</v>
      </c>
      <c r="C5283" s="1" t="n">
        <v>45846</v>
      </c>
      <c r="D5283" t="inlineStr">
        <is>
          <t>UPPSALA LÄN</t>
        </is>
      </c>
      <c r="E5283" t="inlineStr">
        <is>
          <t>UPPSALA</t>
        </is>
      </c>
      <c r="F5283" t="inlineStr">
        <is>
          <t>Holmen skog AB</t>
        </is>
      </c>
      <c r="G5283" t="n">
        <v>18.3</v>
      </c>
      <c r="H5283" t="n">
        <v>0</v>
      </c>
      <c r="I5283" t="n">
        <v>0</v>
      </c>
      <c r="J5283" t="n">
        <v>0</v>
      </c>
      <c r="K5283" t="n">
        <v>0</v>
      </c>
      <c r="L5283" t="n">
        <v>0</v>
      </c>
      <c r="M5283" t="n">
        <v>0</v>
      </c>
      <c r="N5283" t="n">
        <v>0</v>
      </c>
      <c r="O5283" t="n">
        <v>0</v>
      </c>
      <c r="P5283" t="n">
        <v>0</v>
      </c>
      <c r="Q5283" t="n">
        <v>0</v>
      </c>
      <c r="R5283" s="2" t="inlineStr"/>
    </row>
    <row r="5284" ht="15" customHeight="1">
      <c r="A5284" t="inlineStr">
        <is>
          <t>A 11715-2024</t>
        </is>
      </c>
      <c r="B5284" s="1" t="n">
        <v>45373</v>
      </c>
      <c r="C5284" s="1" t="n">
        <v>45846</v>
      </c>
      <c r="D5284" t="inlineStr">
        <is>
          <t>UPPSALA LÄN</t>
        </is>
      </c>
      <c r="E5284" t="inlineStr">
        <is>
          <t>HEBY</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11798-2024</t>
        </is>
      </c>
      <c r="B5285" s="1" t="n">
        <v>45375</v>
      </c>
      <c r="C5285" s="1" t="n">
        <v>45846</v>
      </c>
      <c r="D5285" t="inlineStr">
        <is>
          <t>UPPSALA LÄN</t>
        </is>
      </c>
      <c r="E5285" t="inlineStr">
        <is>
          <t>ÖSTHAMMAR</t>
        </is>
      </c>
      <c r="F5285" t="inlineStr">
        <is>
          <t>Bergvik skog öst AB</t>
        </is>
      </c>
      <c r="G5285" t="n">
        <v>3.9</v>
      </c>
      <c r="H5285" t="n">
        <v>0</v>
      </c>
      <c r="I5285" t="n">
        <v>0</v>
      </c>
      <c r="J5285" t="n">
        <v>0</v>
      </c>
      <c r="K5285" t="n">
        <v>0</v>
      </c>
      <c r="L5285" t="n">
        <v>0</v>
      </c>
      <c r="M5285" t="n">
        <v>0</v>
      </c>
      <c r="N5285" t="n">
        <v>0</v>
      </c>
      <c r="O5285" t="n">
        <v>0</v>
      </c>
      <c r="P5285" t="n">
        <v>0</v>
      </c>
      <c r="Q5285" t="n">
        <v>0</v>
      </c>
      <c r="R5285" s="2" t="inlineStr"/>
    </row>
    <row r="5286" ht="15" customHeight="1">
      <c r="A5286" t="inlineStr">
        <is>
          <t>A 11799-2024</t>
        </is>
      </c>
      <c r="B5286" s="1" t="n">
        <v>45375</v>
      </c>
      <c r="C5286" s="1" t="n">
        <v>45846</v>
      </c>
      <c r="D5286" t="inlineStr">
        <is>
          <t>UPPSALA LÄN</t>
        </is>
      </c>
      <c r="E5286" t="inlineStr">
        <is>
          <t>ÖSTHAMMAR</t>
        </is>
      </c>
      <c r="F5286" t="inlineStr">
        <is>
          <t>Bergvik skog öst AB</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11832-2024</t>
        </is>
      </c>
      <c r="B5287" s="1" t="n">
        <v>45376</v>
      </c>
      <c r="C5287" s="1" t="n">
        <v>45846</v>
      </c>
      <c r="D5287" t="inlineStr">
        <is>
          <t>UPPSALA LÄN</t>
        </is>
      </c>
      <c r="E5287" t="inlineStr">
        <is>
          <t>HEBY</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11908-2024</t>
        </is>
      </c>
      <c r="B5288" s="1" t="n">
        <v>45376</v>
      </c>
      <c r="C5288" s="1" t="n">
        <v>45846</v>
      </c>
      <c r="D5288" t="inlineStr">
        <is>
          <t>UPPSALA LÄN</t>
        </is>
      </c>
      <c r="E5288" t="inlineStr">
        <is>
          <t>ENKÖPING</t>
        </is>
      </c>
      <c r="G5288" t="n">
        <v>7.9</v>
      </c>
      <c r="H5288" t="n">
        <v>0</v>
      </c>
      <c r="I5288" t="n">
        <v>0</v>
      </c>
      <c r="J5288" t="n">
        <v>0</v>
      </c>
      <c r="K5288" t="n">
        <v>0</v>
      </c>
      <c r="L5288" t="n">
        <v>0</v>
      </c>
      <c r="M5288" t="n">
        <v>0</v>
      </c>
      <c r="N5288" t="n">
        <v>0</v>
      </c>
      <c r="O5288" t="n">
        <v>0</v>
      </c>
      <c r="P5288" t="n">
        <v>0</v>
      </c>
      <c r="Q5288" t="n">
        <v>0</v>
      </c>
      <c r="R5288" s="2" t="inlineStr"/>
    </row>
    <row r="5289" ht="15" customHeight="1">
      <c r="A5289" t="inlineStr">
        <is>
          <t>A 11957-2024</t>
        </is>
      </c>
      <c r="B5289" s="1" t="n">
        <v>45376</v>
      </c>
      <c r="C5289" s="1" t="n">
        <v>45846</v>
      </c>
      <c r="D5289" t="inlineStr">
        <is>
          <t>UPPSALA LÄN</t>
        </is>
      </c>
      <c r="E5289" t="inlineStr">
        <is>
          <t>HEBY</t>
        </is>
      </c>
      <c r="G5289" t="n">
        <v>6.5</v>
      </c>
      <c r="H5289" t="n">
        <v>0</v>
      </c>
      <c r="I5289" t="n">
        <v>0</v>
      </c>
      <c r="J5289" t="n">
        <v>0</v>
      </c>
      <c r="K5289" t="n">
        <v>0</v>
      </c>
      <c r="L5289" t="n">
        <v>0</v>
      </c>
      <c r="M5289" t="n">
        <v>0</v>
      </c>
      <c r="N5289" t="n">
        <v>0</v>
      </c>
      <c r="O5289" t="n">
        <v>0</v>
      </c>
      <c r="P5289" t="n">
        <v>0</v>
      </c>
      <c r="Q5289" t="n">
        <v>0</v>
      </c>
      <c r="R5289" s="2" t="inlineStr"/>
    </row>
    <row r="5290" ht="15" customHeight="1">
      <c r="A5290" t="inlineStr">
        <is>
          <t>A 11835-2024</t>
        </is>
      </c>
      <c r="B5290" s="1" t="n">
        <v>45376</v>
      </c>
      <c r="C5290" s="1" t="n">
        <v>45846</v>
      </c>
      <c r="D5290" t="inlineStr">
        <is>
          <t>UPPSALA LÄN</t>
        </is>
      </c>
      <c r="E5290" t="inlineStr">
        <is>
          <t>HEBY</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12129-2024</t>
        </is>
      </c>
      <c r="B5291" s="1" t="n">
        <v>45377</v>
      </c>
      <c r="C5291" s="1" t="n">
        <v>45846</v>
      </c>
      <c r="D5291" t="inlineStr">
        <is>
          <t>UPPSALA LÄN</t>
        </is>
      </c>
      <c r="E5291" t="inlineStr">
        <is>
          <t>TIERP</t>
        </is>
      </c>
      <c r="F5291" t="inlineStr">
        <is>
          <t>Bergvik skog väst AB</t>
        </is>
      </c>
      <c r="G5291" t="n">
        <v>6.4</v>
      </c>
      <c r="H5291" t="n">
        <v>0</v>
      </c>
      <c r="I5291" t="n">
        <v>0</v>
      </c>
      <c r="J5291" t="n">
        <v>0</v>
      </c>
      <c r="K5291" t="n">
        <v>0</v>
      </c>
      <c r="L5291" t="n">
        <v>0</v>
      </c>
      <c r="M5291" t="n">
        <v>0</v>
      </c>
      <c r="N5291" t="n">
        <v>0</v>
      </c>
      <c r="O5291" t="n">
        <v>0</v>
      </c>
      <c r="P5291" t="n">
        <v>0</v>
      </c>
      <c r="Q5291" t="n">
        <v>0</v>
      </c>
      <c r="R5291" s="2" t="inlineStr"/>
    </row>
    <row r="5292" ht="15" customHeight="1">
      <c r="A5292" t="inlineStr">
        <is>
          <t>A 12133-2024</t>
        </is>
      </c>
      <c r="B5292" s="1" t="n">
        <v>45377</v>
      </c>
      <c r="C5292" s="1" t="n">
        <v>45846</v>
      </c>
      <c r="D5292" t="inlineStr">
        <is>
          <t>UPPSALA LÄN</t>
        </is>
      </c>
      <c r="E5292" t="inlineStr">
        <is>
          <t>TIERP</t>
        </is>
      </c>
      <c r="F5292" t="inlineStr">
        <is>
          <t>Bergvik skog väst AB</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12137-2024</t>
        </is>
      </c>
      <c r="B5293" s="1" t="n">
        <v>45377</v>
      </c>
      <c r="C5293" s="1" t="n">
        <v>45846</v>
      </c>
      <c r="D5293" t="inlineStr">
        <is>
          <t>UPPSALA LÄN</t>
        </is>
      </c>
      <c r="E5293" t="inlineStr">
        <is>
          <t>TIERP</t>
        </is>
      </c>
      <c r="F5293" t="inlineStr">
        <is>
          <t>Bergvik skog väst AB</t>
        </is>
      </c>
      <c r="G5293" t="n">
        <v>7.8</v>
      </c>
      <c r="H5293" t="n">
        <v>0</v>
      </c>
      <c r="I5293" t="n">
        <v>0</v>
      </c>
      <c r="J5293" t="n">
        <v>0</v>
      </c>
      <c r="K5293" t="n">
        <v>0</v>
      </c>
      <c r="L5293" t="n">
        <v>0</v>
      </c>
      <c r="M5293" t="n">
        <v>0</v>
      </c>
      <c r="N5293" t="n">
        <v>0</v>
      </c>
      <c r="O5293" t="n">
        <v>0</v>
      </c>
      <c r="P5293" t="n">
        <v>0</v>
      </c>
      <c r="Q5293" t="n">
        <v>0</v>
      </c>
      <c r="R5293" s="2" t="inlineStr"/>
    </row>
    <row r="5294" ht="15" customHeight="1">
      <c r="A5294" t="inlineStr">
        <is>
          <t>A 12077-2024</t>
        </is>
      </c>
      <c r="B5294" s="1" t="n">
        <v>45377</v>
      </c>
      <c r="C5294" s="1" t="n">
        <v>45846</v>
      </c>
      <c r="D5294" t="inlineStr">
        <is>
          <t>UPPSALA LÄN</t>
        </is>
      </c>
      <c r="E5294" t="inlineStr">
        <is>
          <t>HEBY</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12028-2024</t>
        </is>
      </c>
      <c r="B5295" s="1" t="n">
        <v>45377</v>
      </c>
      <c r="C5295" s="1" t="n">
        <v>45846</v>
      </c>
      <c r="D5295" t="inlineStr">
        <is>
          <t>UPPSALA LÄN</t>
        </is>
      </c>
      <c r="E5295" t="inlineStr">
        <is>
          <t>ÖSTHAMMAR</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12020-2024</t>
        </is>
      </c>
      <c r="B5296" s="1" t="n">
        <v>45377</v>
      </c>
      <c r="C5296" s="1" t="n">
        <v>45846</v>
      </c>
      <c r="D5296" t="inlineStr">
        <is>
          <t>UPPSALA LÄN</t>
        </is>
      </c>
      <c r="E5296" t="inlineStr">
        <is>
          <t>ENKÖPING</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12102-2024</t>
        </is>
      </c>
      <c r="B5297" s="1" t="n">
        <v>45377</v>
      </c>
      <c r="C5297" s="1" t="n">
        <v>45846</v>
      </c>
      <c r="D5297" t="inlineStr">
        <is>
          <t>UPPSALA LÄN</t>
        </is>
      </c>
      <c r="E5297" t="inlineStr">
        <is>
          <t>ENKÖPING</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12071-2024</t>
        </is>
      </c>
      <c r="B5298" s="1" t="n">
        <v>45377</v>
      </c>
      <c r="C5298" s="1" t="n">
        <v>45846</v>
      </c>
      <c r="D5298" t="inlineStr">
        <is>
          <t>UPPSALA LÄN</t>
        </is>
      </c>
      <c r="E5298" t="inlineStr">
        <is>
          <t>HEBY</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12278-2024</t>
        </is>
      </c>
      <c r="B5299" s="1" t="n">
        <v>45378</v>
      </c>
      <c r="C5299" s="1" t="n">
        <v>45846</v>
      </c>
      <c r="D5299" t="inlineStr">
        <is>
          <t>UPPSALA LÄN</t>
        </is>
      </c>
      <c r="E5299" t="inlineStr">
        <is>
          <t>ÖSTHAMMAR</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12345-2024</t>
        </is>
      </c>
      <c r="B5300" s="1" t="n">
        <v>45378</v>
      </c>
      <c r="C5300" s="1" t="n">
        <v>45846</v>
      </c>
      <c r="D5300" t="inlineStr">
        <is>
          <t>UPPSALA LÄN</t>
        </is>
      </c>
      <c r="E5300" t="inlineStr">
        <is>
          <t>UPPSALA</t>
        </is>
      </c>
      <c r="F5300" t="inlineStr">
        <is>
          <t>Bergvik skog öst AB</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12225-2024</t>
        </is>
      </c>
      <c r="B5301" s="1" t="n">
        <v>45378</v>
      </c>
      <c r="C5301" s="1" t="n">
        <v>45846</v>
      </c>
      <c r="D5301" t="inlineStr">
        <is>
          <t>UPPSALA LÄN</t>
        </is>
      </c>
      <c r="E5301" t="inlineStr">
        <is>
          <t>TIERP</t>
        </is>
      </c>
      <c r="F5301" t="inlineStr">
        <is>
          <t>Bergvik skog väst AB</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12346-2024</t>
        </is>
      </c>
      <c r="B5302" s="1" t="n">
        <v>45378</v>
      </c>
      <c r="C5302" s="1" t="n">
        <v>45846</v>
      </c>
      <c r="D5302" t="inlineStr">
        <is>
          <t>UPPSALA LÄN</t>
        </is>
      </c>
      <c r="E5302" t="inlineStr">
        <is>
          <t>UPPSALA</t>
        </is>
      </c>
      <c r="F5302" t="inlineStr">
        <is>
          <t>Bergvik skog öst AB</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12347-2024</t>
        </is>
      </c>
      <c r="B5303" s="1" t="n">
        <v>45378</v>
      </c>
      <c r="C5303" s="1" t="n">
        <v>45846</v>
      </c>
      <c r="D5303" t="inlineStr">
        <is>
          <t>UPPSALA LÄN</t>
        </is>
      </c>
      <c r="E5303" t="inlineStr">
        <is>
          <t>UPPSALA</t>
        </is>
      </c>
      <c r="F5303" t="inlineStr">
        <is>
          <t>Bergvik skog öst AB</t>
        </is>
      </c>
      <c r="G5303" t="n">
        <v>5.6</v>
      </c>
      <c r="H5303" t="n">
        <v>0</v>
      </c>
      <c r="I5303" t="n">
        <v>0</v>
      </c>
      <c r="J5303" t="n">
        <v>0</v>
      </c>
      <c r="K5303" t="n">
        <v>0</v>
      </c>
      <c r="L5303" t="n">
        <v>0</v>
      </c>
      <c r="M5303" t="n">
        <v>0</v>
      </c>
      <c r="N5303" t="n">
        <v>0</v>
      </c>
      <c r="O5303" t="n">
        <v>0</v>
      </c>
      <c r="P5303" t="n">
        <v>0</v>
      </c>
      <c r="Q5303" t="n">
        <v>0</v>
      </c>
      <c r="R5303" s="2" t="inlineStr"/>
    </row>
    <row r="5304" ht="15" customHeight="1">
      <c r="A5304" t="inlineStr">
        <is>
          <t>A 12507-2024</t>
        </is>
      </c>
      <c r="B5304" s="1" t="n">
        <v>45379</v>
      </c>
      <c r="C5304" s="1" t="n">
        <v>45846</v>
      </c>
      <c r="D5304" t="inlineStr">
        <is>
          <t>UPPSALA LÄN</t>
        </is>
      </c>
      <c r="E5304" t="inlineStr">
        <is>
          <t>UPPSALA</t>
        </is>
      </c>
      <c r="G5304" t="n">
        <v>4.6</v>
      </c>
      <c r="H5304" t="n">
        <v>0</v>
      </c>
      <c r="I5304" t="n">
        <v>0</v>
      </c>
      <c r="J5304" t="n">
        <v>0</v>
      </c>
      <c r="K5304" t="n">
        <v>0</v>
      </c>
      <c r="L5304" t="n">
        <v>0</v>
      </c>
      <c r="M5304" t="n">
        <v>0</v>
      </c>
      <c r="N5304" t="n">
        <v>0</v>
      </c>
      <c r="O5304" t="n">
        <v>0</v>
      </c>
      <c r="P5304" t="n">
        <v>0</v>
      </c>
      <c r="Q5304" t="n">
        <v>0</v>
      </c>
      <c r="R5304" s="2" t="inlineStr"/>
    </row>
    <row r="5305" ht="15" customHeight="1">
      <c r="A5305" t="inlineStr">
        <is>
          <t>A 12487-2024</t>
        </is>
      </c>
      <c r="B5305" s="1" t="n">
        <v>45379</v>
      </c>
      <c r="C5305" s="1" t="n">
        <v>45846</v>
      </c>
      <c r="D5305" t="inlineStr">
        <is>
          <t>UPPSALA LÄN</t>
        </is>
      </c>
      <c r="E5305" t="inlineStr">
        <is>
          <t>ÖSTHAMMAR</t>
        </is>
      </c>
      <c r="F5305" t="inlineStr">
        <is>
          <t>Bergvik skog öst AB</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12486-2024</t>
        </is>
      </c>
      <c r="B5306" s="1" t="n">
        <v>45379</v>
      </c>
      <c r="C5306" s="1" t="n">
        <v>45846</v>
      </c>
      <c r="D5306" t="inlineStr">
        <is>
          <t>UPPSALA LÄN</t>
        </is>
      </c>
      <c r="E5306" t="inlineStr">
        <is>
          <t>ÖSTHAMMAR</t>
        </is>
      </c>
      <c r="F5306" t="inlineStr">
        <is>
          <t>Bergvik skog öst AB</t>
        </is>
      </c>
      <c r="G5306" t="n">
        <v>7.9</v>
      </c>
      <c r="H5306" t="n">
        <v>0</v>
      </c>
      <c r="I5306" t="n">
        <v>0</v>
      </c>
      <c r="J5306" t="n">
        <v>0</v>
      </c>
      <c r="K5306" t="n">
        <v>0</v>
      </c>
      <c r="L5306" t="n">
        <v>0</v>
      </c>
      <c r="M5306" t="n">
        <v>0</v>
      </c>
      <c r="N5306" t="n">
        <v>0</v>
      </c>
      <c r="O5306" t="n">
        <v>0</v>
      </c>
      <c r="P5306" t="n">
        <v>0</v>
      </c>
      <c r="Q5306" t="n">
        <v>0</v>
      </c>
      <c r="R5306" s="2" t="inlineStr"/>
    </row>
    <row r="5307" ht="15" customHeight="1">
      <c r="A5307" t="inlineStr">
        <is>
          <t>A 12498-2024</t>
        </is>
      </c>
      <c r="B5307" s="1" t="n">
        <v>45379</v>
      </c>
      <c r="C5307" s="1" t="n">
        <v>45846</v>
      </c>
      <c r="D5307" t="inlineStr">
        <is>
          <t>UPPSALA LÄN</t>
        </is>
      </c>
      <c r="E5307" t="inlineStr">
        <is>
          <t>ÖSTHAMMAR</t>
        </is>
      </c>
      <c r="G5307" t="n">
        <v>5.7</v>
      </c>
      <c r="H5307" t="n">
        <v>0</v>
      </c>
      <c r="I5307" t="n">
        <v>0</v>
      </c>
      <c r="J5307" t="n">
        <v>0</v>
      </c>
      <c r="K5307" t="n">
        <v>0</v>
      </c>
      <c r="L5307" t="n">
        <v>0</v>
      </c>
      <c r="M5307" t="n">
        <v>0</v>
      </c>
      <c r="N5307" t="n">
        <v>0</v>
      </c>
      <c r="O5307" t="n">
        <v>0</v>
      </c>
      <c r="P5307" t="n">
        <v>0</v>
      </c>
      <c r="Q5307" t="n">
        <v>0</v>
      </c>
      <c r="R5307" s="2" t="inlineStr"/>
    </row>
    <row r="5308" ht="15" customHeight="1">
      <c r="A5308" t="inlineStr">
        <is>
          <t>A 12489-2024</t>
        </is>
      </c>
      <c r="B5308" s="1" t="n">
        <v>45379</v>
      </c>
      <c r="C5308" s="1" t="n">
        <v>45846</v>
      </c>
      <c r="D5308" t="inlineStr">
        <is>
          <t>UPPSALA LÄN</t>
        </is>
      </c>
      <c r="E5308" t="inlineStr">
        <is>
          <t>HEBY</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12436-2024</t>
        </is>
      </c>
      <c r="B5309" s="1" t="n">
        <v>45379</v>
      </c>
      <c r="C5309" s="1" t="n">
        <v>45846</v>
      </c>
      <c r="D5309" t="inlineStr">
        <is>
          <t>UPPSALA LÄN</t>
        </is>
      </c>
      <c r="E5309" t="inlineStr">
        <is>
          <t>HEBY</t>
        </is>
      </c>
      <c r="F5309" t="inlineStr">
        <is>
          <t>Bergvik skog öst AB</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12534-2024</t>
        </is>
      </c>
      <c r="B5310" s="1" t="n">
        <v>45379</v>
      </c>
      <c r="C5310" s="1" t="n">
        <v>45846</v>
      </c>
      <c r="D5310" t="inlineStr">
        <is>
          <t>UPPSALA LÄN</t>
        </is>
      </c>
      <c r="E5310" t="inlineStr">
        <is>
          <t>ÖSTHAMMAR</t>
        </is>
      </c>
      <c r="F5310" t="inlineStr">
        <is>
          <t>Bergvik skog öst AB</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12424-2024</t>
        </is>
      </c>
      <c r="B5311" s="1" t="n">
        <v>45379</v>
      </c>
      <c r="C5311" s="1" t="n">
        <v>45846</v>
      </c>
      <c r="D5311" t="inlineStr">
        <is>
          <t>UPPSALA LÄN</t>
        </is>
      </c>
      <c r="E5311" t="inlineStr">
        <is>
          <t>TIERP</t>
        </is>
      </c>
      <c r="G5311" t="n">
        <v>11.6</v>
      </c>
      <c r="H5311" t="n">
        <v>0</v>
      </c>
      <c r="I5311" t="n">
        <v>0</v>
      </c>
      <c r="J5311" t="n">
        <v>0</v>
      </c>
      <c r="K5311" t="n">
        <v>0</v>
      </c>
      <c r="L5311" t="n">
        <v>0</v>
      </c>
      <c r="M5311" t="n">
        <v>0</v>
      </c>
      <c r="N5311" t="n">
        <v>0</v>
      </c>
      <c r="O5311" t="n">
        <v>0</v>
      </c>
      <c r="P5311" t="n">
        <v>0</v>
      </c>
      <c r="Q5311" t="n">
        <v>0</v>
      </c>
      <c r="R5311" s="2" t="inlineStr"/>
    </row>
    <row r="5312" ht="15" customHeight="1">
      <c r="A5312" t="inlineStr">
        <is>
          <t>A 12531-2024</t>
        </is>
      </c>
      <c r="B5312" s="1" t="n">
        <v>45379</v>
      </c>
      <c r="C5312" s="1" t="n">
        <v>45846</v>
      </c>
      <c r="D5312" t="inlineStr">
        <is>
          <t>UPPSALA LÄN</t>
        </is>
      </c>
      <c r="E5312" t="inlineStr">
        <is>
          <t>ÖSTHAMMAR</t>
        </is>
      </c>
      <c r="F5312" t="inlineStr">
        <is>
          <t>Bergvik skog öst AB</t>
        </is>
      </c>
      <c r="G5312" t="n">
        <v>17.3</v>
      </c>
      <c r="H5312" t="n">
        <v>0</v>
      </c>
      <c r="I5312" t="n">
        <v>0</v>
      </c>
      <c r="J5312" t="n">
        <v>0</v>
      </c>
      <c r="K5312" t="n">
        <v>0</v>
      </c>
      <c r="L5312" t="n">
        <v>0</v>
      </c>
      <c r="M5312" t="n">
        <v>0</v>
      </c>
      <c r="N5312" t="n">
        <v>0</v>
      </c>
      <c r="O5312" t="n">
        <v>0</v>
      </c>
      <c r="P5312" t="n">
        <v>0</v>
      </c>
      <c r="Q5312" t="n">
        <v>0</v>
      </c>
      <c r="R5312" s="2" t="inlineStr"/>
    </row>
    <row r="5313" ht="15" customHeight="1">
      <c r="A5313" t="inlineStr">
        <is>
          <t>A 12528-2024</t>
        </is>
      </c>
      <c r="B5313" s="1" t="n">
        <v>45379</v>
      </c>
      <c r="C5313" s="1" t="n">
        <v>45846</v>
      </c>
      <c r="D5313" t="inlineStr">
        <is>
          <t>UPPSALA LÄN</t>
        </is>
      </c>
      <c r="E5313" t="inlineStr">
        <is>
          <t>ÖSTHAMMAR</t>
        </is>
      </c>
      <c r="F5313" t="inlineStr">
        <is>
          <t>Bergvik skog öst AB</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12649-2024</t>
        </is>
      </c>
      <c r="B5314" s="1" t="n">
        <v>45384</v>
      </c>
      <c r="C5314" s="1" t="n">
        <v>45846</v>
      </c>
      <c r="D5314" t="inlineStr">
        <is>
          <t>UPPSALA LÄN</t>
        </is>
      </c>
      <c r="E5314" t="inlineStr">
        <is>
          <t>ÖSTHAMMAR</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12676-2024</t>
        </is>
      </c>
      <c r="B5315" s="1" t="n">
        <v>45384</v>
      </c>
      <c r="C5315" s="1" t="n">
        <v>45846</v>
      </c>
      <c r="D5315" t="inlineStr">
        <is>
          <t>UPPSALA LÄN</t>
        </is>
      </c>
      <c r="E5315" t="inlineStr">
        <is>
          <t>ÖSTHAMMAR</t>
        </is>
      </c>
      <c r="G5315" t="n">
        <v>6.2</v>
      </c>
      <c r="H5315" t="n">
        <v>0</v>
      </c>
      <c r="I5315" t="n">
        <v>0</v>
      </c>
      <c r="J5315" t="n">
        <v>0</v>
      </c>
      <c r="K5315" t="n">
        <v>0</v>
      </c>
      <c r="L5315" t="n">
        <v>0</v>
      </c>
      <c r="M5315" t="n">
        <v>0</v>
      </c>
      <c r="N5315" t="n">
        <v>0</v>
      </c>
      <c r="O5315" t="n">
        <v>0</v>
      </c>
      <c r="P5315" t="n">
        <v>0</v>
      </c>
      <c r="Q5315" t="n">
        <v>0</v>
      </c>
      <c r="R5315" s="2" t="inlineStr"/>
    </row>
    <row r="5316" ht="15" customHeight="1">
      <c r="A5316" t="inlineStr">
        <is>
          <t>A 12756-2024</t>
        </is>
      </c>
      <c r="B5316" s="1" t="n">
        <v>45384</v>
      </c>
      <c r="C5316" s="1" t="n">
        <v>45846</v>
      </c>
      <c r="D5316" t="inlineStr">
        <is>
          <t>UPPSALA LÄN</t>
        </is>
      </c>
      <c r="E5316" t="inlineStr">
        <is>
          <t>ÖSTHAMMAR</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12741-2024</t>
        </is>
      </c>
      <c r="B5317" s="1" t="n">
        <v>45384</v>
      </c>
      <c r="C5317" s="1" t="n">
        <v>45846</v>
      </c>
      <c r="D5317" t="inlineStr">
        <is>
          <t>UPPSALA LÄN</t>
        </is>
      </c>
      <c r="E5317" t="inlineStr">
        <is>
          <t>TIERP</t>
        </is>
      </c>
      <c r="G5317" t="n">
        <v>4.6</v>
      </c>
      <c r="H5317" t="n">
        <v>0</v>
      </c>
      <c r="I5317" t="n">
        <v>0</v>
      </c>
      <c r="J5317" t="n">
        <v>0</v>
      </c>
      <c r="K5317" t="n">
        <v>0</v>
      </c>
      <c r="L5317" t="n">
        <v>0</v>
      </c>
      <c r="M5317" t="n">
        <v>0</v>
      </c>
      <c r="N5317" t="n">
        <v>0</v>
      </c>
      <c r="O5317" t="n">
        <v>0</v>
      </c>
      <c r="P5317" t="n">
        <v>0</v>
      </c>
      <c r="Q5317" t="n">
        <v>0</v>
      </c>
      <c r="R5317" s="2" t="inlineStr"/>
    </row>
    <row r="5318" ht="15" customHeight="1">
      <c r="A5318" t="inlineStr">
        <is>
          <t>A 12786-2024</t>
        </is>
      </c>
      <c r="B5318" s="1" t="n">
        <v>45384</v>
      </c>
      <c r="C5318" s="1" t="n">
        <v>45846</v>
      </c>
      <c r="D5318" t="inlineStr">
        <is>
          <t>UPPSALA LÄN</t>
        </is>
      </c>
      <c r="E5318" t="inlineStr">
        <is>
          <t>TIERP</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12812-2024</t>
        </is>
      </c>
      <c r="B5319" s="1" t="n">
        <v>45384</v>
      </c>
      <c r="C5319" s="1" t="n">
        <v>45846</v>
      </c>
      <c r="D5319" t="inlineStr">
        <is>
          <t>UPPSALA LÄN</t>
        </is>
      </c>
      <c r="E5319" t="inlineStr">
        <is>
          <t>ÖSTHAMMAR</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12751-2024</t>
        </is>
      </c>
      <c r="B5320" s="1" t="n">
        <v>45384</v>
      </c>
      <c r="C5320" s="1" t="n">
        <v>45846</v>
      </c>
      <c r="D5320" t="inlineStr">
        <is>
          <t>UPPSALA LÄN</t>
        </is>
      </c>
      <c r="E5320" t="inlineStr">
        <is>
          <t>ENKÖPING</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12776-2024</t>
        </is>
      </c>
      <c r="B5321" s="1" t="n">
        <v>45384</v>
      </c>
      <c r="C5321" s="1" t="n">
        <v>45846</v>
      </c>
      <c r="D5321" t="inlineStr">
        <is>
          <t>UPPSALA LÄN</t>
        </is>
      </c>
      <c r="E5321" t="inlineStr">
        <is>
          <t>TIERP</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12958-2024</t>
        </is>
      </c>
      <c r="B5322" s="1" t="n">
        <v>45385</v>
      </c>
      <c r="C5322" s="1" t="n">
        <v>45846</v>
      </c>
      <c r="D5322" t="inlineStr">
        <is>
          <t>UPPSALA LÄN</t>
        </is>
      </c>
      <c r="E5322" t="inlineStr">
        <is>
          <t>ENKÖPING</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12994-2024</t>
        </is>
      </c>
      <c r="B5323" s="1" t="n">
        <v>45385</v>
      </c>
      <c r="C5323" s="1" t="n">
        <v>45846</v>
      </c>
      <c r="D5323" t="inlineStr">
        <is>
          <t>UPPSALA LÄN</t>
        </is>
      </c>
      <c r="E5323" t="inlineStr">
        <is>
          <t>TIERP</t>
        </is>
      </c>
      <c r="F5323" t="inlineStr">
        <is>
          <t>Bergvik skog öst AB</t>
        </is>
      </c>
      <c r="G5323" t="n">
        <v>6.5</v>
      </c>
      <c r="H5323" t="n">
        <v>0</v>
      </c>
      <c r="I5323" t="n">
        <v>0</v>
      </c>
      <c r="J5323" t="n">
        <v>0</v>
      </c>
      <c r="K5323" t="n">
        <v>0</v>
      </c>
      <c r="L5323" t="n">
        <v>0</v>
      </c>
      <c r="M5323" t="n">
        <v>0</v>
      </c>
      <c r="N5323" t="n">
        <v>0</v>
      </c>
      <c r="O5323" t="n">
        <v>0</v>
      </c>
      <c r="P5323" t="n">
        <v>0</v>
      </c>
      <c r="Q5323" t="n">
        <v>0</v>
      </c>
      <c r="R5323" s="2" t="inlineStr"/>
    </row>
    <row r="5324" ht="15" customHeight="1">
      <c r="A5324" t="inlineStr">
        <is>
          <t>A 12885-2024</t>
        </is>
      </c>
      <c r="B5324" s="1" t="n">
        <v>45385</v>
      </c>
      <c r="C5324" s="1" t="n">
        <v>45846</v>
      </c>
      <c r="D5324" t="inlineStr">
        <is>
          <t>UPPSALA LÄN</t>
        </is>
      </c>
      <c r="E5324" t="inlineStr">
        <is>
          <t>TIERP</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12976-2024</t>
        </is>
      </c>
      <c r="B5325" s="1" t="n">
        <v>45385</v>
      </c>
      <c r="C5325" s="1" t="n">
        <v>45846</v>
      </c>
      <c r="D5325" t="inlineStr">
        <is>
          <t>UPPSALA LÄN</t>
        </is>
      </c>
      <c r="E5325" t="inlineStr">
        <is>
          <t>TIERP</t>
        </is>
      </c>
      <c r="F5325" t="inlineStr">
        <is>
          <t>Bergvik skog öst AB</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13059-2024</t>
        </is>
      </c>
      <c r="B5326" s="1" t="n">
        <v>45385</v>
      </c>
      <c r="C5326" s="1" t="n">
        <v>45846</v>
      </c>
      <c r="D5326" t="inlineStr">
        <is>
          <t>UPPSALA LÄN</t>
        </is>
      </c>
      <c r="E5326" t="inlineStr">
        <is>
          <t>ÖSTHAMMAR</t>
        </is>
      </c>
      <c r="F5326" t="inlineStr">
        <is>
          <t>Bergvik skog öst AB</t>
        </is>
      </c>
      <c r="G5326" t="n">
        <v>6.6</v>
      </c>
      <c r="H5326" t="n">
        <v>0</v>
      </c>
      <c r="I5326" t="n">
        <v>0</v>
      </c>
      <c r="J5326" t="n">
        <v>0</v>
      </c>
      <c r="K5326" t="n">
        <v>0</v>
      </c>
      <c r="L5326" t="n">
        <v>0</v>
      </c>
      <c r="M5326" t="n">
        <v>0</v>
      </c>
      <c r="N5326" t="n">
        <v>0</v>
      </c>
      <c r="O5326" t="n">
        <v>0</v>
      </c>
      <c r="P5326" t="n">
        <v>0</v>
      </c>
      <c r="Q5326" t="n">
        <v>0</v>
      </c>
      <c r="R5326" s="2" t="inlineStr"/>
    </row>
    <row r="5327" ht="15" customHeight="1">
      <c r="A5327" t="inlineStr">
        <is>
          <t>A 13066-2024</t>
        </is>
      </c>
      <c r="B5327" s="1" t="n">
        <v>45385</v>
      </c>
      <c r="C5327" s="1" t="n">
        <v>45846</v>
      </c>
      <c r="D5327" t="inlineStr">
        <is>
          <t>UPPSALA LÄN</t>
        </is>
      </c>
      <c r="E5327" t="inlineStr">
        <is>
          <t>TIERP</t>
        </is>
      </c>
      <c r="F5327" t="inlineStr">
        <is>
          <t>Bergvik skog öst AB</t>
        </is>
      </c>
      <c r="G5327" t="n">
        <v>8.699999999999999</v>
      </c>
      <c r="H5327" t="n">
        <v>0</v>
      </c>
      <c r="I5327" t="n">
        <v>0</v>
      </c>
      <c r="J5327" t="n">
        <v>0</v>
      </c>
      <c r="K5327" t="n">
        <v>0</v>
      </c>
      <c r="L5327" t="n">
        <v>0</v>
      </c>
      <c r="M5327" t="n">
        <v>0</v>
      </c>
      <c r="N5327" t="n">
        <v>0</v>
      </c>
      <c r="O5327" t="n">
        <v>0</v>
      </c>
      <c r="P5327" t="n">
        <v>0</v>
      </c>
      <c r="Q5327" t="n">
        <v>0</v>
      </c>
      <c r="R5327" s="2" t="inlineStr"/>
    </row>
    <row r="5328" ht="15" customHeight="1">
      <c r="A5328" t="inlineStr">
        <is>
          <t>A 12947-2024</t>
        </is>
      </c>
      <c r="B5328" s="1" t="n">
        <v>45385</v>
      </c>
      <c r="C5328" s="1" t="n">
        <v>45846</v>
      </c>
      <c r="D5328" t="inlineStr">
        <is>
          <t>UPPSALA LÄN</t>
        </is>
      </c>
      <c r="E5328" t="inlineStr">
        <is>
          <t>ÖSTHAMMAR</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13113-2024</t>
        </is>
      </c>
      <c r="B5329" s="1" t="n">
        <v>45385</v>
      </c>
      <c r="C5329" s="1" t="n">
        <v>45846</v>
      </c>
      <c r="D5329" t="inlineStr">
        <is>
          <t>UPPSALA LÄN</t>
        </is>
      </c>
      <c r="E5329" t="inlineStr">
        <is>
          <t>ÖSTHAMMAR</t>
        </is>
      </c>
      <c r="F5329" t="inlineStr">
        <is>
          <t>Bergvik skog öst AB</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13100-2024</t>
        </is>
      </c>
      <c r="B5330" s="1" t="n">
        <v>45385</v>
      </c>
      <c r="C5330" s="1" t="n">
        <v>45846</v>
      </c>
      <c r="D5330" t="inlineStr">
        <is>
          <t>UPPSALA LÄN</t>
        </is>
      </c>
      <c r="E5330" t="inlineStr">
        <is>
          <t>UPPSALA</t>
        </is>
      </c>
      <c r="F5330" t="inlineStr">
        <is>
          <t>Holmen skog AB</t>
        </is>
      </c>
      <c r="G5330" t="n">
        <v>5</v>
      </c>
      <c r="H5330" t="n">
        <v>0</v>
      </c>
      <c r="I5330" t="n">
        <v>0</v>
      </c>
      <c r="J5330" t="n">
        <v>0</v>
      </c>
      <c r="K5330" t="n">
        <v>0</v>
      </c>
      <c r="L5330" t="n">
        <v>0</v>
      </c>
      <c r="M5330" t="n">
        <v>0</v>
      </c>
      <c r="N5330" t="n">
        <v>0</v>
      </c>
      <c r="O5330" t="n">
        <v>0</v>
      </c>
      <c r="P5330" t="n">
        <v>0</v>
      </c>
      <c r="Q5330" t="n">
        <v>0</v>
      </c>
      <c r="R5330" s="2" t="inlineStr"/>
    </row>
    <row r="5331" ht="15" customHeight="1">
      <c r="A5331" t="inlineStr">
        <is>
          <t>A 13114-2024</t>
        </is>
      </c>
      <c r="B5331" s="1" t="n">
        <v>45385</v>
      </c>
      <c r="C5331" s="1" t="n">
        <v>45846</v>
      </c>
      <c r="D5331" t="inlineStr">
        <is>
          <t>UPPSALA LÄN</t>
        </is>
      </c>
      <c r="E5331" t="inlineStr">
        <is>
          <t>ÖSTHAMMAR</t>
        </is>
      </c>
      <c r="F5331" t="inlineStr">
        <is>
          <t>Bergvik skog öst AB</t>
        </is>
      </c>
      <c r="G5331" t="n">
        <v>8.800000000000001</v>
      </c>
      <c r="H5331" t="n">
        <v>0</v>
      </c>
      <c r="I5331" t="n">
        <v>0</v>
      </c>
      <c r="J5331" t="n">
        <v>0</v>
      </c>
      <c r="K5331" t="n">
        <v>0</v>
      </c>
      <c r="L5331" t="n">
        <v>0</v>
      </c>
      <c r="M5331" t="n">
        <v>0</v>
      </c>
      <c r="N5331" t="n">
        <v>0</v>
      </c>
      <c r="O5331" t="n">
        <v>0</v>
      </c>
      <c r="P5331" t="n">
        <v>0</v>
      </c>
      <c r="Q5331" t="n">
        <v>0</v>
      </c>
      <c r="R5331" s="2" t="inlineStr"/>
    </row>
    <row r="5332" ht="15" customHeight="1">
      <c r="A5332" t="inlineStr">
        <is>
          <t>A 13305-2024</t>
        </is>
      </c>
      <c r="B5332" s="1" t="n">
        <v>45386</v>
      </c>
      <c r="C5332" s="1" t="n">
        <v>45846</v>
      </c>
      <c r="D5332" t="inlineStr">
        <is>
          <t>UPPSALA LÄN</t>
        </is>
      </c>
      <c r="E5332" t="inlineStr">
        <is>
          <t>UPPSALA</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13303-2024</t>
        </is>
      </c>
      <c r="B5333" s="1" t="n">
        <v>45386</v>
      </c>
      <c r="C5333" s="1" t="n">
        <v>45846</v>
      </c>
      <c r="D5333" t="inlineStr">
        <is>
          <t>UPPSALA LÄN</t>
        </is>
      </c>
      <c r="E5333" t="inlineStr">
        <is>
          <t>UPPSALA</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13315-2024</t>
        </is>
      </c>
      <c r="B5334" s="1" t="n">
        <v>45386</v>
      </c>
      <c r="C5334" s="1" t="n">
        <v>45846</v>
      </c>
      <c r="D5334" t="inlineStr">
        <is>
          <t>UPPSALA LÄN</t>
        </is>
      </c>
      <c r="E5334" t="inlineStr">
        <is>
          <t>ÖSTHAMMAR</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13182-2024</t>
        </is>
      </c>
      <c r="B5335" s="1" t="n">
        <v>45386</v>
      </c>
      <c r="C5335" s="1" t="n">
        <v>45846</v>
      </c>
      <c r="D5335" t="inlineStr">
        <is>
          <t>UPPSALA LÄN</t>
        </is>
      </c>
      <c r="E5335" t="inlineStr">
        <is>
          <t>TIERP</t>
        </is>
      </c>
      <c r="F5335" t="inlineStr">
        <is>
          <t>Bergvik skog öst AB</t>
        </is>
      </c>
      <c r="G5335" t="n">
        <v>9.1</v>
      </c>
      <c r="H5335" t="n">
        <v>0</v>
      </c>
      <c r="I5335" t="n">
        <v>0</v>
      </c>
      <c r="J5335" t="n">
        <v>0</v>
      </c>
      <c r="K5335" t="n">
        <v>0</v>
      </c>
      <c r="L5335" t="n">
        <v>0</v>
      </c>
      <c r="M5335" t="n">
        <v>0</v>
      </c>
      <c r="N5335" t="n">
        <v>0</v>
      </c>
      <c r="O5335" t="n">
        <v>0</v>
      </c>
      <c r="P5335" t="n">
        <v>0</v>
      </c>
      <c r="Q5335" t="n">
        <v>0</v>
      </c>
      <c r="R5335" s="2" t="inlineStr"/>
    </row>
    <row r="5336" ht="15" customHeight="1">
      <c r="A5336" t="inlineStr">
        <is>
          <t>A 13247-2024</t>
        </is>
      </c>
      <c r="B5336" s="1" t="n">
        <v>45386</v>
      </c>
      <c r="C5336" s="1" t="n">
        <v>45846</v>
      </c>
      <c r="D5336" t="inlineStr">
        <is>
          <t>UPPSALA LÄN</t>
        </is>
      </c>
      <c r="E5336" t="inlineStr">
        <is>
          <t>ENKÖPING</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13312-2024</t>
        </is>
      </c>
      <c r="B5337" s="1" t="n">
        <v>45386</v>
      </c>
      <c r="C5337" s="1" t="n">
        <v>45846</v>
      </c>
      <c r="D5337" t="inlineStr">
        <is>
          <t>UPPSALA LÄN</t>
        </is>
      </c>
      <c r="E5337" t="inlineStr">
        <is>
          <t>ÖSTHAMMAR</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13168-2024</t>
        </is>
      </c>
      <c r="B5338" s="1" t="n">
        <v>45386</v>
      </c>
      <c r="C5338" s="1" t="n">
        <v>45846</v>
      </c>
      <c r="D5338" t="inlineStr">
        <is>
          <t>UPPSALA LÄN</t>
        </is>
      </c>
      <c r="E5338" t="inlineStr">
        <is>
          <t>ENKÖPING</t>
        </is>
      </c>
      <c r="G5338" t="n">
        <v>3.5</v>
      </c>
      <c r="H5338" t="n">
        <v>0</v>
      </c>
      <c r="I5338" t="n">
        <v>0</v>
      </c>
      <c r="J5338" t="n">
        <v>0</v>
      </c>
      <c r="K5338" t="n">
        <v>0</v>
      </c>
      <c r="L5338" t="n">
        <v>0</v>
      </c>
      <c r="M5338" t="n">
        <v>0</v>
      </c>
      <c r="N5338" t="n">
        <v>0</v>
      </c>
      <c r="O5338" t="n">
        <v>0</v>
      </c>
      <c r="P5338" t="n">
        <v>0</v>
      </c>
      <c r="Q5338" t="n">
        <v>0</v>
      </c>
      <c r="R5338" s="2" t="inlineStr"/>
    </row>
    <row r="5339" ht="15" customHeight="1">
      <c r="A5339" t="inlineStr">
        <is>
          <t>A 13302-2024</t>
        </is>
      </c>
      <c r="B5339" s="1" t="n">
        <v>45386</v>
      </c>
      <c r="C5339" s="1" t="n">
        <v>45846</v>
      </c>
      <c r="D5339" t="inlineStr">
        <is>
          <t>UPPSALA LÄN</t>
        </is>
      </c>
      <c r="E5339" t="inlineStr">
        <is>
          <t>UPPSALA</t>
        </is>
      </c>
      <c r="G5339" t="n">
        <v>15.6</v>
      </c>
      <c r="H5339" t="n">
        <v>0</v>
      </c>
      <c r="I5339" t="n">
        <v>0</v>
      </c>
      <c r="J5339" t="n">
        <v>0</v>
      </c>
      <c r="K5339" t="n">
        <v>0</v>
      </c>
      <c r="L5339" t="n">
        <v>0</v>
      </c>
      <c r="M5339" t="n">
        <v>0</v>
      </c>
      <c r="N5339" t="n">
        <v>0</v>
      </c>
      <c r="O5339" t="n">
        <v>0</v>
      </c>
      <c r="P5339" t="n">
        <v>0</v>
      </c>
      <c r="Q5339" t="n">
        <v>0</v>
      </c>
      <c r="R5339" s="2" t="inlineStr"/>
    </row>
    <row r="5340" ht="15" customHeight="1">
      <c r="A5340" t="inlineStr">
        <is>
          <t>A 13356-2024</t>
        </is>
      </c>
      <c r="B5340" s="1" t="n">
        <v>45387</v>
      </c>
      <c r="C5340" s="1" t="n">
        <v>45846</v>
      </c>
      <c r="D5340" t="inlineStr">
        <is>
          <t>UPPSALA LÄN</t>
        </is>
      </c>
      <c r="E5340" t="inlineStr">
        <is>
          <t>TIERP</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13530-2024</t>
        </is>
      </c>
      <c r="B5341" s="1" t="n">
        <v>45387</v>
      </c>
      <c r="C5341" s="1" t="n">
        <v>45846</v>
      </c>
      <c r="D5341" t="inlineStr">
        <is>
          <t>UPPSALA LÄN</t>
        </is>
      </c>
      <c r="E5341" t="inlineStr">
        <is>
          <t>ENKÖPING</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13368-2024</t>
        </is>
      </c>
      <c r="B5342" s="1" t="n">
        <v>45387</v>
      </c>
      <c r="C5342" s="1" t="n">
        <v>45846</v>
      </c>
      <c r="D5342" t="inlineStr">
        <is>
          <t>UPPSALA LÄN</t>
        </is>
      </c>
      <c r="E5342" t="inlineStr">
        <is>
          <t>TIERP</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13729-2024</t>
        </is>
      </c>
      <c r="B5343" s="1" t="n">
        <v>45387</v>
      </c>
      <c r="C5343" s="1" t="n">
        <v>45846</v>
      </c>
      <c r="D5343" t="inlineStr">
        <is>
          <t>UPPSALA LÄN</t>
        </is>
      </c>
      <c r="E5343" t="inlineStr">
        <is>
          <t>ÖSTHAMMAR</t>
        </is>
      </c>
      <c r="G5343" t="n">
        <v>4.5</v>
      </c>
      <c r="H5343" t="n">
        <v>0</v>
      </c>
      <c r="I5343" t="n">
        <v>0</v>
      </c>
      <c r="J5343" t="n">
        <v>0</v>
      </c>
      <c r="K5343" t="n">
        <v>0</v>
      </c>
      <c r="L5343" t="n">
        <v>0</v>
      </c>
      <c r="M5343" t="n">
        <v>0</v>
      </c>
      <c r="N5343" t="n">
        <v>0</v>
      </c>
      <c r="O5343" t="n">
        <v>0</v>
      </c>
      <c r="P5343" t="n">
        <v>0</v>
      </c>
      <c r="Q5343" t="n">
        <v>0</v>
      </c>
      <c r="R5343" s="2" t="inlineStr"/>
    </row>
    <row r="5344" ht="15" customHeight="1">
      <c r="A5344" t="inlineStr">
        <is>
          <t>A 13528-2024</t>
        </is>
      </c>
      <c r="B5344" s="1" t="n">
        <v>45387</v>
      </c>
      <c r="C5344" s="1" t="n">
        <v>45846</v>
      </c>
      <c r="D5344" t="inlineStr">
        <is>
          <t>UPPSALA LÄN</t>
        </is>
      </c>
      <c r="E5344" t="inlineStr">
        <is>
          <t>ENKÖPING</t>
        </is>
      </c>
      <c r="G5344" t="n">
        <v>5.7</v>
      </c>
      <c r="H5344" t="n">
        <v>0</v>
      </c>
      <c r="I5344" t="n">
        <v>0</v>
      </c>
      <c r="J5344" t="n">
        <v>0</v>
      </c>
      <c r="K5344" t="n">
        <v>0</v>
      </c>
      <c r="L5344" t="n">
        <v>0</v>
      </c>
      <c r="M5344" t="n">
        <v>0</v>
      </c>
      <c r="N5344" t="n">
        <v>0</v>
      </c>
      <c r="O5344" t="n">
        <v>0</v>
      </c>
      <c r="P5344" t="n">
        <v>0</v>
      </c>
      <c r="Q5344" t="n">
        <v>0</v>
      </c>
      <c r="R5344" s="2" t="inlineStr"/>
    </row>
    <row r="5345" ht="15" customHeight="1">
      <c r="A5345" t="inlineStr">
        <is>
          <t>A 13488-2024</t>
        </is>
      </c>
      <c r="B5345" s="1" t="n">
        <v>45387</v>
      </c>
      <c r="C5345" s="1" t="n">
        <v>45846</v>
      </c>
      <c r="D5345" t="inlineStr">
        <is>
          <t>UPPSALA LÄN</t>
        </is>
      </c>
      <c r="E5345" t="inlineStr">
        <is>
          <t>HEBY</t>
        </is>
      </c>
      <c r="F5345" t="inlineStr">
        <is>
          <t>Bergvik skog öst AB</t>
        </is>
      </c>
      <c r="G5345" t="n">
        <v>5.8</v>
      </c>
      <c r="H5345" t="n">
        <v>0</v>
      </c>
      <c r="I5345" t="n">
        <v>0</v>
      </c>
      <c r="J5345" t="n">
        <v>0</v>
      </c>
      <c r="K5345" t="n">
        <v>0</v>
      </c>
      <c r="L5345" t="n">
        <v>0</v>
      </c>
      <c r="M5345" t="n">
        <v>0</v>
      </c>
      <c r="N5345" t="n">
        <v>0</v>
      </c>
      <c r="O5345" t="n">
        <v>0</v>
      </c>
      <c r="P5345" t="n">
        <v>0</v>
      </c>
      <c r="Q5345" t="n">
        <v>0</v>
      </c>
      <c r="R5345" s="2" t="inlineStr"/>
    </row>
    <row r="5346" ht="15" customHeight="1">
      <c r="A5346" t="inlineStr">
        <is>
          <t>A 13430-2024</t>
        </is>
      </c>
      <c r="B5346" s="1" t="n">
        <v>45387</v>
      </c>
      <c r="C5346" s="1" t="n">
        <v>45846</v>
      </c>
      <c r="D5346" t="inlineStr">
        <is>
          <t>UPPSALA LÄN</t>
        </is>
      </c>
      <c r="E5346" t="inlineStr">
        <is>
          <t>HEBY</t>
        </is>
      </c>
      <c r="F5346" t="inlineStr">
        <is>
          <t>Bergvik skog öst AB</t>
        </is>
      </c>
      <c r="G5346" t="n">
        <v>12.8</v>
      </c>
      <c r="H5346" t="n">
        <v>0</v>
      </c>
      <c r="I5346" t="n">
        <v>0</v>
      </c>
      <c r="J5346" t="n">
        <v>0</v>
      </c>
      <c r="K5346" t="n">
        <v>0</v>
      </c>
      <c r="L5346" t="n">
        <v>0</v>
      </c>
      <c r="M5346" t="n">
        <v>0</v>
      </c>
      <c r="N5346" t="n">
        <v>0</v>
      </c>
      <c r="O5346" t="n">
        <v>0</v>
      </c>
      <c r="P5346" t="n">
        <v>0</v>
      </c>
      <c r="Q5346" t="n">
        <v>0</v>
      </c>
      <c r="R5346" s="2" t="inlineStr"/>
    </row>
    <row r="5347" ht="15" customHeight="1">
      <c r="A5347" t="inlineStr">
        <is>
          <t>A 13358-2024</t>
        </is>
      </c>
      <c r="B5347" s="1" t="n">
        <v>45387</v>
      </c>
      <c r="C5347" s="1" t="n">
        <v>45846</v>
      </c>
      <c r="D5347" t="inlineStr">
        <is>
          <t>UPPSALA LÄN</t>
        </is>
      </c>
      <c r="E5347" t="inlineStr">
        <is>
          <t>ÖSTHAMMAR</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13354-2024</t>
        </is>
      </c>
      <c r="B5348" s="1" t="n">
        <v>45387</v>
      </c>
      <c r="C5348" s="1" t="n">
        <v>45846</v>
      </c>
      <c r="D5348" t="inlineStr">
        <is>
          <t>UPPSALA LÄN</t>
        </is>
      </c>
      <c r="E5348" t="inlineStr">
        <is>
          <t>TIERP</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13464-2024</t>
        </is>
      </c>
      <c r="B5349" s="1" t="n">
        <v>45387</v>
      </c>
      <c r="C5349" s="1" t="n">
        <v>45846</v>
      </c>
      <c r="D5349" t="inlineStr">
        <is>
          <t>UPPSALA LÄN</t>
        </is>
      </c>
      <c r="E5349" t="inlineStr">
        <is>
          <t>TIERP</t>
        </is>
      </c>
      <c r="F5349" t="inlineStr">
        <is>
          <t>Bergvik skog väst AB</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13460-2024</t>
        </is>
      </c>
      <c r="B5350" s="1" t="n">
        <v>45387</v>
      </c>
      <c r="C5350" s="1" t="n">
        <v>45846</v>
      </c>
      <c r="D5350" t="inlineStr">
        <is>
          <t>UPPSALA LÄN</t>
        </is>
      </c>
      <c r="E5350" t="inlineStr">
        <is>
          <t>TIERP</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13379-2024</t>
        </is>
      </c>
      <c r="B5351" s="1" t="n">
        <v>45387</v>
      </c>
      <c r="C5351" s="1" t="n">
        <v>45846</v>
      </c>
      <c r="D5351" t="inlineStr">
        <is>
          <t>UPPSALA LÄN</t>
        </is>
      </c>
      <c r="E5351" t="inlineStr">
        <is>
          <t>UPPSALA</t>
        </is>
      </c>
      <c r="G5351" t="n">
        <v>7</v>
      </c>
      <c r="H5351" t="n">
        <v>0</v>
      </c>
      <c r="I5351" t="n">
        <v>0</v>
      </c>
      <c r="J5351" t="n">
        <v>0</v>
      </c>
      <c r="K5351" t="n">
        <v>0</v>
      </c>
      <c r="L5351" t="n">
        <v>0</v>
      </c>
      <c r="M5351" t="n">
        <v>0</v>
      </c>
      <c r="N5351" t="n">
        <v>0</v>
      </c>
      <c r="O5351" t="n">
        <v>0</v>
      </c>
      <c r="P5351" t="n">
        <v>0</v>
      </c>
      <c r="Q5351" t="n">
        <v>0</v>
      </c>
      <c r="R5351" s="2" t="inlineStr"/>
    </row>
    <row r="5352" ht="15" customHeight="1">
      <c r="A5352" t="inlineStr">
        <is>
          <t>A 13393-2024</t>
        </is>
      </c>
      <c r="B5352" s="1" t="n">
        <v>45387</v>
      </c>
      <c r="C5352" s="1" t="n">
        <v>45846</v>
      </c>
      <c r="D5352" t="inlineStr">
        <is>
          <t>UPPSALA LÄN</t>
        </is>
      </c>
      <c r="E5352" t="inlineStr">
        <is>
          <t>ÖSTHAMMAR</t>
        </is>
      </c>
      <c r="F5352" t="inlineStr">
        <is>
          <t>Kyrkan</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13601-2024</t>
        </is>
      </c>
      <c r="B5353" s="1" t="n">
        <v>45390</v>
      </c>
      <c r="C5353" s="1" t="n">
        <v>45846</v>
      </c>
      <c r="D5353" t="inlineStr">
        <is>
          <t>UPPSALA LÄN</t>
        </is>
      </c>
      <c r="E5353" t="inlineStr">
        <is>
          <t>HEBY</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13613-2024</t>
        </is>
      </c>
      <c r="B5354" s="1" t="n">
        <v>45390</v>
      </c>
      <c r="C5354" s="1" t="n">
        <v>45846</v>
      </c>
      <c r="D5354" t="inlineStr">
        <is>
          <t>UPPSALA LÄN</t>
        </is>
      </c>
      <c r="E5354" t="inlineStr">
        <is>
          <t>ÖSTHAMMAR</t>
        </is>
      </c>
      <c r="F5354" t="inlineStr">
        <is>
          <t>Övriga Aktiebolag</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13678-2024</t>
        </is>
      </c>
      <c r="B5355" s="1" t="n">
        <v>45390</v>
      </c>
      <c r="C5355" s="1" t="n">
        <v>45846</v>
      </c>
      <c r="D5355" t="inlineStr">
        <is>
          <t>UPPSALA LÄN</t>
        </is>
      </c>
      <c r="E5355" t="inlineStr">
        <is>
          <t>KNIVSTA</t>
        </is>
      </c>
      <c r="F5355" t="inlineStr">
        <is>
          <t>Holmen skog AB</t>
        </is>
      </c>
      <c r="G5355" t="n">
        <v>7.4</v>
      </c>
      <c r="H5355" t="n">
        <v>0</v>
      </c>
      <c r="I5355" t="n">
        <v>0</v>
      </c>
      <c r="J5355" t="n">
        <v>0</v>
      </c>
      <c r="K5355" t="n">
        <v>0</v>
      </c>
      <c r="L5355" t="n">
        <v>0</v>
      </c>
      <c r="M5355" t="n">
        <v>0</v>
      </c>
      <c r="N5355" t="n">
        <v>0</v>
      </c>
      <c r="O5355" t="n">
        <v>0</v>
      </c>
      <c r="P5355" t="n">
        <v>0</v>
      </c>
      <c r="Q5355" t="n">
        <v>0</v>
      </c>
      <c r="R5355" s="2" t="inlineStr"/>
    </row>
    <row r="5356" ht="15" customHeight="1">
      <c r="A5356" t="inlineStr">
        <is>
          <t>A 13616-2024</t>
        </is>
      </c>
      <c r="B5356" s="1" t="n">
        <v>45390</v>
      </c>
      <c r="C5356" s="1" t="n">
        <v>45846</v>
      </c>
      <c r="D5356" t="inlineStr">
        <is>
          <t>UPPSALA LÄN</t>
        </is>
      </c>
      <c r="E5356" t="inlineStr">
        <is>
          <t>ÖSTHAMMAR</t>
        </is>
      </c>
      <c r="F5356" t="inlineStr">
        <is>
          <t>Övriga Aktiebolag</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13615-2024</t>
        </is>
      </c>
      <c r="B5357" s="1" t="n">
        <v>45390</v>
      </c>
      <c r="C5357" s="1" t="n">
        <v>45846</v>
      </c>
      <c r="D5357" t="inlineStr">
        <is>
          <t>UPPSALA LÄN</t>
        </is>
      </c>
      <c r="E5357" t="inlineStr">
        <is>
          <t>ÖSTHAMMAR</t>
        </is>
      </c>
      <c r="F5357" t="inlineStr">
        <is>
          <t>Övriga Aktiebolag</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13681-2024</t>
        </is>
      </c>
      <c r="B5358" s="1" t="n">
        <v>45390</v>
      </c>
      <c r="C5358" s="1" t="n">
        <v>45846</v>
      </c>
      <c r="D5358" t="inlineStr">
        <is>
          <t>UPPSALA LÄN</t>
        </is>
      </c>
      <c r="E5358" t="inlineStr">
        <is>
          <t>TIERP</t>
        </is>
      </c>
      <c r="F5358" t="inlineStr">
        <is>
          <t>Bergvik skog väst AB</t>
        </is>
      </c>
      <c r="G5358" t="n">
        <v>11.2</v>
      </c>
      <c r="H5358" t="n">
        <v>0</v>
      </c>
      <c r="I5358" t="n">
        <v>0</v>
      </c>
      <c r="J5358" t="n">
        <v>0</v>
      </c>
      <c r="K5358" t="n">
        <v>0</v>
      </c>
      <c r="L5358" t="n">
        <v>0</v>
      </c>
      <c r="M5358" t="n">
        <v>0</v>
      </c>
      <c r="N5358" t="n">
        <v>0</v>
      </c>
      <c r="O5358" t="n">
        <v>0</v>
      </c>
      <c r="P5358" t="n">
        <v>0</v>
      </c>
      <c r="Q5358" t="n">
        <v>0</v>
      </c>
      <c r="R5358" s="2" t="inlineStr"/>
    </row>
    <row r="5359" ht="15" customHeight="1">
      <c r="A5359" t="inlineStr">
        <is>
          <t>A 13644-2024</t>
        </is>
      </c>
      <c r="B5359" s="1" t="n">
        <v>45390</v>
      </c>
      <c r="C5359" s="1" t="n">
        <v>45846</v>
      </c>
      <c r="D5359" t="inlineStr">
        <is>
          <t>UPPSALA LÄN</t>
        </is>
      </c>
      <c r="E5359" t="inlineStr">
        <is>
          <t>UPPSALA</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13685-2024</t>
        </is>
      </c>
      <c r="B5360" s="1" t="n">
        <v>45390</v>
      </c>
      <c r="C5360" s="1" t="n">
        <v>45846</v>
      </c>
      <c r="D5360" t="inlineStr">
        <is>
          <t>UPPSALA LÄN</t>
        </is>
      </c>
      <c r="E5360" t="inlineStr">
        <is>
          <t>HEBY</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13697-2024</t>
        </is>
      </c>
      <c r="B5361" s="1" t="n">
        <v>45390</v>
      </c>
      <c r="C5361" s="1" t="n">
        <v>45846</v>
      </c>
      <c r="D5361" t="inlineStr">
        <is>
          <t>UPPSALA LÄN</t>
        </is>
      </c>
      <c r="E5361" t="inlineStr">
        <is>
          <t>KNIVSTA</t>
        </is>
      </c>
      <c r="F5361" t="inlineStr">
        <is>
          <t>Holmen skog AB</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13676-2024</t>
        </is>
      </c>
      <c r="B5362" s="1" t="n">
        <v>45390</v>
      </c>
      <c r="C5362" s="1" t="n">
        <v>45846</v>
      </c>
      <c r="D5362" t="inlineStr">
        <is>
          <t>UPPSALA LÄN</t>
        </is>
      </c>
      <c r="E5362" t="inlineStr">
        <is>
          <t>HEBY</t>
        </is>
      </c>
      <c r="G5362" t="n">
        <v>15.8</v>
      </c>
      <c r="H5362" t="n">
        <v>0</v>
      </c>
      <c r="I5362" t="n">
        <v>0</v>
      </c>
      <c r="J5362" t="n">
        <v>0</v>
      </c>
      <c r="K5362" t="n">
        <v>0</v>
      </c>
      <c r="L5362" t="n">
        <v>0</v>
      </c>
      <c r="M5362" t="n">
        <v>0</v>
      </c>
      <c r="N5362" t="n">
        <v>0</v>
      </c>
      <c r="O5362" t="n">
        <v>0</v>
      </c>
      <c r="P5362" t="n">
        <v>0</v>
      </c>
      <c r="Q5362" t="n">
        <v>0</v>
      </c>
      <c r="R5362" s="2" t="inlineStr"/>
    </row>
    <row r="5363" ht="15" customHeight="1">
      <c r="A5363" t="inlineStr">
        <is>
          <t>A 13684-2024</t>
        </is>
      </c>
      <c r="B5363" s="1" t="n">
        <v>45390</v>
      </c>
      <c r="C5363" s="1" t="n">
        <v>45846</v>
      </c>
      <c r="D5363" t="inlineStr">
        <is>
          <t>UPPSALA LÄN</t>
        </is>
      </c>
      <c r="E5363" t="inlineStr">
        <is>
          <t>TIERP</t>
        </is>
      </c>
      <c r="F5363" t="inlineStr">
        <is>
          <t>Bergvik skog väst AB</t>
        </is>
      </c>
      <c r="G5363" t="n">
        <v>13.8</v>
      </c>
      <c r="H5363" t="n">
        <v>0</v>
      </c>
      <c r="I5363" t="n">
        <v>0</v>
      </c>
      <c r="J5363" t="n">
        <v>0</v>
      </c>
      <c r="K5363" t="n">
        <v>0</v>
      </c>
      <c r="L5363" t="n">
        <v>0</v>
      </c>
      <c r="M5363" t="n">
        <v>0</v>
      </c>
      <c r="N5363" t="n">
        <v>0</v>
      </c>
      <c r="O5363" t="n">
        <v>0</v>
      </c>
      <c r="P5363" t="n">
        <v>0</v>
      </c>
      <c r="Q5363" t="n">
        <v>0</v>
      </c>
      <c r="R5363" s="2" t="inlineStr"/>
    </row>
    <row r="5364" ht="15" customHeight="1">
      <c r="A5364" t="inlineStr">
        <is>
          <t>A 13688-2024</t>
        </is>
      </c>
      <c r="B5364" s="1" t="n">
        <v>45390</v>
      </c>
      <c r="C5364" s="1" t="n">
        <v>45846</v>
      </c>
      <c r="D5364" t="inlineStr">
        <is>
          <t>UPPSALA LÄN</t>
        </is>
      </c>
      <c r="E5364" t="inlineStr">
        <is>
          <t>HEBY</t>
        </is>
      </c>
      <c r="G5364" t="n">
        <v>5.1</v>
      </c>
      <c r="H5364" t="n">
        <v>0</v>
      </c>
      <c r="I5364" t="n">
        <v>0</v>
      </c>
      <c r="J5364" t="n">
        <v>0</v>
      </c>
      <c r="K5364" t="n">
        <v>0</v>
      </c>
      <c r="L5364" t="n">
        <v>0</v>
      </c>
      <c r="M5364" t="n">
        <v>0</v>
      </c>
      <c r="N5364" t="n">
        <v>0</v>
      </c>
      <c r="O5364" t="n">
        <v>0</v>
      </c>
      <c r="P5364" t="n">
        <v>0</v>
      </c>
      <c r="Q5364" t="n">
        <v>0</v>
      </c>
      <c r="R5364" s="2" t="inlineStr"/>
    </row>
    <row r="5365" ht="15" customHeight="1">
      <c r="A5365" t="inlineStr">
        <is>
          <t>A 13692-2024</t>
        </is>
      </c>
      <c r="B5365" s="1" t="n">
        <v>45390</v>
      </c>
      <c r="C5365" s="1" t="n">
        <v>45846</v>
      </c>
      <c r="D5365" t="inlineStr">
        <is>
          <t>UPPSALA LÄN</t>
        </is>
      </c>
      <c r="E5365" t="inlineStr">
        <is>
          <t>TIERP</t>
        </is>
      </c>
      <c r="F5365" t="inlineStr">
        <is>
          <t>Bergvik skog väst AB</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13618-2024</t>
        </is>
      </c>
      <c r="B5366" s="1" t="n">
        <v>45390</v>
      </c>
      <c r="C5366" s="1" t="n">
        <v>45846</v>
      </c>
      <c r="D5366" t="inlineStr">
        <is>
          <t>UPPSALA LÄN</t>
        </is>
      </c>
      <c r="E5366" t="inlineStr">
        <is>
          <t>ÖSTHAMMAR</t>
        </is>
      </c>
      <c r="F5366" t="inlineStr">
        <is>
          <t>Övriga Aktiebolag</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13679-2024</t>
        </is>
      </c>
      <c r="B5367" s="1" t="n">
        <v>45390</v>
      </c>
      <c r="C5367" s="1" t="n">
        <v>45846</v>
      </c>
      <c r="D5367" t="inlineStr">
        <is>
          <t>UPPSALA LÄN</t>
        </is>
      </c>
      <c r="E5367" t="inlineStr">
        <is>
          <t>HEBY</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13687-2024</t>
        </is>
      </c>
      <c r="B5368" s="1" t="n">
        <v>45390</v>
      </c>
      <c r="C5368" s="1" t="n">
        <v>45846</v>
      </c>
      <c r="D5368" t="inlineStr">
        <is>
          <t>UPPSALA LÄN</t>
        </is>
      </c>
      <c r="E5368" t="inlineStr">
        <is>
          <t>TIERP</t>
        </is>
      </c>
      <c r="F5368" t="inlineStr">
        <is>
          <t>Bergvik skog väst AB</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13691-2024</t>
        </is>
      </c>
      <c r="B5369" s="1" t="n">
        <v>45390</v>
      </c>
      <c r="C5369" s="1" t="n">
        <v>45846</v>
      </c>
      <c r="D5369" t="inlineStr">
        <is>
          <t>UPPSALA LÄN</t>
        </is>
      </c>
      <c r="E5369" t="inlineStr">
        <is>
          <t>TIERP</t>
        </is>
      </c>
      <c r="F5369" t="inlineStr">
        <is>
          <t>Bergvik skog väst AB</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13799-2024</t>
        </is>
      </c>
      <c r="B5370" s="1" t="n">
        <v>45391</v>
      </c>
      <c r="C5370" s="1" t="n">
        <v>45846</v>
      </c>
      <c r="D5370" t="inlineStr">
        <is>
          <t>UPPSALA LÄN</t>
        </is>
      </c>
      <c r="E5370" t="inlineStr">
        <is>
          <t>UPPSALA</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13879-2024</t>
        </is>
      </c>
      <c r="B5371" s="1" t="n">
        <v>45391</v>
      </c>
      <c r="C5371" s="1" t="n">
        <v>45846</v>
      </c>
      <c r="D5371" t="inlineStr">
        <is>
          <t>UPPSALA LÄN</t>
        </is>
      </c>
      <c r="E5371" t="inlineStr">
        <is>
          <t>ÖSTHAMMAR</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13779-2024</t>
        </is>
      </c>
      <c r="B5372" s="1" t="n">
        <v>45391</v>
      </c>
      <c r="C5372" s="1" t="n">
        <v>45846</v>
      </c>
      <c r="D5372" t="inlineStr">
        <is>
          <t>UPPSALA LÄN</t>
        </is>
      </c>
      <c r="E5372" t="inlineStr">
        <is>
          <t>ÖSTHAMMAR</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14108-2024</t>
        </is>
      </c>
      <c r="B5373" s="1" t="n">
        <v>45392</v>
      </c>
      <c r="C5373" s="1" t="n">
        <v>45846</v>
      </c>
      <c r="D5373" t="inlineStr">
        <is>
          <t>UPPSALA LÄN</t>
        </is>
      </c>
      <c r="E5373" t="inlineStr">
        <is>
          <t>TIERP</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14116-2024</t>
        </is>
      </c>
      <c r="B5374" s="1" t="n">
        <v>45392</v>
      </c>
      <c r="C5374" s="1" t="n">
        <v>45846</v>
      </c>
      <c r="D5374" t="inlineStr">
        <is>
          <t>UPPSALA LÄN</t>
        </is>
      </c>
      <c r="E5374" t="inlineStr">
        <is>
          <t>TIERP</t>
        </is>
      </c>
      <c r="F5374" t="inlineStr">
        <is>
          <t>Bergvik skog öst AB</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14284-2024</t>
        </is>
      </c>
      <c r="B5375" s="1" t="n">
        <v>45393</v>
      </c>
      <c r="C5375" s="1" t="n">
        <v>45846</v>
      </c>
      <c r="D5375" t="inlineStr">
        <is>
          <t>UPPSALA LÄN</t>
        </is>
      </c>
      <c r="E5375" t="inlineStr">
        <is>
          <t>TIERP</t>
        </is>
      </c>
      <c r="F5375" t="inlineStr">
        <is>
          <t>Bergvik skog öst AB</t>
        </is>
      </c>
      <c r="G5375" t="n">
        <v>11.8</v>
      </c>
      <c r="H5375" t="n">
        <v>0</v>
      </c>
      <c r="I5375" t="n">
        <v>0</v>
      </c>
      <c r="J5375" t="n">
        <v>0</v>
      </c>
      <c r="K5375" t="n">
        <v>0</v>
      </c>
      <c r="L5375" t="n">
        <v>0</v>
      </c>
      <c r="M5375" t="n">
        <v>0</v>
      </c>
      <c r="N5375" t="n">
        <v>0</v>
      </c>
      <c r="O5375" t="n">
        <v>0</v>
      </c>
      <c r="P5375" t="n">
        <v>0</v>
      </c>
      <c r="Q5375" t="n">
        <v>0</v>
      </c>
      <c r="R5375" s="2" t="inlineStr"/>
    </row>
    <row r="5376" ht="15" customHeight="1">
      <c r="A5376" t="inlineStr">
        <is>
          <t>A 14334-2024</t>
        </is>
      </c>
      <c r="B5376" s="1" t="n">
        <v>45393</v>
      </c>
      <c r="C5376" s="1" t="n">
        <v>45846</v>
      </c>
      <c r="D5376" t="inlineStr">
        <is>
          <t>UPPSALA LÄN</t>
        </is>
      </c>
      <c r="E5376" t="inlineStr">
        <is>
          <t>ENKÖPING</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14332-2024</t>
        </is>
      </c>
      <c r="B5377" s="1" t="n">
        <v>45393</v>
      </c>
      <c r="C5377" s="1" t="n">
        <v>45846</v>
      </c>
      <c r="D5377" t="inlineStr">
        <is>
          <t>UPPSALA LÄN</t>
        </is>
      </c>
      <c r="E5377" t="inlineStr">
        <is>
          <t>ENKÖPING</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14241-2024</t>
        </is>
      </c>
      <c r="B5378" s="1" t="n">
        <v>45393</v>
      </c>
      <c r="C5378" s="1" t="n">
        <v>45846</v>
      </c>
      <c r="D5378" t="inlineStr">
        <is>
          <t>UPPSALA LÄN</t>
        </is>
      </c>
      <c r="E5378" t="inlineStr">
        <is>
          <t>TIERP</t>
        </is>
      </c>
      <c r="F5378" t="inlineStr">
        <is>
          <t>Bergvik skog öst AB</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14395-2024</t>
        </is>
      </c>
      <c r="B5379" s="1" t="n">
        <v>45394</v>
      </c>
      <c r="C5379" s="1" t="n">
        <v>45846</v>
      </c>
      <c r="D5379" t="inlineStr">
        <is>
          <t>UPPSALA LÄN</t>
        </is>
      </c>
      <c r="E5379" t="inlineStr">
        <is>
          <t>TIERP</t>
        </is>
      </c>
      <c r="F5379" t="inlineStr">
        <is>
          <t>Bergvik skog väst AB</t>
        </is>
      </c>
      <c r="G5379" t="n">
        <v>12.1</v>
      </c>
      <c r="H5379" t="n">
        <v>0</v>
      </c>
      <c r="I5379" t="n">
        <v>0</v>
      </c>
      <c r="J5379" t="n">
        <v>0</v>
      </c>
      <c r="K5379" t="n">
        <v>0</v>
      </c>
      <c r="L5379" t="n">
        <v>0</v>
      </c>
      <c r="M5379" t="n">
        <v>0</v>
      </c>
      <c r="N5379" t="n">
        <v>0</v>
      </c>
      <c r="O5379" t="n">
        <v>0</v>
      </c>
      <c r="P5379" t="n">
        <v>0</v>
      </c>
      <c r="Q5379" t="n">
        <v>0</v>
      </c>
      <c r="R5379" s="2" t="inlineStr"/>
    </row>
    <row r="5380" ht="15" customHeight="1">
      <c r="A5380" t="inlineStr">
        <is>
          <t>A 14437-2024</t>
        </is>
      </c>
      <c r="B5380" s="1" t="n">
        <v>45394</v>
      </c>
      <c r="C5380" s="1" t="n">
        <v>45846</v>
      </c>
      <c r="D5380" t="inlineStr">
        <is>
          <t>UPPSALA LÄN</t>
        </is>
      </c>
      <c r="E5380" t="inlineStr">
        <is>
          <t>HEBY</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14533-2024</t>
        </is>
      </c>
      <c r="B5381" s="1" t="n">
        <v>45394</v>
      </c>
      <c r="C5381" s="1" t="n">
        <v>45846</v>
      </c>
      <c r="D5381" t="inlineStr">
        <is>
          <t>UPPSALA LÄN</t>
        </is>
      </c>
      <c r="E5381" t="inlineStr">
        <is>
          <t>UPPSALA</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14401-2024</t>
        </is>
      </c>
      <c r="B5382" s="1" t="n">
        <v>45394</v>
      </c>
      <c r="C5382" s="1" t="n">
        <v>45846</v>
      </c>
      <c r="D5382" t="inlineStr">
        <is>
          <t>UPPSALA LÄN</t>
        </is>
      </c>
      <c r="E5382" t="inlineStr">
        <is>
          <t>UPPSALA</t>
        </is>
      </c>
      <c r="F5382" t="inlineStr">
        <is>
          <t>Övriga statliga verk och myndigheter</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14516-2024</t>
        </is>
      </c>
      <c r="B5383" s="1" t="n">
        <v>45394</v>
      </c>
      <c r="C5383" s="1" t="n">
        <v>45846</v>
      </c>
      <c r="D5383" t="inlineStr">
        <is>
          <t>UPPSALA LÄN</t>
        </is>
      </c>
      <c r="E5383" t="inlineStr">
        <is>
          <t>ÖSTHAMMAR</t>
        </is>
      </c>
      <c r="F5383" t="inlineStr">
        <is>
          <t>Bergvik skog öst AB</t>
        </is>
      </c>
      <c r="G5383" t="n">
        <v>7.2</v>
      </c>
      <c r="H5383" t="n">
        <v>0</v>
      </c>
      <c r="I5383" t="n">
        <v>0</v>
      </c>
      <c r="J5383" t="n">
        <v>0</v>
      </c>
      <c r="K5383" t="n">
        <v>0</v>
      </c>
      <c r="L5383" t="n">
        <v>0</v>
      </c>
      <c r="M5383" t="n">
        <v>0</v>
      </c>
      <c r="N5383" t="n">
        <v>0</v>
      </c>
      <c r="O5383" t="n">
        <v>0</v>
      </c>
      <c r="P5383" t="n">
        <v>0</v>
      </c>
      <c r="Q5383" t="n">
        <v>0</v>
      </c>
      <c r="R5383" s="2" t="inlineStr"/>
    </row>
    <row r="5384" ht="15" customHeight="1">
      <c r="A5384" t="inlineStr">
        <is>
          <t>A 14528-2024</t>
        </is>
      </c>
      <c r="B5384" s="1" t="n">
        <v>45394</v>
      </c>
      <c r="C5384" s="1" t="n">
        <v>45846</v>
      </c>
      <c r="D5384" t="inlineStr">
        <is>
          <t>UPPSALA LÄN</t>
        </is>
      </c>
      <c r="E5384" t="inlineStr">
        <is>
          <t>UPPSALA</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14404-2024</t>
        </is>
      </c>
      <c r="B5385" s="1" t="n">
        <v>45394</v>
      </c>
      <c r="C5385" s="1" t="n">
        <v>45846</v>
      </c>
      <c r="D5385" t="inlineStr">
        <is>
          <t>UPPSALA LÄN</t>
        </is>
      </c>
      <c r="E5385" t="inlineStr">
        <is>
          <t>UPPSALA</t>
        </is>
      </c>
      <c r="F5385" t="inlineStr">
        <is>
          <t>Övriga statliga verk och myndigheter</t>
        </is>
      </c>
      <c r="G5385" t="n">
        <v>7</v>
      </c>
      <c r="H5385" t="n">
        <v>0</v>
      </c>
      <c r="I5385" t="n">
        <v>0</v>
      </c>
      <c r="J5385" t="n">
        <v>0</v>
      </c>
      <c r="K5385" t="n">
        <v>0</v>
      </c>
      <c r="L5385" t="n">
        <v>0</v>
      </c>
      <c r="M5385" t="n">
        <v>0</v>
      </c>
      <c r="N5385" t="n">
        <v>0</v>
      </c>
      <c r="O5385" t="n">
        <v>0</v>
      </c>
      <c r="P5385" t="n">
        <v>0</v>
      </c>
      <c r="Q5385" t="n">
        <v>0</v>
      </c>
      <c r="R5385" s="2" t="inlineStr"/>
    </row>
    <row r="5386" ht="15" customHeight="1">
      <c r="A5386" t="inlineStr">
        <is>
          <t>A 14483-2024</t>
        </is>
      </c>
      <c r="B5386" s="1" t="n">
        <v>45394</v>
      </c>
      <c r="C5386" s="1" t="n">
        <v>45846</v>
      </c>
      <c r="D5386" t="inlineStr">
        <is>
          <t>UPPSALA LÄN</t>
        </is>
      </c>
      <c r="E5386" t="inlineStr">
        <is>
          <t>TIERP</t>
        </is>
      </c>
      <c r="F5386" t="inlineStr">
        <is>
          <t>Bergvik skog väst AB</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14523-2024</t>
        </is>
      </c>
      <c r="B5387" s="1" t="n">
        <v>45394</v>
      </c>
      <c r="C5387" s="1" t="n">
        <v>45846</v>
      </c>
      <c r="D5387" t="inlineStr">
        <is>
          <t>UPPSALA LÄN</t>
        </is>
      </c>
      <c r="E5387" t="inlineStr">
        <is>
          <t>UPPSALA</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14509-2024</t>
        </is>
      </c>
      <c r="B5388" s="1" t="n">
        <v>45394</v>
      </c>
      <c r="C5388" s="1" t="n">
        <v>45846</v>
      </c>
      <c r="D5388" t="inlineStr">
        <is>
          <t>UPPSALA LÄN</t>
        </is>
      </c>
      <c r="E5388" t="inlineStr">
        <is>
          <t>ÖSTHAMMAR</t>
        </is>
      </c>
      <c r="F5388" t="inlineStr">
        <is>
          <t>Naturvårdsverket</t>
        </is>
      </c>
      <c r="G5388" t="n">
        <v>9.5</v>
      </c>
      <c r="H5388" t="n">
        <v>0</v>
      </c>
      <c r="I5388" t="n">
        <v>0</v>
      </c>
      <c r="J5388" t="n">
        <v>0</v>
      </c>
      <c r="K5388" t="n">
        <v>0</v>
      </c>
      <c r="L5388" t="n">
        <v>0</v>
      </c>
      <c r="M5388" t="n">
        <v>0</v>
      </c>
      <c r="N5388" t="n">
        <v>0</v>
      </c>
      <c r="O5388" t="n">
        <v>0</v>
      </c>
      <c r="P5388" t="n">
        <v>0</v>
      </c>
      <c r="Q5388" t="n">
        <v>0</v>
      </c>
      <c r="R5388" s="2" t="inlineStr"/>
    </row>
    <row r="5389" ht="15" customHeight="1">
      <c r="A5389" t="inlineStr">
        <is>
          <t>A 14433-2024</t>
        </is>
      </c>
      <c r="B5389" s="1" t="n">
        <v>45394</v>
      </c>
      <c r="C5389" s="1" t="n">
        <v>45846</v>
      </c>
      <c r="D5389" t="inlineStr">
        <is>
          <t>UPPSALA LÄN</t>
        </is>
      </c>
      <c r="E5389" t="inlineStr">
        <is>
          <t>ÖSTHAMMAR</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14771-2024</t>
        </is>
      </c>
      <c r="B5390" s="1" t="n">
        <v>45397</v>
      </c>
      <c r="C5390" s="1" t="n">
        <v>45846</v>
      </c>
      <c r="D5390" t="inlineStr">
        <is>
          <t>UPPSALA LÄN</t>
        </is>
      </c>
      <c r="E5390" t="inlineStr">
        <is>
          <t>HEBY</t>
        </is>
      </c>
      <c r="F5390" t="inlineStr">
        <is>
          <t>Bergvik skog väst AB</t>
        </is>
      </c>
      <c r="G5390" t="n">
        <v>10.5</v>
      </c>
      <c r="H5390" t="n">
        <v>0</v>
      </c>
      <c r="I5390" t="n">
        <v>0</v>
      </c>
      <c r="J5390" t="n">
        <v>0</v>
      </c>
      <c r="K5390" t="n">
        <v>0</v>
      </c>
      <c r="L5390" t="n">
        <v>0</v>
      </c>
      <c r="M5390" t="n">
        <v>0</v>
      </c>
      <c r="N5390" t="n">
        <v>0</v>
      </c>
      <c r="O5390" t="n">
        <v>0</v>
      </c>
      <c r="P5390" t="n">
        <v>0</v>
      </c>
      <c r="Q5390" t="n">
        <v>0</v>
      </c>
      <c r="R5390" s="2" t="inlineStr"/>
    </row>
    <row r="5391" ht="15" customHeight="1">
      <c r="A5391" t="inlineStr">
        <is>
          <t>A 14643-2024</t>
        </is>
      </c>
      <c r="B5391" s="1" t="n">
        <v>45397</v>
      </c>
      <c r="C5391" s="1" t="n">
        <v>45846</v>
      </c>
      <c r="D5391" t="inlineStr">
        <is>
          <t>UPPSALA LÄN</t>
        </is>
      </c>
      <c r="E5391" t="inlineStr">
        <is>
          <t>UPPSALA</t>
        </is>
      </c>
      <c r="G5391" t="n">
        <v>8</v>
      </c>
      <c r="H5391" t="n">
        <v>0</v>
      </c>
      <c r="I5391" t="n">
        <v>0</v>
      </c>
      <c r="J5391" t="n">
        <v>0</v>
      </c>
      <c r="K5391" t="n">
        <v>0</v>
      </c>
      <c r="L5391" t="n">
        <v>0</v>
      </c>
      <c r="M5391" t="n">
        <v>0</v>
      </c>
      <c r="N5391" t="n">
        <v>0</v>
      </c>
      <c r="O5391" t="n">
        <v>0</v>
      </c>
      <c r="P5391" t="n">
        <v>0</v>
      </c>
      <c r="Q5391" t="n">
        <v>0</v>
      </c>
      <c r="R5391" s="2" t="inlineStr"/>
    </row>
    <row r="5392" ht="15" customHeight="1">
      <c r="A5392" t="inlineStr">
        <is>
          <t>A 14696-2024</t>
        </is>
      </c>
      <c r="B5392" s="1" t="n">
        <v>45397</v>
      </c>
      <c r="C5392" s="1" t="n">
        <v>45846</v>
      </c>
      <c r="D5392" t="inlineStr">
        <is>
          <t>UPPSALA LÄN</t>
        </is>
      </c>
      <c r="E5392" t="inlineStr">
        <is>
          <t>HEBY</t>
        </is>
      </c>
      <c r="F5392" t="inlineStr">
        <is>
          <t>Bergvik skog väst AB</t>
        </is>
      </c>
      <c r="G5392" t="n">
        <v>4.8</v>
      </c>
      <c r="H5392" t="n">
        <v>0</v>
      </c>
      <c r="I5392" t="n">
        <v>0</v>
      </c>
      <c r="J5392" t="n">
        <v>0</v>
      </c>
      <c r="K5392" t="n">
        <v>0</v>
      </c>
      <c r="L5392" t="n">
        <v>0</v>
      </c>
      <c r="M5392" t="n">
        <v>0</v>
      </c>
      <c r="N5392" t="n">
        <v>0</v>
      </c>
      <c r="O5392" t="n">
        <v>0</v>
      </c>
      <c r="P5392" t="n">
        <v>0</v>
      </c>
      <c r="Q5392" t="n">
        <v>0</v>
      </c>
      <c r="R5392" s="2" t="inlineStr"/>
    </row>
    <row r="5393" ht="15" customHeight="1">
      <c r="A5393" t="inlineStr">
        <is>
          <t>A 14672-2024</t>
        </is>
      </c>
      <c r="B5393" s="1" t="n">
        <v>45397</v>
      </c>
      <c r="C5393" s="1" t="n">
        <v>45846</v>
      </c>
      <c r="D5393" t="inlineStr">
        <is>
          <t>UPPSALA LÄN</t>
        </is>
      </c>
      <c r="E5393" t="inlineStr">
        <is>
          <t>UPPSALA</t>
        </is>
      </c>
      <c r="G5393" t="n">
        <v>7.4</v>
      </c>
      <c r="H5393" t="n">
        <v>0</v>
      </c>
      <c r="I5393" t="n">
        <v>0</v>
      </c>
      <c r="J5393" t="n">
        <v>0</v>
      </c>
      <c r="K5393" t="n">
        <v>0</v>
      </c>
      <c r="L5393" t="n">
        <v>0</v>
      </c>
      <c r="M5393" t="n">
        <v>0</v>
      </c>
      <c r="N5393" t="n">
        <v>0</v>
      </c>
      <c r="O5393" t="n">
        <v>0</v>
      </c>
      <c r="P5393" t="n">
        <v>0</v>
      </c>
      <c r="Q5393" t="n">
        <v>0</v>
      </c>
      <c r="R5393" s="2" t="inlineStr"/>
    </row>
    <row r="5394" ht="15" customHeight="1">
      <c r="A5394" t="inlineStr">
        <is>
          <t>A 14745-2024</t>
        </is>
      </c>
      <c r="B5394" s="1" t="n">
        <v>45397</v>
      </c>
      <c r="C5394" s="1" t="n">
        <v>45846</v>
      </c>
      <c r="D5394" t="inlineStr">
        <is>
          <t>UPPSALA LÄN</t>
        </is>
      </c>
      <c r="E5394" t="inlineStr">
        <is>
          <t>TIERP</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14777-2024</t>
        </is>
      </c>
      <c r="B5395" s="1" t="n">
        <v>45397</v>
      </c>
      <c r="C5395" s="1" t="n">
        <v>45846</v>
      </c>
      <c r="D5395" t="inlineStr">
        <is>
          <t>UPPSALA LÄN</t>
        </is>
      </c>
      <c r="E5395" t="inlineStr">
        <is>
          <t>HEBY</t>
        </is>
      </c>
      <c r="F5395" t="inlineStr">
        <is>
          <t>Bergvik skog väst AB</t>
        </is>
      </c>
      <c r="G5395" t="n">
        <v>17.9</v>
      </c>
      <c r="H5395" t="n">
        <v>0</v>
      </c>
      <c r="I5395" t="n">
        <v>0</v>
      </c>
      <c r="J5395" t="n">
        <v>0</v>
      </c>
      <c r="K5395" t="n">
        <v>0</v>
      </c>
      <c r="L5395" t="n">
        <v>0</v>
      </c>
      <c r="M5395" t="n">
        <v>0</v>
      </c>
      <c r="N5395" t="n">
        <v>0</v>
      </c>
      <c r="O5395" t="n">
        <v>0</v>
      </c>
      <c r="P5395" t="n">
        <v>0</v>
      </c>
      <c r="Q5395" t="n">
        <v>0</v>
      </c>
      <c r="R5395" s="2" t="inlineStr"/>
    </row>
    <row r="5396" ht="15" customHeight="1">
      <c r="A5396" t="inlineStr">
        <is>
          <t>A 14909-2024</t>
        </is>
      </c>
      <c r="B5396" s="1" t="n">
        <v>45398</v>
      </c>
      <c r="C5396" s="1" t="n">
        <v>45846</v>
      </c>
      <c r="D5396" t="inlineStr">
        <is>
          <t>UPPSALA LÄN</t>
        </is>
      </c>
      <c r="E5396" t="inlineStr">
        <is>
          <t>TIERP</t>
        </is>
      </c>
      <c r="F5396" t="inlineStr">
        <is>
          <t>Bergvik skog öst AB</t>
        </is>
      </c>
      <c r="G5396" t="n">
        <v>4.5</v>
      </c>
      <c r="H5396" t="n">
        <v>0</v>
      </c>
      <c r="I5396" t="n">
        <v>0</v>
      </c>
      <c r="J5396" t="n">
        <v>0</v>
      </c>
      <c r="K5396" t="n">
        <v>0</v>
      </c>
      <c r="L5396" t="n">
        <v>0</v>
      </c>
      <c r="M5396" t="n">
        <v>0</v>
      </c>
      <c r="N5396" t="n">
        <v>0</v>
      </c>
      <c r="O5396" t="n">
        <v>0</v>
      </c>
      <c r="P5396" t="n">
        <v>0</v>
      </c>
      <c r="Q5396" t="n">
        <v>0</v>
      </c>
      <c r="R5396" s="2" t="inlineStr"/>
    </row>
    <row r="5397" ht="15" customHeight="1">
      <c r="A5397" t="inlineStr">
        <is>
          <t>A 14921-2024</t>
        </is>
      </c>
      <c r="B5397" s="1" t="n">
        <v>45398</v>
      </c>
      <c r="C5397" s="1" t="n">
        <v>45846</v>
      </c>
      <c r="D5397" t="inlineStr">
        <is>
          <t>UPPSALA LÄN</t>
        </is>
      </c>
      <c r="E5397" t="inlineStr">
        <is>
          <t>TIERP</t>
        </is>
      </c>
      <c r="F5397" t="inlineStr">
        <is>
          <t>Bergvik skog öst AB</t>
        </is>
      </c>
      <c r="G5397" t="n">
        <v>5.7</v>
      </c>
      <c r="H5397" t="n">
        <v>0</v>
      </c>
      <c r="I5397" t="n">
        <v>0</v>
      </c>
      <c r="J5397" t="n">
        <v>0</v>
      </c>
      <c r="K5397" t="n">
        <v>0</v>
      </c>
      <c r="L5397" t="n">
        <v>0</v>
      </c>
      <c r="M5397" t="n">
        <v>0</v>
      </c>
      <c r="N5397" t="n">
        <v>0</v>
      </c>
      <c r="O5397" t="n">
        <v>0</v>
      </c>
      <c r="P5397" t="n">
        <v>0</v>
      </c>
      <c r="Q5397" t="n">
        <v>0</v>
      </c>
      <c r="R5397" s="2" t="inlineStr"/>
    </row>
    <row r="5398" ht="15" customHeight="1">
      <c r="A5398" t="inlineStr">
        <is>
          <t>A 14884-2024</t>
        </is>
      </c>
      <c r="B5398" s="1" t="n">
        <v>45398</v>
      </c>
      <c r="C5398" s="1" t="n">
        <v>45846</v>
      </c>
      <c r="D5398" t="inlineStr">
        <is>
          <t>UPPSALA LÄN</t>
        </is>
      </c>
      <c r="E5398" t="inlineStr">
        <is>
          <t>HEBY</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14896-2024</t>
        </is>
      </c>
      <c r="B5399" s="1" t="n">
        <v>45398</v>
      </c>
      <c r="C5399" s="1" t="n">
        <v>45846</v>
      </c>
      <c r="D5399" t="inlineStr">
        <is>
          <t>UPPSALA LÄN</t>
        </is>
      </c>
      <c r="E5399" t="inlineStr">
        <is>
          <t>TIERP</t>
        </is>
      </c>
      <c r="F5399" t="inlineStr">
        <is>
          <t>Bergvik skog öst AB</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14900-2024</t>
        </is>
      </c>
      <c r="B5400" s="1" t="n">
        <v>45398</v>
      </c>
      <c r="C5400" s="1" t="n">
        <v>45846</v>
      </c>
      <c r="D5400" t="inlineStr">
        <is>
          <t>UPPSALA LÄN</t>
        </is>
      </c>
      <c r="E5400" t="inlineStr">
        <is>
          <t>TIERP</t>
        </is>
      </c>
      <c r="F5400" t="inlineStr">
        <is>
          <t>Bergvik skog öst AB</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14904-2024</t>
        </is>
      </c>
      <c r="B5401" s="1" t="n">
        <v>45398</v>
      </c>
      <c r="C5401" s="1" t="n">
        <v>45846</v>
      </c>
      <c r="D5401" t="inlineStr">
        <is>
          <t>UPPSALA LÄN</t>
        </is>
      </c>
      <c r="E5401" t="inlineStr">
        <is>
          <t>TIERP</t>
        </is>
      </c>
      <c r="F5401" t="inlineStr">
        <is>
          <t>Bergvik skog öst AB</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14928-2024</t>
        </is>
      </c>
      <c r="B5402" s="1" t="n">
        <v>45398</v>
      </c>
      <c r="C5402" s="1" t="n">
        <v>45846</v>
      </c>
      <c r="D5402" t="inlineStr">
        <is>
          <t>UPPSALA LÄN</t>
        </is>
      </c>
      <c r="E5402" t="inlineStr">
        <is>
          <t>TIERP</t>
        </is>
      </c>
      <c r="F5402" t="inlineStr">
        <is>
          <t>Bergvik skog öst AB</t>
        </is>
      </c>
      <c r="G5402" t="n">
        <v>8.9</v>
      </c>
      <c r="H5402" t="n">
        <v>0</v>
      </c>
      <c r="I5402" t="n">
        <v>0</v>
      </c>
      <c r="J5402" t="n">
        <v>0</v>
      </c>
      <c r="K5402" t="n">
        <v>0</v>
      </c>
      <c r="L5402" t="n">
        <v>0</v>
      </c>
      <c r="M5402" t="n">
        <v>0</v>
      </c>
      <c r="N5402" t="n">
        <v>0</v>
      </c>
      <c r="O5402" t="n">
        <v>0</v>
      </c>
      <c r="P5402" t="n">
        <v>0</v>
      </c>
      <c r="Q5402" t="n">
        <v>0</v>
      </c>
      <c r="R5402" s="2" t="inlineStr"/>
    </row>
    <row r="5403" ht="15" customHeight="1">
      <c r="A5403" t="inlineStr">
        <is>
          <t>A 14902-2024</t>
        </is>
      </c>
      <c r="B5403" s="1" t="n">
        <v>45398</v>
      </c>
      <c r="C5403" s="1" t="n">
        <v>45846</v>
      </c>
      <c r="D5403" t="inlineStr">
        <is>
          <t>UPPSALA LÄN</t>
        </is>
      </c>
      <c r="E5403" t="inlineStr">
        <is>
          <t>TIERP</t>
        </is>
      </c>
      <c r="F5403" t="inlineStr">
        <is>
          <t>Bergvik skog öst AB</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14947-2024</t>
        </is>
      </c>
      <c r="B5404" s="1" t="n">
        <v>45398</v>
      </c>
      <c r="C5404" s="1" t="n">
        <v>45846</v>
      </c>
      <c r="D5404" t="inlineStr">
        <is>
          <t>UPPSALA LÄN</t>
        </is>
      </c>
      <c r="E5404" t="inlineStr">
        <is>
          <t>TIERP</t>
        </is>
      </c>
      <c r="F5404" t="inlineStr">
        <is>
          <t>Bergvik skog öst AB</t>
        </is>
      </c>
      <c r="G5404" t="n">
        <v>13.6</v>
      </c>
      <c r="H5404" t="n">
        <v>0</v>
      </c>
      <c r="I5404" t="n">
        <v>0</v>
      </c>
      <c r="J5404" t="n">
        <v>0</v>
      </c>
      <c r="K5404" t="n">
        <v>0</v>
      </c>
      <c r="L5404" t="n">
        <v>0</v>
      </c>
      <c r="M5404" t="n">
        <v>0</v>
      </c>
      <c r="N5404" t="n">
        <v>0</v>
      </c>
      <c r="O5404" t="n">
        <v>0</v>
      </c>
      <c r="P5404" t="n">
        <v>0</v>
      </c>
      <c r="Q5404" t="n">
        <v>0</v>
      </c>
      <c r="R5404" s="2" t="inlineStr"/>
    </row>
    <row r="5405" ht="15" customHeight="1">
      <c r="A5405" t="inlineStr">
        <is>
          <t>A 14907-2024</t>
        </is>
      </c>
      <c r="B5405" s="1" t="n">
        <v>45398</v>
      </c>
      <c r="C5405" s="1" t="n">
        <v>45846</v>
      </c>
      <c r="D5405" t="inlineStr">
        <is>
          <t>UPPSALA LÄN</t>
        </is>
      </c>
      <c r="E5405" t="inlineStr">
        <is>
          <t>TIERP</t>
        </is>
      </c>
      <c r="F5405" t="inlineStr">
        <is>
          <t>Bergvik skog öst AB</t>
        </is>
      </c>
      <c r="G5405" t="n">
        <v>20.6</v>
      </c>
      <c r="H5405" t="n">
        <v>0</v>
      </c>
      <c r="I5405" t="n">
        <v>0</v>
      </c>
      <c r="J5405" t="n">
        <v>0</v>
      </c>
      <c r="K5405" t="n">
        <v>0</v>
      </c>
      <c r="L5405" t="n">
        <v>0</v>
      </c>
      <c r="M5405" t="n">
        <v>0</v>
      </c>
      <c r="N5405" t="n">
        <v>0</v>
      </c>
      <c r="O5405" t="n">
        <v>0</v>
      </c>
      <c r="P5405" t="n">
        <v>0</v>
      </c>
      <c r="Q5405" t="n">
        <v>0</v>
      </c>
      <c r="R5405" s="2" t="inlineStr"/>
    </row>
    <row r="5406" ht="15" customHeight="1">
      <c r="A5406" t="inlineStr">
        <is>
          <t>A 14911-2024</t>
        </is>
      </c>
      <c r="B5406" s="1" t="n">
        <v>45398</v>
      </c>
      <c r="C5406" s="1" t="n">
        <v>45846</v>
      </c>
      <c r="D5406" t="inlineStr">
        <is>
          <t>UPPSALA LÄN</t>
        </is>
      </c>
      <c r="E5406" t="inlineStr">
        <is>
          <t>TIERP</t>
        </is>
      </c>
      <c r="F5406" t="inlineStr">
        <is>
          <t>Bergvik skog öst AB</t>
        </is>
      </c>
      <c r="G5406" t="n">
        <v>7.8</v>
      </c>
      <c r="H5406" t="n">
        <v>0</v>
      </c>
      <c r="I5406" t="n">
        <v>0</v>
      </c>
      <c r="J5406" t="n">
        <v>0</v>
      </c>
      <c r="K5406" t="n">
        <v>0</v>
      </c>
      <c r="L5406" t="n">
        <v>0</v>
      </c>
      <c r="M5406" t="n">
        <v>0</v>
      </c>
      <c r="N5406" t="n">
        <v>0</v>
      </c>
      <c r="O5406" t="n">
        <v>0</v>
      </c>
      <c r="P5406" t="n">
        <v>0</v>
      </c>
      <c r="Q5406" t="n">
        <v>0</v>
      </c>
      <c r="R5406" s="2" t="inlineStr"/>
    </row>
    <row r="5407" ht="15" customHeight="1">
      <c r="A5407" t="inlineStr">
        <is>
          <t>A 15055-2024</t>
        </is>
      </c>
      <c r="B5407" s="1" t="n">
        <v>45399</v>
      </c>
      <c r="C5407" s="1" t="n">
        <v>45846</v>
      </c>
      <c r="D5407" t="inlineStr">
        <is>
          <t>UPPSALA LÄN</t>
        </is>
      </c>
      <c r="E5407" t="inlineStr">
        <is>
          <t>TIERP</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15010-2024</t>
        </is>
      </c>
      <c r="B5408" s="1" t="n">
        <v>45399</v>
      </c>
      <c r="C5408" s="1" t="n">
        <v>45846</v>
      </c>
      <c r="D5408" t="inlineStr">
        <is>
          <t>UPPSALA LÄN</t>
        </is>
      </c>
      <c r="E5408" t="inlineStr">
        <is>
          <t>HEBY</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15076-2024</t>
        </is>
      </c>
      <c r="B5409" s="1" t="n">
        <v>45399</v>
      </c>
      <c r="C5409" s="1" t="n">
        <v>45846</v>
      </c>
      <c r="D5409" t="inlineStr">
        <is>
          <t>UPPSALA LÄN</t>
        </is>
      </c>
      <c r="E5409" t="inlineStr">
        <is>
          <t>TIERP</t>
        </is>
      </c>
      <c r="F5409" t="inlineStr">
        <is>
          <t>Bergvik skog öst AB</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15093-2024</t>
        </is>
      </c>
      <c r="B5410" s="1" t="n">
        <v>45399</v>
      </c>
      <c r="C5410" s="1" t="n">
        <v>45846</v>
      </c>
      <c r="D5410" t="inlineStr">
        <is>
          <t>UPPSALA LÄN</t>
        </is>
      </c>
      <c r="E5410" t="inlineStr">
        <is>
          <t>TIERP</t>
        </is>
      </c>
      <c r="F5410" t="inlineStr">
        <is>
          <t>Bergvik skog öst AB</t>
        </is>
      </c>
      <c r="G5410" t="n">
        <v>5.8</v>
      </c>
      <c r="H5410" t="n">
        <v>0</v>
      </c>
      <c r="I5410" t="n">
        <v>0</v>
      </c>
      <c r="J5410" t="n">
        <v>0</v>
      </c>
      <c r="K5410" t="n">
        <v>0</v>
      </c>
      <c r="L5410" t="n">
        <v>0</v>
      </c>
      <c r="M5410" t="n">
        <v>0</v>
      </c>
      <c r="N5410" t="n">
        <v>0</v>
      </c>
      <c r="O5410" t="n">
        <v>0</v>
      </c>
      <c r="P5410" t="n">
        <v>0</v>
      </c>
      <c r="Q5410" t="n">
        <v>0</v>
      </c>
      <c r="R5410" s="2" t="inlineStr"/>
    </row>
    <row r="5411" ht="15" customHeight="1">
      <c r="A5411" t="inlineStr">
        <is>
          <t>A 15078-2024</t>
        </is>
      </c>
      <c r="B5411" s="1" t="n">
        <v>45399</v>
      </c>
      <c r="C5411" s="1" t="n">
        <v>45846</v>
      </c>
      <c r="D5411" t="inlineStr">
        <is>
          <t>UPPSALA LÄN</t>
        </is>
      </c>
      <c r="E5411" t="inlineStr">
        <is>
          <t>HEBY</t>
        </is>
      </c>
      <c r="G5411" t="n">
        <v>5.1</v>
      </c>
      <c r="H5411" t="n">
        <v>0</v>
      </c>
      <c r="I5411" t="n">
        <v>0</v>
      </c>
      <c r="J5411" t="n">
        <v>0</v>
      </c>
      <c r="K5411" t="n">
        <v>0</v>
      </c>
      <c r="L5411" t="n">
        <v>0</v>
      </c>
      <c r="M5411" t="n">
        <v>0</v>
      </c>
      <c r="N5411" t="n">
        <v>0</v>
      </c>
      <c r="O5411" t="n">
        <v>0</v>
      </c>
      <c r="P5411" t="n">
        <v>0</v>
      </c>
      <c r="Q5411" t="n">
        <v>0</v>
      </c>
      <c r="R5411" s="2" t="inlineStr"/>
    </row>
    <row r="5412" ht="15" customHeight="1">
      <c r="A5412" t="inlineStr">
        <is>
          <t>A 15135-2024</t>
        </is>
      </c>
      <c r="B5412" s="1" t="n">
        <v>45399</v>
      </c>
      <c r="C5412" s="1" t="n">
        <v>45846</v>
      </c>
      <c r="D5412" t="inlineStr">
        <is>
          <t>UPPSALA LÄN</t>
        </is>
      </c>
      <c r="E5412" t="inlineStr">
        <is>
          <t>TIERP</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15165-2024</t>
        </is>
      </c>
      <c r="B5413" s="1" t="n">
        <v>45400</v>
      </c>
      <c r="C5413" s="1" t="n">
        <v>45846</v>
      </c>
      <c r="D5413" t="inlineStr">
        <is>
          <t>UPPSALA LÄN</t>
        </is>
      </c>
      <c r="E5413" t="inlineStr">
        <is>
          <t>ÖSTHAMMAR</t>
        </is>
      </c>
      <c r="G5413" t="n">
        <v>3.9</v>
      </c>
      <c r="H5413" t="n">
        <v>0</v>
      </c>
      <c r="I5413" t="n">
        <v>0</v>
      </c>
      <c r="J5413" t="n">
        <v>0</v>
      </c>
      <c r="K5413" t="n">
        <v>0</v>
      </c>
      <c r="L5413" t="n">
        <v>0</v>
      </c>
      <c r="M5413" t="n">
        <v>0</v>
      </c>
      <c r="N5413" t="n">
        <v>0</v>
      </c>
      <c r="O5413" t="n">
        <v>0</v>
      </c>
      <c r="P5413" t="n">
        <v>0</v>
      </c>
      <c r="Q5413" t="n">
        <v>0</v>
      </c>
      <c r="R5413" s="2" t="inlineStr"/>
    </row>
    <row r="5414" ht="15" customHeight="1">
      <c r="A5414" t="inlineStr">
        <is>
          <t>A 15169-2024</t>
        </is>
      </c>
      <c r="B5414" s="1" t="n">
        <v>45400</v>
      </c>
      <c r="C5414" s="1" t="n">
        <v>45846</v>
      </c>
      <c r="D5414" t="inlineStr">
        <is>
          <t>UPPSALA LÄN</t>
        </is>
      </c>
      <c r="E5414" t="inlineStr">
        <is>
          <t>ÖSTHAMMAR</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15166-2024</t>
        </is>
      </c>
      <c r="B5415" s="1" t="n">
        <v>45400</v>
      </c>
      <c r="C5415" s="1" t="n">
        <v>45846</v>
      </c>
      <c r="D5415" t="inlineStr">
        <is>
          <t>UPPSALA LÄN</t>
        </is>
      </c>
      <c r="E5415" t="inlineStr">
        <is>
          <t>ÖSTHAMMAR</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15193-2024</t>
        </is>
      </c>
      <c r="B5416" s="1" t="n">
        <v>45400</v>
      </c>
      <c r="C5416" s="1" t="n">
        <v>45846</v>
      </c>
      <c r="D5416" t="inlineStr">
        <is>
          <t>UPPSALA LÄN</t>
        </is>
      </c>
      <c r="E5416" t="inlineStr">
        <is>
          <t>TIERP</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15254-2024</t>
        </is>
      </c>
      <c r="B5417" s="1" t="n">
        <v>45400</v>
      </c>
      <c r="C5417" s="1" t="n">
        <v>45846</v>
      </c>
      <c r="D5417" t="inlineStr">
        <is>
          <t>UPPSALA LÄN</t>
        </is>
      </c>
      <c r="E5417" t="inlineStr">
        <is>
          <t>UPPSALA</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15304-2024</t>
        </is>
      </c>
      <c r="B5418" s="1" t="n">
        <v>45400</v>
      </c>
      <c r="C5418" s="1" t="n">
        <v>45846</v>
      </c>
      <c r="D5418" t="inlineStr">
        <is>
          <t>UPPSALA LÄN</t>
        </is>
      </c>
      <c r="E5418" t="inlineStr">
        <is>
          <t>KNIVSTA</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15255-2024</t>
        </is>
      </c>
      <c r="B5419" s="1" t="n">
        <v>45400</v>
      </c>
      <c r="C5419" s="1" t="n">
        <v>45846</v>
      </c>
      <c r="D5419" t="inlineStr">
        <is>
          <t>UPPSALA LÄN</t>
        </is>
      </c>
      <c r="E5419" t="inlineStr">
        <is>
          <t>UPPSALA</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15167-2024</t>
        </is>
      </c>
      <c r="B5420" s="1" t="n">
        <v>45400</v>
      </c>
      <c r="C5420" s="1" t="n">
        <v>45846</v>
      </c>
      <c r="D5420" t="inlineStr">
        <is>
          <t>UPPSALA LÄN</t>
        </is>
      </c>
      <c r="E5420" t="inlineStr">
        <is>
          <t>TIERP</t>
        </is>
      </c>
      <c r="F5420" t="inlineStr">
        <is>
          <t>Bergvik skog väst AB</t>
        </is>
      </c>
      <c r="G5420" t="n">
        <v>11.5</v>
      </c>
      <c r="H5420" t="n">
        <v>0</v>
      </c>
      <c r="I5420" t="n">
        <v>0</v>
      </c>
      <c r="J5420" t="n">
        <v>0</v>
      </c>
      <c r="K5420" t="n">
        <v>0</v>
      </c>
      <c r="L5420" t="n">
        <v>0</v>
      </c>
      <c r="M5420" t="n">
        <v>0</v>
      </c>
      <c r="N5420" t="n">
        <v>0</v>
      </c>
      <c r="O5420" t="n">
        <v>0</v>
      </c>
      <c r="P5420" t="n">
        <v>0</v>
      </c>
      <c r="Q5420" t="n">
        <v>0</v>
      </c>
      <c r="R5420" s="2" t="inlineStr"/>
    </row>
    <row r="5421" ht="15" customHeight="1">
      <c r="A5421" t="inlineStr">
        <is>
          <t>A 15195-2024</t>
        </is>
      </c>
      <c r="B5421" s="1" t="n">
        <v>45400</v>
      </c>
      <c r="C5421" s="1" t="n">
        <v>45846</v>
      </c>
      <c r="D5421" t="inlineStr">
        <is>
          <t>UPPSALA LÄN</t>
        </is>
      </c>
      <c r="E5421" t="inlineStr">
        <is>
          <t>TIERP</t>
        </is>
      </c>
      <c r="F5421" t="inlineStr">
        <is>
          <t>Bergvik skog väst AB</t>
        </is>
      </c>
      <c r="G5421" t="n">
        <v>6.9</v>
      </c>
      <c r="H5421" t="n">
        <v>0</v>
      </c>
      <c r="I5421" t="n">
        <v>0</v>
      </c>
      <c r="J5421" t="n">
        <v>0</v>
      </c>
      <c r="K5421" t="n">
        <v>0</v>
      </c>
      <c r="L5421" t="n">
        <v>0</v>
      </c>
      <c r="M5421" t="n">
        <v>0</v>
      </c>
      <c r="N5421" t="n">
        <v>0</v>
      </c>
      <c r="O5421" t="n">
        <v>0</v>
      </c>
      <c r="P5421" t="n">
        <v>0</v>
      </c>
      <c r="Q5421" t="n">
        <v>0</v>
      </c>
      <c r="R5421" s="2" t="inlineStr"/>
    </row>
    <row r="5422" ht="15" customHeight="1">
      <c r="A5422" t="inlineStr">
        <is>
          <t>A 15567-2024</t>
        </is>
      </c>
      <c r="B5422" s="1" t="n">
        <v>45401</v>
      </c>
      <c r="C5422" s="1" t="n">
        <v>45846</v>
      </c>
      <c r="D5422" t="inlineStr">
        <is>
          <t>UPPSALA LÄN</t>
        </is>
      </c>
      <c r="E5422" t="inlineStr">
        <is>
          <t>TIERP</t>
        </is>
      </c>
      <c r="F5422" t="inlineStr">
        <is>
          <t>Bergvik skog väst AB</t>
        </is>
      </c>
      <c r="G5422" t="n">
        <v>33.8</v>
      </c>
      <c r="H5422" t="n">
        <v>0</v>
      </c>
      <c r="I5422" t="n">
        <v>0</v>
      </c>
      <c r="J5422" t="n">
        <v>0</v>
      </c>
      <c r="K5422" t="n">
        <v>0</v>
      </c>
      <c r="L5422" t="n">
        <v>0</v>
      </c>
      <c r="M5422" t="n">
        <v>0</v>
      </c>
      <c r="N5422" t="n">
        <v>0</v>
      </c>
      <c r="O5422" t="n">
        <v>0</v>
      </c>
      <c r="P5422" t="n">
        <v>0</v>
      </c>
      <c r="Q5422" t="n">
        <v>0</v>
      </c>
      <c r="R5422" s="2" t="inlineStr"/>
    </row>
    <row r="5423" ht="15" customHeight="1">
      <c r="A5423" t="inlineStr">
        <is>
          <t>A 15575-2024</t>
        </is>
      </c>
      <c r="B5423" s="1" t="n">
        <v>45401</v>
      </c>
      <c r="C5423" s="1" t="n">
        <v>45846</v>
      </c>
      <c r="D5423" t="inlineStr">
        <is>
          <t>UPPSALA LÄN</t>
        </is>
      </c>
      <c r="E5423" t="inlineStr">
        <is>
          <t>ÖSTHAMMAR</t>
        </is>
      </c>
      <c r="G5423" t="n">
        <v>4.2</v>
      </c>
      <c r="H5423" t="n">
        <v>0</v>
      </c>
      <c r="I5423" t="n">
        <v>0</v>
      </c>
      <c r="J5423" t="n">
        <v>0</v>
      </c>
      <c r="K5423" t="n">
        <v>0</v>
      </c>
      <c r="L5423" t="n">
        <v>0</v>
      </c>
      <c r="M5423" t="n">
        <v>0</v>
      </c>
      <c r="N5423" t="n">
        <v>0</v>
      </c>
      <c r="O5423" t="n">
        <v>0</v>
      </c>
      <c r="P5423" t="n">
        <v>0</v>
      </c>
      <c r="Q5423" t="n">
        <v>0</v>
      </c>
      <c r="R5423" s="2" t="inlineStr"/>
    </row>
    <row r="5424" ht="15" customHeight="1">
      <c r="A5424" t="inlineStr">
        <is>
          <t>A 15579-2024</t>
        </is>
      </c>
      <c r="B5424" s="1" t="n">
        <v>45401</v>
      </c>
      <c r="C5424" s="1" t="n">
        <v>45846</v>
      </c>
      <c r="D5424" t="inlineStr">
        <is>
          <t>UPPSALA LÄN</t>
        </is>
      </c>
      <c r="E5424" t="inlineStr">
        <is>
          <t>TIERP</t>
        </is>
      </c>
      <c r="F5424" t="inlineStr">
        <is>
          <t>Bergvik skog väst AB</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15392-2024</t>
        </is>
      </c>
      <c r="B5425" s="1" t="n">
        <v>45401</v>
      </c>
      <c r="C5425" s="1" t="n">
        <v>45846</v>
      </c>
      <c r="D5425" t="inlineStr">
        <is>
          <t>UPPSALA LÄN</t>
        </is>
      </c>
      <c r="E5425" t="inlineStr">
        <is>
          <t>HEBY</t>
        </is>
      </c>
      <c r="G5425" t="n">
        <v>5.8</v>
      </c>
      <c r="H5425" t="n">
        <v>0</v>
      </c>
      <c r="I5425" t="n">
        <v>0</v>
      </c>
      <c r="J5425" t="n">
        <v>0</v>
      </c>
      <c r="K5425" t="n">
        <v>0</v>
      </c>
      <c r="L5425" t="n">
        <v>0</v>
      </c>
      <c r="M5425" t="n">
        <v>0</v>
      </c>
      <c r="N5425" t="n">
        <v>0</v>
      </c>
      <c r="O5425" t="n">
        <v>0</v>
      </c>
      <c r="P5425" t="n">
        <v>0</v>
      </c>
      <c r="Q5425" t="n">
        <v>0</v>
      </c>
      <c r="R5425" s="2" t="inlineStr"/>
    </row>
    <row r="5426" ht="15" customHeight="1">
      <c r="A5426" t="inlineStr">
        <is>
          <t>A 15574-2024</t>
        </is>
      </c>
      <c r="B5426" s="1" t="n">
        <v>45401</v>
      </c>
      <c r="C5426" s="1" t="n">
        <v>45846</v>
      </c>
      <c r="D5426" t="inlineStr">
        <is>
          <t>UPPSALA LÄN</t>
        </is>
      </c>
      <c r="E5426" t="inlineStr">
        <is>
          <t>TIERP</t>
        </is>
      </c>
      <c r="F5426" t="inlineStr">
        <is>
          <t>Bergvik skog väst AB</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15618-2024</t>
        </is>
      </c>
      <c r="B5427" s="1" t="n">
        <v>45402</v>
      </c>
      <c r="C5427" s="1" t="n">
        <v>45846</v>
      </c>
      <c r="D5427" t="inlineStr">
        <is>
          <t>UPPSALA LÄN</t>
        </is>
      </c>
      <c r="E5427" t="inlineStr">
        <is>
          <t>HEBY</t>
        </is>
      </c>
      <c r="G5427" t="n">
        <v>3.7</v>
      </c>
      <c r="H5427" t="n">
        <v>0</v>
      </c>
      <c r="I5427" t="n">
        <v>0</v>
      </c>
      <c r="J5427" t="n">
        <v>0</v>
      </c>
      <c r="K5427" t="n">
        <v>0</v>
      </c>
      <c r="L5427" t="n">
        <v>0</v>
      </c>
      <c r="M5427" t="n">
        <v>0</v>
      </c>
      <c r="N5427" t="n">
        <v>0</v>
      </c>
      <c r="O5427" t="n">
        <v>0</v>
      </c>
      <c r="P5427" t="n">
        <v>0</v>
      </c>
      <c r="Q5427" t="n">
        <v>0</v>
      </c>
      <c r="R5427" s="2" t="inlineStr"/>
    </row>
    <row r="5428" ht="15" customHeight="1">
      <c r="A5428" t="inlineStr">
        <is>
          <t>A 15544-2024</t>
        </is>
      </c>
      <c r="B5428" s="1" t="n">
        <v>45401</v>
      </c>
      <c r="C5428" s="1" t="n">
        <v>45846</v>
      </c>
      <c r="D5428" t="inlineStr">
        <is>
          <t>UPPSALA LÄN</t>
        </is>
      </c>
      <c r="E5428" t="inlineStr">
        <is>
          <t>UPPSALA</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15479-2024</t>
        </is>
      </c>
      <c r="B5429" s="1" t="n">
        <v>45401</v>
      </c>
      <c r="C5429" s="1" t="n">
        <v>45846</v>
      </c>
      <c r="D5429" t="inlineStr">
        <is>
          <t>UPPSALA LÄN</t>
        </is>
      </c>
      <c r="E5429" t="inlineStr">
        <is>
          <t>HEBY</t>
        </is>
      </c>
      <c r="F5429" t="inlineStr">
        <is>
          <t>Kyrkan</t>
        </is>
      </c>
      <c r="G5429" t="n">
        <v>9.1</v>
      </c>
      <c r="H5429" t="n">
        <v>0</v>
      </c>
      <c r="I5429" t="n">
        <v>0</v>
      </c>
      <c r="J5429" t="n">
        <v>0</v>
      </c>
      <c r="K5429" t="n">
        <v>0</v>
      </c>
      <c r="L5429" t="n">
        <v>0</v>
      </c>
      <c r="M5429" t="n">
        <v>0</v>
      </c>
      <c r="N5429" t="n">
        <v>0</v>
      </c>
      <c r="O5429" t="n">
        <v>0</v>
      </c>
      <c r="P5429" t="n">
        <v>0</v>
      </c>
      <c r="Q5429" t="n">
        <v>0</v>
      </c>
      <c r="R5429" s="2" t="inlineStr"/>
    </row>
    <row r="5430" ht="15" customHeight="1">
      <c r="A5430" t="inlineStr">
        <is>
          <t>A 15666-2024</t>
        </is>
      </c>
      <c r="B5430" s="1" t="n">
        <v>45404</v>
      </c>
      <c r="C5430" s="1" t="n">
        <v>45846</v>
      </c>
      <c r="D5430" t="inlineStr">
        <is>
          <t>UPPSALA LÄN</t>
        </is>
      </c>
      <c r="E5430" t="inlineStr">
        <is>
          <t>KNIVSTA</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15823-2024</t>
        </is>
      </c>
      <c r="B5431" s="1" t="n">
        <v>45404</v>
      </c>
      <c r="C5431" s="1" t="n">
        <v>45846</v>
      </c>
      <c r="D5431" t="inlineStr">
        <is>
          <t>UPPSALA LÄN</t>
        </is>
      </c>
      <c r="E5431" t="inlineStr">
        <is>
          <t>ENKÖPING</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15816-2024</t>
        </is>
      </c>
      <c r="B5432" s="1" t="n">
        <v>45404</v>
      </c>
      <c r="C5432" s="1" t="n">
        <v>45846</v>
      </c>
      <c r="D5432" t="inlineStr">
        <is>
          <t>UPPSALA LÄN</t>
        </is>
      </c>
      <c r="E5432" t="inlineStr">
        <is>
          <t>ENKÖPING</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15824-2024</t>
        </is>
      </c>
      <c r="B5433" s="1" t="n">
        <v>45404</v>
      </c>
      <c r="C5433" s="1" t="n">
        <v>45846</v>
      </c>
      <c r="D5433" t="inlineStr">
        <is>
          <t>UPPSALA LÄN</t>
        </is>
      </c>
      <c r="E5433" t="inlineStr">
        <is>
          <t>ENKÖPING</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15814-2024</t>
        </is>
      </c>
      <c r="B5434" s="1" t="n">
        <v>45404</v>
      </c>
      <c r="C5434" s="1" t="n">
        <v>45846</v>
      </c>
      <c r="D5434" t="inlineStr">
        <is>
          <t>UPPSALA LÄN</t>
        </is>
      </c>
      <c r="E5434" t="inlineStr">
        <is>
          <t>ENKÖPING</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15826-2024</t>
        </is>
      </c>
      <c r="B5435" s="1" t="n">
        <v>45404</v>
      </c>
      <c r="C5435" s="1" t="n">
        <v>45846</v>
      </c>
      <c r="D5435" t="inlineStr">
        <is>
          <t>UPPSALA LÄN</t>
        </is>
      </c>
      <c r="E5435" t="inlineStr">
        <is>
          <t>ENKÖPING</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15813-2024</t>
        </is>
      </c>
      <c r="B5436" s="1" t="n">
        <v>45404</v>
      </c>
      <c r="C5436" s="1" t="n">
        <v>45846</v>
      </c>
      <c r="D5436" t="inlineStr">
        <is>
          <t>UPPSALA LÄN</t>
        </is>
      </c>
      <c r="E5436" t="inlineStr">
        <is>
          <t>ENKÖPING</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15935-2024</t>
        </is>
      </c>
      <c r="B5437" s="1" t="n">
        <v>45405</v>
      </c>
      <c r="C5437" s="1" t="n">
        <v>45846</v>
      </c>
      <c r="D5437" t="inlineStr">
        <is>
          <t>UPPSALA LÄN</t>
        </is>
      </c>
      <c r="E5437" t="inlineStr">
        <is>
          <t>TIERP</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16022-2024</t>
        </is>
      </c>
      <c r="B5438" s="1" t="n">
        <v>45405</v>
      </c>
      <c r="C5438" s="1" t="n">
        <v>45846</v>
      </c>
      <c r="D5438" t="inlineStr">
        <is>
          <t>UPPSALA LÄN</t>
        </is>
      </c>
      <c r="E5438" t="inlineStr">
        <is>
          <t>TIERP</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15878-2024</t>
        </is>
      </c>
      <c r="B5439" s="1" t="n">
        <v>45405</v>
      </c>
      <c r="C5439" s="1" t="n">
        <v>45846</v>
      </c>
      <c r="D5439" t="inlineStr">
        <is>
          <t>UPPSALA LÄN</t>
        </is>
      </c>
      <c r="E5439" t="inlineStr">
        <is>
          <t>ENKÖPING</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15893-2024</t>
        </is>
      </c>
      <c r="B5440" s="1" t="n">
        <v>45405</v>
      </c>
      <c r="C5440" s="1" t="n">
        <v>45846</v>
      </c>
      <c r="D5440" t="inlineStr">
        <is>
          <t>UPPSALA LÄN</t>
        </is>
      </c>
      <c r="E5440" t="inlineStr">
        <is>
          <t>ENKÖPING</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16167-2024</t>
        </is>
      </c>
      <c r="B5441" s="1" t="n">
        <v>45406</v>
      </c>
      <c r="C5441" s="1" t="n">
        <v>45846</v>
      </c>
      <c r="D5441" t="inlineStr">
        <is>
          <t>UPPSALA LÄN</t>
        </is>
      </c>
      <c r="E5441" t="inlineStr">
        <is>
          <t>HEBY</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16345-2024</t>
        </is>
      </c>
      <c r="B5442" s="1" t="n">
        <v>45407</v>
      </c>
      <c r="C5442" s="1" t="n">
        <v>45846</v>
      </c>
      <c r="D5442" t="inlineStr">
        <is>
          <t>UPPSALA LÄN</t>
        </is>
      </c>
      <c r="E5442" t="inlineStr">
        <is>
          <t>TIERP</t>
        </is>
      </c>
      <c r="F5442" t="inlineStr">
        <is>
          <t>Bergvik skog öst AB</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16421-2024</t>
        </is>
      </c>
      <c r="B5443" s="1" t="n">
        <v>45407</v>
      </c>
      <c r="C5443" s="1" t="n">
        <v>45846</v>
      </c>
      <c r="D5443" t="inlineStr">
        <is>
          <t>UPPSALA LÄN</t>
        </is>
      </c>
      <c r="E5443" t="inlineStr">
        <is>
          <t>TIERP</t>
        </is>
      </c>
      <c r="F5443" t="inlineStr">
        <is>
          <t>Bergvik skog öst AB</t>
        </is>
      </c>
      <c r="G5443" t="n">
        <v>16.7</v>
      </c>
      <c r="H5443" t="n">
        <v>0</v>
      </c>
      <c r="I5443" t="n">
        <v>0</v>
      </c>
      <c r="J5443" t="n">
        <v>0</v>
      </c>
      <c r="K5443" t="n">
        <v>0</v>
      </c>
      <c r="L5443" t="n">
        <v>0</v>
      </c>
      <c r="M5443" t="n">
        <v>0</v>
      </c>
      <c r="N5443" t="n">
        <v>0</v>
      </c>
      <c r="O5443" t="n">
        <v>0</v>
      </c>
      <c r="P5443" t="n">
        <v>0</v>
      </c>
      <c r="Q5443" t="n">
        <v>0</v>
      </c>
      <c r="R5443" s="2" t="inlineStr"/>
    </row>
    <row r="5444" ht="15" customHeight="1">
      <c r="A5444" t="inlineStr">
        <is>
          <t>A 16434-2024</t>
        </is>
      </c>
      <c r="B5444" s="1" t="n">
        <v>45407</v>
      </c>
      <c r="C5444" s="1" t="n">
        <v>45846</v>
      </c>
      <c r="D5444" t="inlineStr">
        <is>
          <t>UPPSALA LÄN</t>
        </is>
      </c>
      <c r="E5444" t="inlineStr">
        <is>
          <t>UPPSALA</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16324-2024</t>
        </is>
      </c>
      <c r="B5445" s="1" t="n">
        <v>45407</v>
      </c>
      <c r="C5445" s="1" t="n">
        <v>45846</v>
      </c>
      <c r="D5445" t="inlineStr">
        <is>
          <t>UPPSALA LÄN</t>
        </is>
      </c>
      <c r="E5445" t="inlineStr">
        <is>
          <t>UPPSALA</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16489-2024</t>
        </is>
      </c>
      <c r="B5446" s="1" t="n">
        <v>45408</v>
      </c>
      <c r="C5446" s="1" t="n">
        <v>45846</v>
      </c>
      <c r="D5446" t="inlineStr">
        <is>
          <t>UPPSALA LÄN</t>
        </is>
      </c>
      <c r="E5446" t="inlineStr">
        <is>
          <t>TIERP</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16497-2024</t>
        </is>
      </c>
      <c r="B5447" s="1" t="n">
        <v>45408</v>
      </c>
      <c r="C5447" s="1" t="n">
        <v>45846</v>
      </c>
      <c r="D5447" t="inlineStr">
        <is>
          <t>UPPSALA LÄN</t>
        </is>
      </c>
      <c r="E5447" t="inlineStr">
        <is>
          <t>ÖSTHAMMAR</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16500-2024</t>
        </is>
      </c>
      <c r="B5448" s="1" t="n">
        <v>45408</v>
      </c>
      <c r="C5448" s="1" t="n">
        <v>45846</v>
      </c>
      <c r="D5448" t="inlineStr">
        <is>
          <t>UPPSALA LÄN</t>
        </is>
      </c>
      <c r="E5448" t="inlineStr">
        <is>
          <t>TIERP</t>
        </is>
      </c>
      <c r="F5448" t="inlineStr">
        <is>
          <t>Bergvik skog öst AB</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16566-2024</t>
        </is>
      </c>
      <c r="B5449" s="1" t="n">
        <v>45408</v>
      </c>
      <c r="C5449" s="1" t="n">
        <v>45846</v>
      </c>
      <c r="D5449" t="inlineStr">
        <is>
          <t>UPPSALA LÄN</t>
        </is>
      </c>
      <c r="E5449" t="inlineStr">
        <is>
          <t>TIERP</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16736-2024</t>
        </is>
      </c>
      <c r="B5450" s="1" t="n">
        <v>45410</v>
      </c>
      <c r="C5450" s="1" t="n">
        <v>45846</v>
      </c>
      <c r="D5450" t="inlineStr">
        <is>
          <t>UPPSALA LÄN</t>
        </is>
      </c>
      <c r="E5450" t="inlineStr">
        <is>
          <t>ÖSTHAMMAR</t>
        </is>
      </c>
      <c r="F5450" t="inlineStr">
        <is>
          <t>Bergvik skog öst AB</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16737-2024</t>
        </is>
      </c>
      <c r="B5451" s="1" t="n">
        <v>45410</v>
      </c>
      <c r="C5451" s="1" t="n">
        <v>45846</v>
      </c>
      <c r="D5451" t="inlineStr">
        <is>
          <t>UPPSALA LÄN</t>
        </is>
      </c>
      <c r="E5451" t="inlineStr">
        <is>
          <t>ÖSTHAMMAR</t>
        </is>
      </c>
      <c r="F5451" t="inlineStr">
        <is>
          <t>Bergvik skog öst AB</t>
        </is>
      </c>
      <c r="G5451" t="n">
        <v>13.2</v>
      </c>
      <c r="H5451" t="n">
        <v>0</v>
      </c>
      <c r="I5451" t="n">
        <v>0</v>
      </c>
      <c r="J5451" t="n">
        <v>0</v>
      </c>
      <c r="K5451" t="n">
        <v>0</v>
      </c>
      <c r="L5451" t="n">
        <v>0</v>
      </c>
      <c r="M5451" t="n">
        <v>0</v>
      </c>
      <c r="N5451" t="n">
        <v>0</v>
      </c>
      <c r="O5451" t="n">
        <v>0</v>
      </c>
      <c r="P5451" t="n">
        <v>0</v>
      </c>
      <c r="Q5451" t="n">
        <v>0</v>
      </c>
      <c r="R5451" s="2" t="inlineStr"/>
    </row>
    <row r="5452" ht="15" customHeight="1">
      <c r="A5452" t="inlineStr">
        <is>
          <t>A 16735-2024</t>
        </is>
      </c>
      <c r="B5452" s="1" t="n">
        <v>45410</v>
      </c>
      <c r="C5452" s="1" t="n">
        <v>45846</v>
      </c>
      <c r="D5452" t="inlineStr">
        <is>
          <t>UPPSALA LÄN</t>
        </is>
      </c>
      <c r="E5452" t="inlineStr">
        <is>
          <t>ÖSTHAMMAR</t>
        </is>
      </c>
      <c r="F5452" t="inlineStr">
        <is>
          <t>Bergvik skog öst AB</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16734-2024</t>
        </is>
      </c>
      <c r="B5453" s="1" t="n">
        <v>45410</v>
      </c>
      <c r="C5453" s="1" t="n">
        <v>45846</v>
      </c>
      <c r="D5453" t="inlineStr">
        <is>
          <t>UPPSALA LÄN</t>
        </is>
      </c>
      <c r="E5453" t="inlineStr">
        <is>
          <t>ÖSTHAMMAR</t>
        </is>
      </c>
      <c r="F5453" t="inlineStr">
        <is>
          <t>Bergvik skog öst AB</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16847-2024</t>
        </is>
      </c>
      <c r="B5454" s="1" t="n">
        <v>45411</v>
      </c>
      <c r="C5454" s="1" t="n">
        <v>45846</v>
      </c>
      <c r="D5454" t="inlineStr">
        <is>
          <t>UPPSALA LÄN</t>
        </is>
      </c>
      <c r="E5454" t="inlineStr">
        <is>
          <t>HEBY</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16865-2024</t>
        </is>
      </c>
      <c r="B5455" s="1" t="n">
        <v>45411</v>
      </c>
      <c r="C5455" s="1" t="n">
        <v>45846</v>
      </c>
      <c r="D5455" t="inlineStr">
        <is>
          <t>UPPSALA LÄN</t>
        </is>
      </c>
      <c r="E5455" t="inlineStr">
        <is>
          <t>TIERP</t>
        </is>
      </c>
      <c r="F5455" t="inlineStr">
        <is>
          <t>Bergvik skog öst AB</t>
        </is>
      </c>
      <c r="G5455" t="n">
        <v>5</v>
      </c>
      <c r="H5455" t="n">
        <v>0</v>
      </c>
      <c r="I5455" t="n">
        <v>0</v>
      </c>
      <c r="J5455" t="n">
        <v>0</v>
      </c>
      <c r="K5455" t="n">
        <v>0</v>
      </c>
      <c r="L5455" t="n">
        <v>0</v>
      </c>
      <c r="M5455" t="n">
        <v>0</v>
      </c>
      <c r="N5455" t="n">
        <v>0</v>
      </c>
      <c r="O5455" t="n">
        <v>0</v>
      </c>
      <c r="P5455" t="n">
        <v>0</v>
      </c>
      <c r="Q5455" t="n">
        <v>0</v>
      </c>
      <c r="R5455" s="2" t="inlineStr"/>
    </row>
    <row r="5456" ht="15" customHeight="1">
      <c r="A5456" t="inlineStr">
        <is>
          <t>A 17094-2024</t>
        </is>
      </c>
      <c r="B5456" s="1" t="n">
        <v>45412</v>
      </c>
      <c r="C5456" s="1" t="n">
        <v>45846</v>
      </c>
      <c r="D5456" t="inlineStr">
        <is>
          <t>UPPSALA LÄN</t>
        </is>
      </c>
      <c r="E5456" t="inlineStr">
        <is>
          <t>TIERP</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17119-2024</t>
        </is>
      </c>
      <c r="B5457" s="1" t="n">
        <v>45412</v>
      </c>
      <c r="C5457" s="1" t="n">
        <v>45846</v>
      </c>
      <c r="D5457" t="inlineStr">
        <is>
          <t>UPPSALA LÄN</t>
        </is>
      </c>
      <c r="E5457" t="inlineStr">
        <is>
          <t>TIERP</t>
        </is>
      </c>
      <c r="F5457" t="inlineStr">
        <is>
          <t>Bergvik skog väst AB</t>
        </is>
      </c>
      <c r="G5457" t="n">
        <v>11.9</v>
      </c>
      <c r="H5457" t="n">
        <v>0</v>
      </c>
      <c r="I5457" t="n">
        <v>0</v>
      </c>
      <c r="J5457" t="n">
        <v>0</v>
      </c>
      <c r="K5457" t="n">
        <v>0</v>
      </c>
      <c r="L5457" t="n">
        <v>0</v>
      </c>
      <c r="M5457" t="n">
        <v>0</v>
      </c>
      <c r="N5457" t="n">
        <v>0</v>
      </c>
      <c r="O5457" t="n">
        <v>0</v>
      </c>
      <c r="P5457" t="n">
        <v>0</v>
      </c>
      <c r="Q5457" t="n">
        <v>0</v>
      </c>
      <c r="R5457" s="2" t="inlineStr"/>
    </row>
    <row r="5458" ht="15" customHeight="1">
      <c r="A5458" t="inlineStr">
        <is>
          <t>A 17148-2024</t>
        </is>
      </c>
      <c r="B5458" s="1" t="n">
        <v>45412</v>
      </c>
      <c r="C5458" s="1" t="n">
        <v>45846</v>
      </c>
      <c r="D5458" t="inlineStr">
        <is>
          <t>UPPSALA LÄN</t>
        </is>
      </c>
      <c r="E5458" t="inlineStr">
        <is>
          <t>HEBY</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17146-2024</t>
        </is>
      </c>
      <c r="B5459" s="1" t="n">
        <v>45412</v>
      </c>
      <c r="C5459" s="1" t="n">
        <v>45846</v>
      </c>
      <c r="D5459" t="inlineStr">
        <is>
          <t>UPPSALA LÄN</t>
        </is>
      </c>
      <c r="E5459" t="inlineStr">
        <is>
          <t>UPPSALA</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16983-2024</t>
        </is>
      </c>
      <c r="B5460" s="1" t="n">
        <v>45412</v>
      </c>
      <c r="C5460" s="1" t="n">
        <v>45846</v>
      </c>
      <c r="D5460" t="inlineStr">
        <is>
          <t>UPPSALA LÄN</t>
        </is>
      </c>
      <c r="E5460" t="inlineStr">
        <is>
          <t>ÖSTHAMMAR</t>
        </is>
      </c>
      <c r="G5460" t="n">
        <v>5.8</v>
      </c>
      <c r="H5460" t="n">
        <v>0</v>
      </c>
      <c r="I5460" t="n">
        <v>0</v>
      </c>
      <c r="J5460" t="n">
        <v>0</v>
      </c>
      <c r="K5460" t="n">
        <v>0</v>
      </c>
      <c r="L5460" t="n">
        <v>0</v>
      </c>
      <c r="M5460" t="n">
        <v>0</v>
      </c>
      <c r="N5460" t="n">
        <v>0</v>
      </c>
      <c r="O5460" t="n">
        <v>0</v>
      </c>
      <c r="P5460" t="n">
        <v>0</v>
      </c>
      <c r="Q5460" t="n">
        <v>0</v>
      </c>
      <c r="R5460" s="2" t="inlineStr"/>
    </row>
    <row r="5461" ht="15" customHeight="1">
      <c r="A5461" t="inlineStr">
        <is>
          <t>A 17117-2024</t>
        </is>
      </c>
      <c r="B5461" s="1" t="n">
        <v>45412</v>
      </c>
      <c r="C5461" s="1" t="n">
        <v>45846</v>
      </c>
      <c r="D5461" t="inlineStr">
        <is>
          <t>UPPSALA LÄN</t>
        </is>
      </c>
      <c r="E5461" t="inlineStr">
        <is>
          <t>TIERP</t>
        </is>
      </c>
      <c r="F5461" t="inlineStr">
        <is>
          <t>Bergvik skog väst AB</t>
        </is>
      </c>
      <c r="G5461" t="n">
        <v>33.6</v>
      </c>
      <c r="H5461" t="n">
        <v>0</v>
      </c>
      <c r="I5461" t="n">
        <v>0</v>
      </c>
      <c r="J5461" t="n">
        <v>0</v>
      </c>
      <c r="K5461" t="n">
        <v>0</v>
      </c>
      <c r="L5461" t="n">
        <v>0</v>
      </c>
      <c r="M5461" t="n">
        <v>0</v>
      </c>
      <c r="N5461" t="n">
        <v>0</v>
      </c>
      <c r="O5461" t="n">
        <v>0</v>
      </c>
      <c r="P5461" t="n">
        <v>0</v>
      </c>
      <c r="Q5461" t="n">
        <v>0</v>
      </c>
      <c r="R5461" s="2" t="inlineStr"/>
    </row>
    <row r="5462" ht="15" customHeight="1">
      <c r="A5462" t="inlineStr">
        <is>
          <t>A 17287-2024</t>
        </is>
      </c>
      <c r="B5462" s="1" t="n">
        <v>45414</v>
      </c>
      <c r="C5462" s="1" t="n">
        <v>45846</v>
      </c>
      <c r="D5462" t="inlineStr">
        <is>
          <t>UPPSALA LÄN</t>
        </is>
      </c>
      <c r="E5462" t="inlineStr">
        <is>
          <t>UPPSALA</t>
        </is>
      </c>
      <c r="G5462" t="n">
        <v>7.9</v>
      </c>
      <c r="H5462" t="n">
        <v>0</v>
      </c>
      <c r="I5462" t="n">
        <v>0</v>
      </c>
      <c r="J5462" t="n">
        <v>0</v>
      </c>
      <c r="K5462" t="n">
        <v>0</v>
      </c>
      <c r="L5462" t="n">
        <v>0</v>
      </c>
      <c r="M5462" t="n">
        <v>0</v>
      </c>
      <c r="N5462" t="n">
        <v>0</v>
      </c>
      <c r="O5462" t="n">
        <v>0</v>
      </c>
      <c r="P5462" t="n">
        <v>0</v>
      </c>
      <c r="Q5462" t="n">
        <v>0</v>
      </c>
      <c r="R5462" s="2" t="inlineStr"/>
    </row>
    <row r="5463" ht="15" customHeight="1">
      <c r="A5463" t="inlineStr">
        <is>
          <t>A 17331-2024</t>
        </is>
      </c>
      <c r="B5463" s="1" t="n">
        <v>45414</v>
      </c>
      <c r="C5463" s="1" t="n">
        <v>45846</v>
      </c>
      <c r="D5463" t="inlineStr">
        <is>
          <t>UPPSALA LÄN</t>
        </is>
      </c>
      <c r="E5463" t="inlineStr">
        <is>
          <t>KNIVSTA</t>
        </is>
      </c>
      <c r="G5463" t="n">
        <v>8</v>
      </c>
      <c r="H5463" t="n">
        <v>0</v>
      </c>
      <c r="I5463" t="n">
        <v>0</v>
      </c>
      <c r="J5463" t="n">
        <v>0</v>
      </c>
      <c r="K5463" t="n">
        <v>0</v>
      </c>
      <c r="L5463" t="n">
        <v>0</v>
      </c>
      <c r="M5463" t="n">
        <v>0</v>
      </c>
      <c r="N5463" t="n">
        <v>0</v>
      </c>
      <c r="O5463" t="n">
        <v>0</v>
      </c>
      <c r="P5463" t="n">
        <v>0</v>
      </c>
      <c r="Q5463" t="n">
        <v>0</v>
      </c>
      <c r="R5463" s="2" t="inlineStr"/>
    </row>
    <row r="5464" ht="15" customHeight="1">
      <c r="A5464" t="inlineStr">
        <is>
          <t>A 17333-2024</t>
        </is>
      </c>
      <c r="B5464" s="1" t="n">
        <v>45414</v>
      </c>
      <c r="C5464" s="1" t="n">
        <v>45846</v>
      </c>
      <c r="D5464" t="inlineStr">
        <is>
          <t>UPPSALA LÄN</t>
        </is>
      </c>
      <c r="E5464" t="inlineStr">
        <is>
          <t>KNIVSTA</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17341-2024</t>
        </is>
      </c>
      <c r="B5465" s="1" t="n">
        <v>45414</v>
      </c>
      <c r="C5465" s="1" t="n">
        <v>45846</v>
      </c>
      <c r="D5465" t="inlineStr">
        <is>
          <t>UPPSALA LÄN</t>
        </is>
      </c>
      <c r="E5465" t="inlineStr">
        <is>
          <t>KNIVSTA</t>
        </is>
      </c>
      <c r="G5465" t="n">
        <v>7.5</v>
      </c>
      <c r="H5465" t="n">
        <v>0</v>
      </c>
      <c r="I5465" t="n">
        <v>0</v>
      </c>
      <c r="J5465" t="n">
        <v>0</v>
      </c>
      <c r="K5465" t="n">
        <v>0</v>
      </c>
      <c r="L5465" t="n">
        <v>0</v>
      </c>
      <c r="M5465" t="n">
        <v>0</v>
      </c>
      <c r="N5465" t="n">
        <v>0</v>
      </c>
      <c r="O5465" t="n">
        <v>0</v>
      </c>
      <c r="P5465" t="n">
        <v>0</v>
      </c>
      <c r="Q5465" t="n">
        <v>0</v>
      </c>
      <c r="R5465" s="2" t="inlineStr"/>
    </row>
    <row r="5466" ht="15" customHeight="1">
      <c r="A5466" t="inlineStr">
        <is>
          <t>A 17378-2024</t>
        </is>
      </c>
      <c r="B5466" s="1" t="n">
        <v>45414</v>
      </c>
      <c r="C5466" s="1" t="n">
        <v>45846</v>
      </c>
      <c r="D5466" t="inlineStr">
        <is>
          <t>UPPSALA LÄN</t>
        </is>
      </c>
      <c r="E5466" t="inlineStr">
        <is>
          <t>HEBY</t>
        </is>
      </c>
      <c r="G5466" t="n">
        <v>3.9</v>
      </c>
      <c r="H5466" t="n">
        <v>0</v>
      </c>
      <c r="I5466" t="n">
        <v>0</v>
      </c>
      <c r="J5466" t="n">
        <v>0</v>
      </c>
      <c r="K5466" t="n">
        <v>0</v>
      </c>
      <c r="L5466" t="n">
        <v>0</v>
      </c>
      <c r="M5466" t="n">
        <v>0</v>
      </c>
      <c r="N5466" t="n">
        <v>0</v>
      </c>
      <c r="O5466" t="n">
        <v>0</v>
      </c>
      <c r="P5466" t="n">
        <v>0</v>
      </c>
      <c r="Q5466" t="n">
        <v>0</v>
      </c>
      <c r="R5466" s="2" t="inlineStr"/>
    </row>
    <row r="5467" ht="15" customHeight="1">
      <c r="A5467" t="inlineStr">
        <is>
          <t>A 17683-2024</t>
        </is>
      </c>
      <c r="B5467" s="1" t="n">
        <v>45418</v>
      </c>
      <c r="C5467" s="1" t="n">
        <v>45846</v>
      </c>
      <c r="D5467" t="inlineStr">
        <is>
          <t>UPPSALA LÄN</t>
        </is>
      </c>
      <c r="E5467" t="inlineStr">
        <is>
          <t>HEBY</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17697-2024</t>
        </is>
      </c>
      <c r="B5468" s="1" t="n">
        <v>45418</v>
      </c>
      <c r="C5468" s="1" t="n">
        <v>45846</v>
      </c>
      <c r="D5468" t="inlineStr">
        <is>
          <t>UPPSALA LÄN</t>
        </is>
      </c>
      <c r="E5468" t="inlineStr">
        <is>
          <t>HEBY</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17695-2024</t>
        </is>
      </c>
      <c r="B5469" s="1" t="n">
        <v>45418</v>
      </c>
      <c r="C5469" s="1" t="n">
        <v>45846</v>
      </c>
      <c r="D5469" t="inlineStr">
        <is>
          <t>UPPSALA LÄN</t>
        </is>
      </c>
      <c r="E5469" t="inlineStr">
        <is>
          <t>HEBY</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17761-2024</t>
        </is>
      </c>
      <c r="B5470" s="1" t="n">
        <v>45418</v>
      </c>
      <c r="C5470" s="1" t="n">
        <v>45846</v>
      </c>
      <c r="D5470" t="inlineStr">
        <is>
          <t>UPPSALA LÄN</t>
        </is>
      </c>
      <c r="E5470" t="inlineStr">
        <is>
          <t>UPPSALA</t>
        </is>
      </c>
      <c r="F5470" t="inlineStr">
        <is>
          <t>Holmen skog AB</t>
        </is>
      </c>
      <c r="G5470" t="n">
        <v>3.8</v>
      </c>
      <c r="H5470" t="n">
        <v>0</v>
      </c>
      <c r="I5470" t="n">
        <v>0</v>
      </c>
      <c r="J5470" t="n">
        <v>0</v>
      </c>
      <c r="K5470" t="n">
        <v>0</v>
      </c>
      <c r="L5470" t="n">
        <v>0</v>
      </c>
      <c r="M5470" t="n">
        <v>0</v>
      </c>
      <c r="N5470" t="n">
        <v>0</v>
      </c>
      <c r="O5470" t="n">
        <v>0</v>
      </c>
      <c r="P5470" t="n">
        <v>0</v>
      </c>
      <c r="Q5470" t="n">
        <v>0</v>
      </c>
      <c r="R5470" s="2" t="inlineStr"/>
    </row>
    <row r="5471" ht="15" customHeight="1">
      <c r="A5471" t="inlineStr">
        <is>
          <t>A 17776-2024</t>
        </is>
      </c>
      <c r="B5471" s="1" t="n">
        <v>45418</v>
      </c>
      <c r="C5471" s="1" t="n">
        <v>45846</v>
      </c>
      <c r="D5471" t="inlineStr">
        <is>
          <t>UPPSALA LÄN</t>
        </is>
      </c>
      <c r="E5471" t="inlineStr">
        <is>
          <t>ÖSTHAMMAR</t>
        </is>
      </c>
      <c r="F5471" t="inlineStr">
        <is>
          <t>Bergvik skog öst AB</t>
        </is>
      </c>
      <c r="G5471" t="n">
        <v>5.1</v>
      </c>
      <c r="H5471" t="n">
        <v>0</v>
      </c>
      <c r="I5471" t="n">
        <v>0</v>
      </c>
      <c r="J5471" t="n">
        <v>0</v>
      </c>
      <c r="K5471" t="n">
        <v>0</v>
      </c>
      <c r="L5471" t="n">
        <v>0</v>
      </c>
      <c r="M5471" t="n">
        <v>0</v>
      </c>
      <c r="N5471" t="n">
        <v>0</v>
      </c>
      <c r="O5471" t="n">
        <v>0</v>
      </c>
      <c r="P5471" t="n">
        <v>0</v>
      </c>
      <c r="Q5471" t="n">
        <v>0</v>
      </c>
      <c r="R5471" s="2" t="inlineStr"/>
    </row>
    <row r="5472" ht="15" customHeight="1">
      <c r="A5472" t="inlineStr">
        <is>
          <t>A 17867-2024</t>
        </is>
      </c>
      <c r="B5472" s="1" t="n">
        <v>45419</v>
      </c>
      <c r="C5472" s="1" t="n">
        <v>45846</v>
      </c>
      <c r="D5472" t="inlineStr">
        <is>
          <t>UPPSALA LÄN</t>
        </is>
      </c>
      <c r="E5472" t="inlineStr">
        <is>
          <t>ÖSTHAMMAR</t>
        </is>
      </c>
      <c r="G5472" t="n">
        <v>7.2</v>
      </c>
      <c r="H5472" t="n">
        <v>0</v>
      </c>
      <c r="I5472" t="n">
        <v>0</v>
      </c>
      <c r="J5472" t="n">
        <v>0</v>
      </c>
      <c r="K5472" t="n">
        <v>0</v>
      </c>
      <c r="L5472" t="n">
        <v>0</v>
      </c>
      <c r="M5472" t="n">
        <v>0</v>
      </c>
      <c r="N5472" t="n">
        <v>0</v>
      </c>
      <c r="O5472" t="n">
        <v>0</v>
      </c>
      <c r="P5472" t="n">
        <v>0</v>
      </c>
      <c r="Q5472" t="n">
        <v>0</v>
      </c>
      <c r="R5472" s="2" t="inlineStr"/>
    </row>
    <row r="5473" ht="15" customHeight="1">
      <c r="A5473" t="inlineStr">
        <is>
          <t>A 17904-2024</t>
        </is>
      </c>
      <c r="B5473" s="1" t="n">
        <v>45419</v>
      </c>
      <c r="C5473" s="1" t="n">
        <v>45846</v>
      </c>
      <c r="D5473" t="inlineStr">
        <is>
          <t>UPPSALA LÄN</t>
        </is>
      </c>
      <c r="E5473" t="inlineStr">
        <is>
          <t>KNIVSTA</t>
        </is>
      </c>
      <c r="G5473" t="n">
        <v>6.7</v>
      </c>
      <c r="H5473" t="n">
        <v>0</v>
      </c>
      <c r="I5473" t="n">
        <v>0</v>
      </c>
      <c r="J5473" t="n">
        <v>0</v>
      </c>
      <c r="K5473" t="n">
        <v>0</v>
      </c>
      <c r="L5473" t="n">
        <v>0</v>
      </c>
      <c r="M5473" t="n">
        <v>0</v>
      </c>
      <c r="N5473" t="n">
        <v>0</v>
      </c>
      <c r="O5473" t="n">
        <v>0</v>
      </c>
      <c r="P5473" t="n">
        <v>0</v>
      </c>
      <c r="Q5473" t="n">
        <v>0</v>
      </c>
      <c r="R5473" s="2" t="inlineStr"/>
    </row>
    <row r="5474" ht="15" customHeight="1">
      <c r="A5474" t="inlineStr">
        <is>
          <t>A 18069-2024</t>
        </is>
      </c>
      <c r="B5474" s="1" t="n">
        <v>45420</v>
      </c>
      <c r="C5474" s="1" t="n">
        <v>45846</v>
      </c>
      <c r="D5474" t="inlineStr">
        <is>
          <t>UPPSALA LÄN</t>
        </is>
      </c>
      <c r="E5474" t="inlineStr">
        <is>
          <t>UPPSALA</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18039-2024</t>
        </is>
      </c>
      <c r="B5475" s="1" t="n">
        <v>45420</v>
      </c>
      <c r="C5475" s="1" t="n">
        <v>45846</v>
      </c>
      <c r="D5475" t="inlineStr">
        <is>
          <t>UPPSALA LÄN</t>
        </is>
      </c>
      <c r="E5475" t="inlineStr">
        <is>
          <t>TIERP</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18354-2024</t>
        </is>
      </c>
      <c r="B5476" s="1" t="n">
        <v>45422</v>
      </c>
      <c r="C5476" s="1" t="n">
        <v>45846</v>
      </c>
      <c r="D5476" t="inlineStr">
        <is>
          <t>UPPSALA LÄN</t>
        </is>
      </c>
      <c r="E5476" t="inlineStr">
        <is>
          <t>UPPSALA</t>
        </is>
      </c>
      <c r="F5476" t="inlineStr">
        <is>
          <t>Holmen skog AB</t>
        </is>
      </c>
      <c r="G5476" t="n">
        <v>8.199999999999999</v>
      </c>
      <c r="H5476" t="n">
        <v>0</v>
      </c>
      <c r="I5476" t="n">
        <v>0</v>
      </c>
      <c r="J5476" t="n">
        <v>0</v>
      </c>
      <c r="K5476" t="n">
        <v>0</v>
      </c>
      <c r="L5476" t="n">
        <v>0</v>
      </c>
      <c r="M5476" t="n">
        <v>0</v>
      </c>
      <c r="N5476" t="n">
        <v>0</v>
      </c>
      <c r="O5476" t="n">
        <v>0</v>
      </c>
      <c r="P5476" t="n">
        <v>0</v>
      </c>
      <c r="Q5476" t="n">
        <v>0</v>
      </c>
      <c r="R5476" s="2" t="inlineStr"/>
    </row>
    <row r="5477" ht="15" customHeight="1">
      <c r="A5477" t="inlineStr">
        <is>
          <t>A 18359-2024</t>
        </is>
      </c>
      <c r="B5477" s="1" t="n">
        <v>45422</v>
      </c>
      <c r="C5477" s="1" t="n">
        <v>45846</v>
      </c>
      <c r="D5477" t="inlineStr">
        <is>
          <t>UPPSALA LÄN</t>
        </is>
      </c>
      <c r="E5477" t="inlineStr">
        <is>
          <t>HEBY</t>
        </is>
      </c>
      <c r="F5477" t="inlineStr">
        <is>
          <t>Bergvik skog väst AB</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18335-2024</t>
        </is>
      </c>
      <c r="B5478" s="1" t="n">
        <v>45422</v>
      </c>
      <c r="C5478" s="1" t="n">
        <v>45846</v>
      </c>
      <c r="D5478" t="inlineStr">
        <is>
          <t>UPPSALA LÄN</t>
        </is>
      </c>
      <c r="E5478" t="inlineStr">
        <is>
          <t>HEBY</t>
        </is>
      </c>
      <c r="G5478" t="n">
        <v>4.5</v>
      </c>
      <c r="H5478" t="n">
        <v>0</v>
      </c>
      <c r="I5478" t="n">
        <v>0</v>
      </c>
      <c r="J5478" t="n">
        <v>0</v>
      </c>
      <c r="K5478" t="n">
        <v>0</v>
      </c>
      <c r="L5478" t="n">
        <v>0</v>
      </c>
      <c r="M5478" t="n">
        <v>0</v>
      </c>
      <c r="N5478" t="n">
        <v>0</v>
      </c>
      <c r="O5478" t="n">
        <v>0</v>
      </c>
      <c r="P5478" t="n">
        <v>0</v>
      </c>
      <c r="Q5478" t="n">
        <v>0</v>
      </c>
      <c r="R5478" s="2" t="inlineStr"/>
    </row>
    <row r="5479" ht="15" customHeight="1">
      <c r="A5479" t="inlineStr">
        <is>
          <t>A 18278-2024</t>
        </is>
      </c>
      <c r="B5479" s="1" t="n">
        <v>45422</v>
      </c>
      <c r="C5479" s="1" t="n">
        <v>45846</v>
      </c>
      <c r="D5479" t="inlineStr">
        <is>
          <t>UPPSALA LÄN</t>
        </is>
      </c>
      <c r="E5479" t="inlineStr">
        <is>
          <t>HEBY</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18369-2024</t>
        </is>
      </c>
      <c r="B5480" s="1" t="n">
        <v>45422</v>
      </c>
      <c r="C5480" s="1" t="n">
        <v>45846</v>
      </c>
      <c r="D5480" t="inlineStr">
        <is>
          <t>UPPSALA LÄN</t>
        </is>
      </c>
      <c r="E5480" t="inlineStr">
        <is>
          <t>HEBY</t>
        </is>
      </c>
      <c r="F5480" t="inlineStr">
        <is>
          <t>Bergvik skog väst AB</t>
        </is>
      </c>
      <c r="G5480" t="n">
        <v>28.9</v>
      </c>
      <c r="H5480" t="n">
        <v>0</v>
      </c>
      <c r="I5480" t="n">
        <v>0</v>
      </c>
      <c r="J5480" t="n">
        <v>0</v>
      </c>
      <c r="K5480" t="n">
        <v>0</v>
      </c>
      <c r="L5480" t="n">
        <v>0</v>
      </c>
      <c r="M5480" t="n">
        <v>0</v>
      </c>
      <c r="N5480" t="n">
        <v>0</v>
      </c>
      <c r="O5480" t="n">
        <v>0</v>
      </c>
      <c r="P5480" t="n">
        <v>0</v>
      </c>
      <c r="Q5480" t="n">
        <v>0</v>
      </c>
      <c r="R5480" s="2" t="inlineStr"/>
    </row>
    <row r="5481" ht="15" customHeight="1">
      <c r="A5481" t="inlineStr">
        <is>
          <t>A 18394-2024</t>
        </is>
      </c>
      <c r="B5481" s="1" t="n">
        <v>45424</v>
      </c>
      <c r="C5481" s="1" t="n">
        <v>45846</v>
      </c>
      <c r="D5481" t="inlineStr">
        <is>
          <t>UPPSALA LÄN</t>
        </is>
      </c>
      <c r="E5481" t="inlineStr">
        <is>
          <t>TIERP</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18607-2024</t>
        </is>
      </c>
      <c r="B5482" s="1" t="n">
        <v>45426</v>
      </c>
      <c r="C5482" s="1" t="n">
        <v>45846</v>
      </c>
      <c r="D5482" t="inlineStr">
        <is>
          <t>UPPSALA LÄN</t>
        </is>
      </c>
      <c r="E5482" t="inlineStr">
        <is>
          <t>UPPSALA</t>
        </is>
      </c>
      <c r="G5482" t="n">
        <v>4.3</v>
      </c>
      <c r="H5482" t="n">
        <v>0</v>
      </c>
      <c r="I5482" t="n">
        <v>0</v>
      </c>
      <c r="J5482" t="n">
        <v>0</v>
      </c>
      <c r="K5482" t="n">
        <v>0</v>
      </c>
      <c r="L5482" t="n">
        <v>0</v>
      </c>
      <c r="M5482" t="n">
        <v>0</v>
      </c>
      <c r="N5482" t="n">
        <v>0</v>
      </c>
      <c r="O5482" t="n">
        <v>0</v>
      </c>
      <c r="P5482" t="n">
        <v>0</v>
      </c>
      <c r="Q5482" t="n">
        <v>0</v>
      </c>
      <c r="R5482" s="2" t="inlineStr"/>
    </row>
    <row r="5483" ht="15" customHeight="1">
      <c r="A5483" t="inlineStr">
        <is>
          <t>A 18490-2024</t>
        </is>
      </c>
      <c r="B5483" s="1" t="n">
        <v>45425</v>
      </c>
      <c r="C5483" s="1" t="n">
        <v>45846</v>
      </c>
      <c r="D5483" t="inlineStr">
        <is>
          <t>UPPSALA LÄN</t>
        </is>
      </c>
      <c r="E5483" t="inlineStr">
        <is>
          <t>HEBY</t>
        </is>
      </c>
      <c r="F5483" t="inlineStr">
        <is>
          <t>Kommuner</t>
        </is>
      </c>
      <c r="G5483" t="n">
        <v>5.5</v>
      </c>
      <c r="H5483" t="n">
        <v>0</v>
      </c>
      <c r="I5483" t="n">
        <v>0</v>
      </c>
      <c r="J5483" t="n">
        <v>0</v>
      </c>
      <c r="K5483" t="n">
        <v>0</v>
      </c>
      <c r="L5483" t="n">
        <v>0</v>
      </c>
      <c r="M5483" t="n">
        <v>0</v>
      </c>
      <c r="N5483" t="n">
        <v>0</v>
      </c>
      <c r="O5483" t="n">
        <v>0</v>
      </c>
      <c r="P5483" t="n">
        <v>0</v>
      </c>
      <c r="Q5483" t="n">
        <v>0</v>
      </c>
      <c r="R5483" s="2" t="inlineStr"/>
    </row>
    <row r="5484" ht="15" customHeight="1">
      <c r="A5484" t="inlineStr">
        <is>
          <t>A 18677-2024</t>
        </is>
      </c>
      <c r="B5484" s="1" t="n">
        <v>45426</v>
      </c>
      <c r="C5484" s="1" t="n">
        <v>45846</v>
      </c>
      <c r="D5484" t="inlineStr">
        <is>
          <t>UPPSALA LÄN</t>
        </is>
      </c>
      <c r="E5484" t="inlineStr">
        <is>
          <t>UPPSALA</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18667-2024</t>
        </is>
      </c>
      <c r="B5485" s="1" t="n">
        <v>45426</v>
      </c>
      <c r="C5485" s="1" t="n">
        <v>45846</v>
      </c>
      <c r="D5485" t="inlineStr">
        <is>
          <t>UPPSALA LÄN</t>
        </is>
      </c>
      <c r="E5485" t="inlineStr">
        <is>
          <t>UPPSALA</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18693-2024</t>
        </is>
      </c>
      <c r="B5486" s="1" t="n">
        <v>45426</v>
      </c>
      <c r="C5486" s="1" t="n">
        <v>45846</v>
      </c>
      <c r="D5486" t="inlineStr">
        <is>
          <t>UPPSALA LÄN</t>
        </is>
      </c>
      <c r="E5486" t="inlineStr">
        <is>
          <t>ÖSTHAMMAR</t>
        </is>
      </c>
      <c r="F5486" t="inlineStr">
        <is>
          <t>Bergvik skog öst AB</t>
        </is>
      </c>
      <c r="G5486" t="n">
        <v>10.5</v>
      </c>
      <c r="H5486" t="n">
        <v>0</v>
      </c>
      <c r="I5486" t="n">
        <v>0</v>
      </c>
      <c r="J5486" t="n">
        <v>0</v>
      </c>
      <c r="K5486" t="n">
        <v>0</v>
      </c>
      <c r="L5486" t="n">
        <v>0</v>
      </c>
      <c r="M5486" t="n">
        <v>0</v>
      </c>
      <c r="N5486" t="n">
        <v>0</v>
      </c>
      <c r="O5486" t="n">
        <v>0</v>
      </c>
      <c r="P5486" t="n">
        <v>0</v>
      </c>
      <c r="Q5486" t="n">
        <v>0</v>
      </c>
      <c r="R5486" s="2" t="inlineStr"/>
    </row>
    <row r="5487" ht="15" customHeight="1">
      <c r="A5487" t="inlineStr">
        <is>
          <t>A 18691-2024</t>
        </is>
      </c>
      <c r="B5487" s="1" t="n">
        <v>45426</v>
      </c>
      <c r="C5487" s="1" t="n">
        <v>45846</v>
      </c>
      <c r="D5487" t="inlineStr">
        <is>
          <t>UPPSALA LÄN</t>
        </is>
      </c>
      <c r="E5487" t="inlineStr">
        <is>
          <t>ÖSTHAMMAR</t>
        </is>
      </c>
      <c r="F5487" t="inlineStr">
        <is>
          <t>Bergvik skog öst AB</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18670-2024</t>
        </is>
      </c>
      <c r="B5488" s="1" t="n">
        <v>45426</v>
      </c>
      <c r="C5488" s="1" t="n">
        <v>45846</v>
      </c>
      <c r="D5488" t="inlineStr">
        <is>
          <t>UPPSALA LÄN</t>
        </is>
      </c>
      <c r="E5488" t="inlineStr">
        <is>
          <t>UPPSALA</t>
        </is>
      </c>
      <c r="G5488" t="n">
        <v>9</v>
      </c>
      <c r="H5488" t="n">
        <v>0</v>
      </c>
      <c r="I5488" t="n">
        <v>0</v>
      </c>
      <c r="J5488" t="n">
        <v>0</v>
      </c>
      <c r="K5488" t="n">
        <v>0</v>
      </c>
      <c r="L5488" t="n">
        <v>0</v>
      </c>
      <c r="M5488" t="n">
        <v>0</v>
      </c>
      <c r="N5488" t="n">
        <v>0</v>
      </c>
      <c r="O5488" t="n">
        <v>0</v>
      </c>
      <c r="P5488" t="n">
        <v>0</v>
      </c>
      <c r="Q5488" t="n">
        <v>0</v>
      </c>
      <c r="R5488" s="2" t="inlineStr"/>
    </row>
    <row r="5489" ht="15" customHeight="1">
      <c r="A5489" t="inlineStr">
        <is>
          <t>A 18675-2024</t>
        </is>
      </c>
      <c r="B5489" s="1" t="n">
        <v>45426</v>
      </c>
      <c r="C5489" s="1" t="n">
        <v>45846</v>
      </c>
      <c r="D5489" t="inlineStr">
        <is>
          <t>UPPSALA LÄN</t>
        </is>
      </c>
      <c r="E5489" t="inlineStr">
        <is>
          <t>UPPSALA</t>
        </is>
      </c>
      <c r="G5489" t="n">
        <v>8.1</v>
      </c>
      <c r="H5489" t="n">
        <v>0</v>
      </c>
      <c r="I5489" t="n">
        <v>0</v>
      </c>
      <c r="J5489" t="n">
        <v>0</v>
      </c>
      <c r="K5489" t="n">
        <v>0</v>
      </c>
      <c r="L5489" t="n">
        <v>0</v>
      </c>
      <c r="M5489" t="n">
        <v>0</v>
      </c>
      <c r="N5489" t="n">
        <v>0</v>
      </c>
      <c r="O5489" t="n">
        <v>0</v>
      </c>
      <c r="P5489" t="n">
        <v>0</v>
      </c>
      <c r="Q5489" t="n">
        <v>0</v>
      </c>
      <c r="R5489" s="2" t="inlineStr"/>
    </row>
    <row r="5490" ht="15" customHeight="1">
      <c r="A5490" t="inlineStr">
        <is>
          <t>A 18849-2024</t>
        </is>
      </c>
      <c r="B5490" s="1" t="n">
        <v>45426</v>
      </c>
      <c r="C5490" s="1" t="n">
        <v>45846</v>
      </c>
      <c r="D5490" t="inlineStr">
        <is>
          <t>UPPSALA LÄN</t>
        </is>
      </c>
      <c r="E5490" t="inlineStr">
        <is>
          <t>HEBY</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18808-2024</t>
        </is>
      </c>
      <c r="B5491" s="1" t="n">
        <v>45426</v>
      </c>
      <c r="C5491" s="1" t="n">
        <v>45846</v>
      </c>
      <c r="D5491" t="inlineStr">
        <is>
          <t>UPPSALA LÄN</t>
        </is>
      </c>
      <c r="E5491" t="inlineStr">
        <is>
          <t>UPPSALA</t>
        </is>
      </c>
      <c r="G5491" t="n">
        <v>11.5</v>
      </c>
      <c r="H5491" t="n">
        <v>0</v>
      </c>
      <c r="I5491" t="n">
        <v>0</v>
      </c>
      <c r="J5491" t="n">
        <v>0</v>
      </c>
      <c r="K5491" t="n">
        <v>0</v>
      </c>
      <c r="L5491" t="n">
        <v>0</v>
      </c>
      <c r="M5491" t="n">
        <v>0</v>
      </c>
      <c r="N5491" t="n">
        <v>0</v>
      </c>
      <c r="O5491" t="n">
        <v>0</v>
      </c>
      <c r="P5491" t="n">
        <v>0</v>
      </c>
      <c r="Q5491" t="n">
        <v>0</v>
      </c>
      <c r="R5491" s="2" t="inlineStr"/>
    </row>
    <row r="5492" ht="15" customHeight="1">
      <c r="A5492" t="inlineStr">
        <is>
          <t>A 18668-2024</t>
        </is>
      </c>
      <c r="B5492" s="1" t="n">
        <v>45426</v>
      </c>
      <c r="C5492" s="1" t="n">
        <v>45846</v>
      </c>
      <c r="D5492" t="inlineStr">
        <is>
          <t>UPPSALA LÄN</t>
        </is>
      </c>
      <c r="E5492" t="inlineStr">
        <is>
          <t>UPPSALA</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18705-2024</t>
        </is>
      </c>
      <c r="B5493" s="1" t="n">
        <v>45426</v>
      </c>
      <c r="C5493" s="1" t="n">
        <v>45846</v>
      </c>
      <c r="D5493" t="inlineStr">
        <is>
          <t>UPPSALA LÄN</t>
        </is>
      </c>
      <c r="E5493" t="inlineStr">
        <is>
          <t>ÖSTHAMMAR</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18929-2024</t>
        </is>
      </c>
      <c r="B5494" s="1" t="n">
        <v>45427</v>
      </c>
      <c r="C5494" s="1" t="n">
        <v>45846</v>
      </c>
      <c r="D5494" t="inlineStr">
        <is>
          <t>UPPSALA LÄN</t>
        </is>
      </c>
      <c r="E5494" t="inlineStr">
        <is>
          <t>TIERP</t>
        </is>
      </c>
      <c r="F5494" t="inlineStr">
        <is>
          <t>Bergvik skog öst AB</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19056-2024</t>
        </is>
      </c>
      <c r="B5495" s="1" t="n">
        <v>45427</v>
      </c>
      <c r="C5495" s="1" t="n">
        <v>45846</v>
      </c>
      <c r="D5495" t="inlineStr">
        <is>
          <t>UPPSALA LÄN</t>
        </is>
      </c>
      <c r="E5495" t="inlineStr">
        <is>
          <t>ÖSTHAMMAR</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18956-2024</t>
        </is>
      </c>
      <c r="B5496" s="1" t="n">
        <v>45427</v>
      </c>
      <c r="C5496" s="1" t="n">
        <v>45846</v>
      </c>
      <c r="D5496" t="inlineStr">
        <is>
          <t>UPPSALA LÄN</t>
        </is>
      </c>
      <c r="E5496" t="inlineStr">
        <is>
          <t>ÖSTHAMMAR</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19164-2024</t>
        </is>
      </c>
      <c r="B5497" s="1" t="n">
        <v>45428</v>
      </c>
      <c r="C5497" s="1" t="n">
        <v>45846</v>
      </c>
      <c r="D5497" t="inlineStr">
        <is>
          <t>UPPSALA LÄN</t>
        </is>
      </c>
      <c r="E5497" t="inlineStr">
        <is>
          <t>UPPSALA</t>
        </is>
      </c>
      <c r="G5497" t="n">
        <v>10</v>
      </c>
      <c r="H5497" t="n">
        <v>0</v>
      </c>
      <c r="I5497" t="n">
        <v>0</v>
      </c>
      <c r="J5497" t="n">
        <v>0</v>
      </c>
      <c r="K5497" t="n">
        <v>0</v>
      </c>
      <c r="L5497" t="n">
        <v>0</v>
      </c>
      <c r="M5497" t="n">
        <v>0</v>
      </c>
      <c r="N5497" t="n">
        <v>0</v>
      </c>
      <c r="O5497" t="n">
        <v>0</v>
      </c>
      <c r="P5497" t="n">
        <v>0</v>
      </c>
      <c r="Q5497" t="n">
        <v>0</v>
      </c>
      <c r="R5497" s="2" t="inlineStr"/>
    </row>
    <row r="5498" ht="15" customHeight="1">
      <c r="A5498" t="inlineStr">
        <is>
          <t>A 19126-2024</t>
        </is>
      </c>
      <c r="B5498" s="1" t="n">
        <v>45428</v>
      </c>
      <c r="C5498" s="1" t="n">
        <v>45846</v>
      </c>
      <c r="D5498" t="inlineStr">
        <is>
          <t>UPPSALA LÄN</t>
        </is>
      </c>
      <c r="E5498" t="inlineStr">
        <is>
          <t>UPPSALA</t>
        </is>
      </c>
      <c r="F5498" t="inlineStr">
        <is>
          <t>Allmännings- och besparingsskogar</t>
        </is>
      </c>
      <c r="G5498" t="n">
        <v>5</v>
      </c>
      <c r="H5498" t="n">
        <v>0</v>
      </c>
      <c r="I5498" t="n">
        <v>0</v>
      </c>
      <c r="J5498" t="n">
        <v>0</v>
      </c>
      <c r="K5498" t="n">
        <v>0</v>
      </c>
      <c r="L5498" t="n">
        <v>0</v>
      </c>
      <c r="M5498" t="n">
        <v>0</v>
      </c>
      <c r="N5498" t="n">
        <v>0</v>
      </c>
      <c r="O5498" t="n">
        <v>0</v>
      </c>
      <c r="P5498" t="n">
        <v>0</v>
      </c>
      <c r="Q5498" t="n">
        <v>0</v>
      </c>
      <c r="R5498" s="2" t="inlineStr"/>
    </row>
    <row r="5499" ht="15" customHeight="1">
      <c r="A5499" t="inlineStr">
        <is>
          <t>A 19147-2024</t>
        </is>
      </c>
      <c r="B5499" s="1" t="n">
        <v>45428</v>
      </c>
      <c r="C5499" s="1" t="n">
        <v>45846</v>
      </c>
      <c r="D5499" t="inlineStr">
        <is>
          <t>UPPSALA LÄN</t>
        </is>
      </c>
      <c r="E5499" t="inlineStr">
        <is>
          <t>ENKÖPING</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19151-2024</t>
        </is>
      </c>
      <c r="B5500" s="1" t="n">
        <v>45428</v>
      </c>
      <c r="C5500" s="1" t="n">
        <v>45846</v>
      </c>
      <c r="D5500" t="inlineStr">
        <is>
          <t>UPPSALA LÄN</t>
        </is>
      </c>
      <c r="E5500" t="inlineStr">
        <is>
          <t>HEBY</t>
        </is>
      </c>
      <c r="G5500" t="n">
        <v>15.1</v>
      </c>
      <c r="H5500" t="n">
        <v>0</v>
      </c>
      <c r="I5500" t="n">
        <v>0</v>
      </c>
      <c r="J5500" t="n">
        <v>0</v>
      </c>
      <c r="K5500" t="n">
        <v>0</v>
      </c>
      <c r="L5500" t="n">
        <v>0</v>
      </c>
      <c r="M5500" t="n">
        <v>0</v>
      </c>
      <c r="N5500" t="n">
        <v>0</v>
      </c>
      <c r="O5500" t="n">
        <v>0</v>
      </c>
      <c r="P5500" t="n">
        <v>0</v>
      </c>
      <c r="Q5500" t="n">
        <v>0</v>
      </c>
      <c r="R5500" s="2" t="inlineStr"/>
    </row>
    <row r="5501" ht="15" customHeight="1">
      <c r="A5501" t="inlineStr">
        <is>
          <t>A 19304-2024</t>
        </is>
      </c>
      <c r="B5501" s="1" t="n">
        <v>45428</v>
      </c>
      <c r="C5501" s="1" t="n">
        <v>45846</v>
      </c>
      <c r="D5501" t="inlineStr">
        <is>
          <t>UPPSALA LÄN</t>
        </is>
      </c>
      <c r="E5501" t="inlineStr">
        <is>
          <t>ÄLVKARLEBY</t>
        </is>
      </c>
      <c r="G5501" t="n">
        <v>0.2</v>
      </c>
      <c r="H5501" t="n">
        <v>0</v>
      </c>
      <c r="I5501" t="n">
        <v>0</v>
      </c>
      <c r="J5501" t="n">
        <v>0</v>
      </c>
      <c r="K5501" t="n">
        <v>0</v>
      </c>
      <c r="L5501" t="n">
        <v>0</v>
      </c>
      <c r="M5501" t="n">
        <v>0</v>
      </c>
      <c r="N5501" t="n">
        <v>0</v>
      </c>
      <c r="O5501" t="n">
        <v>0</v>
      </c>
      <c r="P5501" t="n">
        <v>0</v>
      </c>
      <c r="Q5501" t="n">
        <v>0</v>
      </c>
      <c r="R5501" s="2" t="inlineStr"/>
    </row>
    <row r="5502" ht="15" customHeight="1">
      <c r="A5502" t="inlineStr">
        <is>
          <t>A 19303-2024</t>
        </is>
      </c>
      <c r="B5502" s="1" t="n">
        <v>45428</v>
      </c>
      <c r="C5502" s="1" t="n">
        <v>45846</v>
      </c>
      <c r="D5502" t="inlineStr">
        <is>
          <t>UPPSALA LÄN</t>
        </is>
      </c>
      <c r="E5502" t="inlineStr">
        <is>
          <t>ÄLVKARLEBY</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19298-2024</t>
        </is>
      </c>
      <c r="B5503" s="1" t="n">
        <v>45428</v>
      </c>
      <c r="C5503" s="1" t="n">
        <v>45846</v>
      </c>
      <c r="D5503" t="inlineStr">
        <is>
          <t>UPPSALA LÄN</t>
        </is>
      </c>
      <c r="E5503" t="inlineStr">
        <is>
          <t>ÄLVKARLEBY</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19378-2024</t>
        </is>
      </c>
      <c r="B5504" s="1" t="n">
        <v>45429</v>
      </c>
      <c r="C5504" s="1" t="n">
        <v>45846</v>
      </c>
      <c r="D5504" t="inlineStr">
        <is>
          <t>UPPSALA LÄN</t>
        </is>
      </c>
      <c r="E5504" t="inlineStr">
        <is>
          <t>ENKÖPING</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19375-2024</t>
        </is>
      </c>
      <c r="B5505" s="1" t="n">
        <v>45429</v>
      </c>
      <c r="C5505" s="1" t="n">
        <v>45846</v>
      </c>
      <c r="D5505" t="inlineStr">
        <is>
          <t>UPPSALA LÄN</t>
        </is>
      </c>
      <c r="E5505" t="inlineStr">
        <is>
          <t>ÖSTHAMMAR</t>
        </is>
      </c>
      <c r="G5505" t="n">
        <v>7.3</v>
      </c>
      <c r="H5505" t="n">
        <v>0</v>
      </c>
      <c r="I5505" t="n">
        <v>0</v>
      </c>
      <c r="J5505" t="n">
        <v>0</v>
      </c>
      <c r="K5505" t="n">
        <v>0</v>
      </c>
      <c r="L5505" t="n">
        <v>0</v>
      </c>
      <c r="M5505" t="n">
        <v>0</v>
      </c>
      <c r="N5505" t="n">
        <v>0</v>
      </c>
      <c r="O5505" t="n">
        <v>0</v>
      </c>
      <c r="P5505" t="n">
        <v>0</v>
      </c>
      <c r="Q5505" t="n">
        <v>0</v>
      </c>
      <c r="R5505" s="2" t="inlineStr"/>
    </row>
    <row r="5506" ht="15" customHeight="1">
      <c r="A5506" t="inlineStr">
        <is>
          <t>A 19485-2024</t>
        </is>
      </c>
      <c r="B5506" s="1" t="n">
        <v>45429</v>
      </c>
      <c r="C5506" s="1" t="n">
        <v>45846</v>
      </c>
      <c r="D5506" t="inlineStr">
        <is>
          <t>UPPSALA LÄN</t>
        </is>
      </c>
      <c r="E5506" t="inlineStr">
        <is>
          <t>HEBY</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19376-2024</t>
        </is>
      </c>
      <c r="B5507" s="1" t="n">
        <v>45429</v>
      </c>
      <c r="C5507" s="1" t="n">
        <v>45846</v>
      </c>
      <c r="D5507" t="inlineStr">
        <is>
          <t>UPPSALA LÄN</t>
        </is>
      </c>
      <c r="E5507" t="inlineStr">
        <is>
          <t>ENKÖPING</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19414-2024</t>
        </is>
      </c>
      <c r="B5508" s="1" t="n">
        <v>45429</v>
      </c>
      <c r="C5508" s="1" t="n">
        <v>45846</v>
      </c>
      <c r="D5508" t="inlineStr">
        <is>
          <t>UPPSALA LÄN</t>
        </is>
      </c>
      <c r="E5508" t="inlineStr">
        <is>
          <t>UPPSALA</t>
        </is>
      </c>
      <c r="F5508" t="inlineStr">
        <is>
          <t>Kyrkan</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19539-2024</t>
        </is>
      </c>
      <c r="B5509" s="1" t="n">
        <v>45429</v>
      </c>
      <c r="C5509" s="1" t="n">
        <v>45846</v>
      </c>
      <c r="D5509" t="inlineStr">
        <is>
          <t>UPPSALA LÄN</t>
        </is>
      </c>
      <c r="E5509" t="inlineStr">
        <is>
          <t>UPPSALA</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19662-2024</t>
        </is>
      </c>
      <c r="B5510" s="1" t="n">
        <v>45432</v>
      </c>
      <c r="C5510" s="1" t="n">
        <v>45846</v>
      </c>
      <c r="D5510" t="inlineStr">
        <is>
          <t>UPPSALA LÄN</t>
        </is>
      </c>
      <c r="E5510" t="inlineStr">
        <is>
          <t>ÖSTHAMMAR</t>
        </is>
      </c>
      <c r="G5510" t="n">
        <v>6.9</v>
      </c>
      <c r="H5510" t="n">
        <v>0</v>
      </c>
      <c r="I5510" t="n">
        <v>0</v>
      </c>
      <c r="J5510" t="n">
        <v>0</v>
      </c>
      <c r="K5510" t="n">
        <v>0</v>
      </c>
      <c r="L5510" t="n">
        <v>0</v>
      </c>
      <c r="M5510" t="n">
        <v>0</v>
      </c>
      <c r="N5510" t="n">
        <v>0</v>
      </c>
      <c r="O5510" t="n">
        <v>0</v>
      </c>
      <c r="P5510" t="n">
        <v>0</v>
      </c>
      <c r="Q5510" t="n">
        <v>0</v>
      </c>
      <c r="R5510" s="2" t="inlineStr"/>
    </row>
    <row r="5511" ht="15" customHeight="1">
      <c r="A5511" t="inlineStr">
        <is>
          <t>A 19667-2024</t>
        </is>
      </c>
      <c r="B5511" s="1" t="n">
        <v>45432</v>
      </c>
      <c r="C5511" s="1" t="n">
        <v>45846</v>
      </c>
      <c r="D5511" t="inlineStr">
        <is>
          <t>UPPSALA LÄN</t>
        </is>
      </c>
      <c r="E5511" t="inlineStr">
        <is>
          <t>ÖSTHAMMAR</t>
        </is>
      </c>
      <c r="G5511" t="n">
        <v>7.1</v>
      </c>
      <c r="H5511" t="n">
        <v>0</v>
      </c>
      <c r="I5511" t="n">
        <v>0</v>
      </c>
      <c r="J5511" t="n">
        <v>0</v>
      </c>
      <c r="K5511" t="n">
        <v>0</v>
      </c>
      <c r="L5511" t="n">
        <v>0</v>
      </c>
      <c r="M5511" t="n">
        <v>0</v>
      </c>
      <c r="N5511" t="n">
        <v>0</v>
      </c>
      <c r="O5511" t="n">
        <v>0</v>
      </c>
      <c r="P5511" t="n">
        <v>0</v>
      </c>
      <c r="Q5511" t="n">
        <v>0</v>
      </c>
      <c r="R5511" s="2" t="inlineStr"/>
    </row>
    <row r="5512" ht="15" customHeight="1">
      <c r="A5512" t="inlineStr">
        <is>
          <t>A 19758-2024</t>
        </is>
      </c>
      <c r="B5512" s="1" t="n">
        <v>45432</v>
      </c>
      <c r="C5512" s="1" t="n">
        <v>45846</v>
      </c>
      <c r="D5512" t="inlineStr">
        <is>
          <t>UPPSALA LÄN</t>
        </is>
      </c>
      <c r="E5512" t="inlineStr">
        <is>
          <t>TIERP</t>
        </is>
      </c>
      <c r="G5512" t="n">
        <v>5.6</v>
      </c>
      <c r="H5512" t="n">
        <v>0</v>
      </c>
      <c r="I5512" t="n">
        <v>0</v>
      </c>
      <c r="J5512" t="n">
        <v>0</v>
      </c>
      <c r="K5512" t="n">
        <v>0</v>
      </c>
      <c r="L5512" t="n">
        <v>0</v>
      </c>
      <c r="M5512" t="n">
        <v>0</v>
      </c>
      <c r="N5512" t="n">
        <v>0</v>
      </c>
      <c r="O5512" t="n">
        <v>0</v>
      </c>
      <c r="P5512" t="n">
        <v>0</v>
      </c>
      <c r="Q5512" t="n">
        <v>0</v>
      </c>
      <c r="R5512" s="2" t="inlineStr"/>
    </row>
    <row r="5513" ht="15" customHeight="1">
      <c r="A5513" t="inlineStr">
        <is>
          <t>A 19766-2024</t>
        </is>
      </c>
      <c r="B5513" s="1" t="n">
        <v>45432</v>
      </c>
      <c r="C5513" s="1" t="n">
        <v>45846</v>
      </c>
      <c r="D5513" t="inlineStr">
        <is>
          <t>UPPSALA LÄN</t>
        </is>
      </c>
      <c r="E5513" t="inlineStr">
        <is>
          <t>TIERP</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19908-2024</t>
        </is>
      </c>
      <c r="B5514" s="1" t="n">
        <v>45433</v>
      </c>
      <c r="C5514" s="1" t="n">
        <v>45846</v>
      </c>
      <c r="D5514" t="inlineStr">
        <is>
          <t>UPPSALA LÄN</t>
        </is>
      </c>
      <c r="E5514" t="inlineStr">
        <is>
          <t>ÖSTHAMMAR</t>
        </is>
      </c>
      <c r="F5514" t="inlineStr">
        <is>
          <t>Bergvik skog öst AB</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19950-2024</t>
        </is>
      </c>
      <c r="B5515" s="1" t="n">
        <v>45433</v>
      </c>
      <c r="C5515" s="1" t="n">
        <v>45846</v>
      </c>
      <c r="D5515" t="inlineStr">
        <is>
          <t>UPPSALA LÄN</t>
        </is>
      </c>
      <c r="E5515" t="inlineStr">
        <is>
          <t>ÖSTHAMMAR</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19947-2024</t>
        </is>
      </c>
      <c r="B5516" s="1" t="n">
        <v>45433</v>
      </c>
      <c r="C5516" s="1" t="n">
        <v>45846</v>
      </c>
      <c r="D5516" t="inlineStr">
        <is>
          <t>UPPSALA LÄN</t>
        </is>
      </c>
      <c r="E5516" t="inlineStr">
        <is>
          <t>ÖSTHAMMAR</t>
        </is>
      </c>
      <c r="G5516" t="n">
        <v>0.3</v>
      </c>
      <c r="H5516" t="n">
        <v>0</v>
      </c>
      <c r="I5516" t="n">
        <v>0</v>
      </c>
      <c r="J5516" t="n">
        <v>0</v>
      </c>
      <c r="K5516" t="n">
        <v>0</v>
      </c>
      <c r="L5516" t="n">
        <v>0</v>
      </c>
      <c r="M5516" t="n">
        <v>0</v>
      </c>
      <c r="N5516" t="n">
        <v>0</v>
      </c>
      <c r="O5516" t="n">
        <v>0</v>
      </c>
      <c r="P5516" t="n">
        <v>0</v>
      </c>
      <c r="Q5516" t="n">
        <v>0</v>
      </c>
      <c r="R5516" s="2" t="inlineStr"/>
    </row>
    <row r="5517" ht="15" customHeight="1">
      <c r="A5517" t="inlineStr">
        <is>
          <t>A 19945-2024</t>
        </is>
      </c>
      <c r="B5517" s="1" t="n">
        <v>45433</v>
      </c>
      <c r="C5517" s="1" t="n">
        <v>45846</v>
      </c>
      <c r="D5517" t="inlineStr">
        <is>
          <t>UPPSALA LÄN</t>
        </is>
      </c>
      <c r="E5517" t="inlineStr">
        <is>
          <t>ÖSTHAMMAR</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20112-2024</t>
        </is>
      </c>
      <c r="B5518" s="1" t="n">
        <v>45434</v>
      </c>
      <c r="C5518" s="1" t="n">
        <v>45846</v>
      </c>
      <c r="D5518" t="inlineStr">
        <is>
          <t>UPPSALA LÄN</t>
        </is>
      </c>
      <c r="E5518" t="inlineStr">
        <is>
          <t>ENKÖPING</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20105-2024</t>
        </is>
      </c>
      <c r="B5519" s="1" t="n">
        <v>45434</v>
      </c>
      <c r="C5519" s="1" t="n">
        <v>45846</v>
      </c>
      <c r="D5519" t="inlineStr">
        <is>
          <t>UPPSALA LÄN</t>
        </is>
      </c>
      <c r="E5519" t="inlineStr">
        <is>
          <t>ENKÖPING</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20316-2024</t>
        </is>
      </c>
      <c r="B5520" s="1" t="n">
        <v>45435</v>
      </c>
      <c r="C5520" s="1" t="n">
        <v>45846</v>
      </c>
      <c r="D5520" t="inlineStr">
        <is>
          <t>UPPSALA LÄN</t>
        </is>
      </c>
      <c r="E5520" t="inlineStr">
        <is>
          <t>ÖSTHAMMAR</t>
        </is>
      </c>
      <c r="F5520" t="inlineStr">
        <is>
          <t>Bergvik skog öst AB</t>
        </is>
      </c>
      <c r="G5520" t="n">
        <v>5</v>
      </c>
      <c r="H5520" t="n">
        <v>0</v>
      </c>
      <c r="I5520" t="n">
        <v>0</v>
      </c>
      <c r="J5520" t="n">
        <v>0</v>
      </c>
      <c r="K5520" t="n">
        <v>0</v>
      </c>
      <c r="L5520" t="n">
        <v>0</v>
      </c>
      <c r="M5520" t="n">
        <v>0</v>
      </c>
      <c r="N5520" t="n">
        <v>0</v>
      </c>
      <c r="O5520" t="n">
        <v>0</v>
      </c>
      <c r="P5520" t="n">
        <v>0</v>
      </c>
      <c r="Q5520" t="n">
        <v>0</v>
      </c>
      <c r="R5520" s="2" t="inlineStr"/>
    </row>
    <row r="5521" ht="15" customHeight="1">
      <c r="A5521" t="inlineStr">
        <is>
          <t>A 20466-2024</t>
        </is>
      </c>
      <c r="B5521" s="1" t="n">
        <v>45435</v>
      </c>
      <c r="C5521" s="1" t="n">
        <v>45846</v>
      </c>
      <c r="D5521" t="inlineStr">
        <is>
          <t>UPPSALA LÄN</t>
        </is>
      </c>
      <c r="E5521" t="inlineStr">
        <is>
          <t>UPPSALA</t>
        </is>
      </c>
      <c r="F5521" t="inlineStr">
        <is>
          <t>Holmen skog AB</t>
        </is>
      </c>
      <c r="G5521" t="n">
        <v>10.6</v>
      </c>
      <c r="H5521" t="n">
        <v>0</v>
      </c>
      <c r="I5521" t="n">
        <v>0</v>
      </c>
      <c r="J5521" t="n">
        <v>0</v>
      </c>
      <c r="K5521" t="n">
        <v>0</v>
      </c>
      <c r="L5521" t="n">
        <v>0</v>
      </c>
      <c r="M5521" t="n">
        <v>0</v>
      </c>
      <c r="N5521" t="n">
        <v>0</v>
      </c>
      <c r="O5521" t="n">
        <v>0</v>
      </c>
      <c r="P5521" t="n">
        <v>0</v>
      </c>
      <c r="Q5521" t="n">
        <v>0</v>
      </c>
      <c r="R5521" s="2" t="inlineStr"/>
    </row>
    <row r="5522" ht="15" customHeight="1">
      <c r="A5522" t="inlineStr">
        <is>
          <t>A 20297-2024</t>
        </is>
      </c>
      <c r="B5522" s="1" t="n">
        <v>45435</v>
      </c>
      <c r="C5522" s="1" t="n">
        <v>45846</v>
      </c>
      <c r="D5522" t="inlineStr">
        <is>
          <t>UPPSALA LÄN</t>
        </is>
      </c>
      <c r="E5522" t="inlineStr">
        <is>
          <t>UPPSALA</t>
        </is>
      </c>
      <c r="F5522" t="inlineStr">
        <is>
          <t>Kyrkan</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20301-2024</t>
        </is>
      </c>
      <c r="B5523" s="1" t="n">
        <v>45435</v>
      </c>
      <c r="C5523" s="1" t="n">
        <v>45846</v>
      </c>
      <c r="D5523" t="inlineStr">
        <is>
          <t>UPPSALA LÄN</t>
        </is>
      </c>
      <c r="E5523" t="inlineStr">
        <is>
          <t>UPPSALA</t>
        </is>
      </c>
      <c r="F5523" t="inlineStr">
        <is>
          <t>Kyrkan</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20375-2024</t>
        </is>
      </c>
      <c r="B5524" s="1" t="n">
        <v>45435</v>
      </c>
      <c r="C5524" s="1" t="n">
        <v>45846</v>
      </c>
      <c r="D5524" t="inlineStr">
        <is>
          <t>UPPSALA LÄN</t>
        </is>
      </c>
      <c r="E5524" t="inlineStr">
        <is>
          <t>UPPSALA</t>
        </is>
      </c>
      <c r="F5524" t="inlineStr">
        <is>
          <t>Holmen skog AB</t>
        </is>
      </c>
      <c r="G5524" t="n">
        <v>6.9</v>
      </c>
      <c r="H5524" t="n">
        <v>0</v>
      </c>
      <c r="I5524" t="n">
        <v>0</v>
      </c>
      <c r="J5524" t="n">
        <v>0</v>
      </c>
      <c r="K5524" t="n">
        <v>0</v>
      </c>
      <c r="L5524" t="n">
        <v>0</v>
      </c>
      <c r="M5524" t="n">
        <v>0</v>
      </c>
      <c r="N5524" t="n">
        <v>0</v>
      </c>
      <c r="O5524" t="n">
        <v>0</v>
      </c>
      <c r="P5524" t="n">
        <v>0</v>
      </c>
      <c r="Q5524" t="n">
        <v>0</v>
      </c>
      <c r="R5524" s="2" t="inlineStr"/>
    </row>
    <row r="5525" ht="15" customHeight="1">
      <c r="A5525" t="inlineStr">
        <is>
          <t>A 20326-2024</t>
        </is>
      </c>
      <c r="B5525" s="1" t="n">
        <v>45435</v>
      </c>
      <c r="C5525" s="1" t="n">
        <v>45846</v>
      </c>
      <c r="D5525" t="inlineStr">
        <is>
          <t>UPPSALA LÄN</t>
        </is>
      </c>
      <c r="E5525" t="inlineStr">
        <is>
          <t>TIERP</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20419-2024</t>
        </is>
      </c>
      <c r="B5526" s="1" t="n">
        <v>45435</v>
      </c>
      <c r="C5526" s="1" t="n">
        <v>45846</v>
      </c>
      <c r="D5526" t="inlineStr">
        <is>
          <t>UPPSALA LÄN</t>
        </is>
      </c>
      <c r="E5526" t="inlineStr">
        <is>
          <t>ÖSTHAMMAR</t>
        </is>
      </c>
      <c r="F5526" t="inlineStr">
        <is>
          <t>Bergvik skog öst AB</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20459-2024</t>
        </is>
      </c>
      <c r="B5527" s="1" t="n">
        <v>45435</v>
      </c>
      <c r="C5527" s="1" t="n">
        <v>45846</v>
      </c>
      <c r="D5527" t="inlineStr">
        <is>
          <t>UPPSALA LÄN</t>
        </is>
      </c>
      <c r="E5527" t="inlineStr">
        <is>
          <t>UPPSALA</t>
        </is>
      </c>
      <c r="F5527" t="inlineStr">
        <is>
          <t>Kyrkan</t>
        </is>
      </c>
      <c r="G5527" t="n">
        <v>15.8</v>
      </c>
      <c r="H5527" t="n">
        <v>0</v>
      </c>
      <c r="I5527" t="n">
        <v>0</v>
      </c>
      <c r="J5527" t="n">
        <v>0</v>
      </c>
      <c r="K5527" t="n">
        <v>0</v>
      </c>
      <c r="L5527" t="n">
        <v>0</v>
      </c>
      <c r="M5527" t="n">
        <v>0</v>
      </c>
      <c r="N5527" t="n">
        <v>0</v>
      </c>
      <c r="O5527" t="n">
        <v>0</v>
      </c>
      <c r="P5527" t="n">
        <v>0</v>
      </c>
      <c r="Q5527" t="n">
        <v>0</v>
      </c>
      <c r="R5527" s="2" t="inlineStr"/>
    </row>
    <row r="5528" ht="15" customHeight="1">
      <c r="A5528" t="inlineStr">
        <is>
          <t>A 20458-2024</t>
        </is>
      </c>
      <c r="B5528" s="1" t="n">
        <v>45435</v>
      </c>
      <c r="C5528" s="1" t="n">
        <v>45846</v>
      </c>
      <c r="D5528" t="inlineStr">
        <is>
          <t>UPPSALA LÄN</t>
        </is>
      </c>
      <c r="E5528" t="inlineStr">
        <is>
          <t>UPPSALA</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20658-2024</t>
        </is>
      </c>
      <c r="B5529" s="1" t="n">
        <v>45436</v>
      </c>
      <c r="C5529" s="1" t="n">
        <v>45846</v>
      </c>
      <c r="D5529" t="inlineStr">
        <is>
          <t>UPPSALA LÄN</t>
        </is>
      </c>
      <c r="E5529" t="inlineStr">
        <is>
          <t>TIERP</t>
        </is>
      </c>
      <c r="F5529" t="inlineStr">
        <is>
          <t>Bergvik skog väst AB</t>
        </is>
      </c>
      <c r="G5529" t="n">
        <v>6.2</v>
      </c>
      <c r="H5529" t="n">
        <v>0</v>
      </c>
      <c r="I5529" t="n">
        <v>0</v>
      </c>
      <c r="J5529" t="n">
        <v>0</v>
      </c>
      <c r="K5529" t="n">
        <v>0</v>
      </c>
      <c r="L5529" t="n">
        <v>0</v>
      </c>
      <c r="M5529" t="n">
        <v>0</v>
      </c>
      <c r="N5529" t="n">
        <v>0</v>
      </c>
      <c r="O5529" t="n">
        <v>0</v>
      </c>
      <c r="P5529" t="n">
        <v>0</v>
      </c>
      <c r="Q5529" t="n">
        <v>0</v>
      </c>
      <c r="R5529" s="2" t="inlineStr"/>
    </row>
    <row r="5530" ht="15" customHeight="1">
      <c r="A5530" t="inlineStr">
        <is>
          <t>A 20634-2024</t>
        </is>
      </c>
      <c r="B5530" s="1" t="n">
        <v>45436</v>
      </c>
      <c r="C5530" s="1" t="n">
        <v>45846</v>
      </c>
      <c r="D5530" t="inlineStr">
        <is>
          <t>UPPSALA LÄN</t>
        </is>
      </c>
      <c r="E5530" t="inlineStr">
        <is>
          <t>ÖSTHAMMAR</t>
        </is>
      </c>
      <c r="G5530" t="n">
        <v>6.5</v>
      </c>
      <c r="H5530" t="n">
        <v>0</v>
      </c>
      <c r="I5530" t="n">
        <v>0</v>
      </c>
      <c r="J5530" t="n">
        <v>0</v>
      </c>
      <c r="K5530" t="n">
        <v>0</v>
      </c>
      <c r="L5530" t="n">
        <v>0</v>
      </c>
      <c r="M5530" t="n">
        <v>0</v>
      </c>
      <c r="N5530" t="n">
        <v>0</v>
      </c>
      <c r="O5530" t="n">
        <v>0</v>
      </c>
      <c r="P5530" t="n">
        <v>0</v>
      </c>
      <c r="Q5530" t="n">
        <v>0</v>
      </c>
      <c r="R5530" s="2" t="inlineStr"/>
    </row>
    <row r="5531" ht="15" customHeight="1">
      <c r="A5531" t="inlineStr">
        <is>
          <t>A 20711-2024</t>
        </is>
      </c>
      <c r="B5531" s="1" t="n">
        <v>45436</v>
      </c>
      <c r="C5531" s="1" t="n">
        <v>45846</v>
      </c>
      <c r="D5531" t="inlineStr">
        <is>
          <t>UPPSALA LÄN</t>
        </is>
      </c>
      <c r="E5531" t="inlineStr">
        <is>
          <t>UPPSALA</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20565-2024</t>
        </is>
      </c>
      <c r="B5532" s="1" t="n">
        <v>45436</v>
      </c>
      <c r="C5532" s="1" t="n">
        <v>45846</v>
      </c>
      <c r="D5532" t="inlineStr">
        <is>
          <t>UPPSALA LÄN</t>
        </is>
      </c>
      <c r="E5532" t="inlineStr">
        <is>
          <t>TIERP</t>
        </is>
      </c>
      <c r="F5532" t="inlineStr">
        <is>
          <t>Bergvik skog väst AB</t>
        </is>
      </c>
      <c r="G5532" t="n">
        <v>15.6</v>
      </c>
      <c r="H5532" t="n">
        <v>0</v>
      </c>
      <c r="I5532" t="n">
        <v>0</v>
      </c>
      <c r="J5532" t="n">
        <v>0</v>
      </c>
      <c r="K5532" t="n">
        <v>0</v>
      </c>
      <c r="L5532" t="n">
        <v>0</v>
      </c>
      <c r="M5532" t="n">
        <v>0</v>
      </c>
      <c r="N5532" t="n">
        <v>0</v>
      </c>
      <c r="O5532" t="n">
        <v>0</v>
      </c>
      <c r="P5532" t="n">
        <v>0</v>
      </c>
      <c r="Q5532" t="n">
        <v>0</v>
      </c>
      <c r="R5532" s="2" t="inlineStr"/>
    </row>
    <row r="5533" ht="15" customHeight="1">
      <c r="A5533" t="inlineStr">
        <is>
          <t>A 20536-2024</t>
        </is>
      </c>
      <c r="B5533" s="1" t="n">
        <v>45436</v>
      </c>
      <c r="C5533" s="1" t="n">
        <v>45846</v>
      </c>
      <c r="D5533" t="inlineStr">
        <is>
          <t>UPPSALA LÄN</t>
        </is>
      </c>
      <c r="E5533" t="inlineStr">
        <is>
          <t>KNIVSTA</t>
        </is>
      </c>
      <c r="G5533" t="n">
        <v>6.3</v>
      </c>
      <c r="H5533" t="n">
        <v>0</v>
      </c>
      <c r="I5533" t="n">
        <v>0</v>
      </c>
      <c r="J5533" t="n">
        <v>0</v>
      </c>
      <c r="K5533" t="n">
        <v>0</v>
      </c>
      <c r="L5533" t="n">
        <v>0</v>
      </c>
      <c r="M5533" t="n">
        <v>0</v>
      </c>
      <c r="N5533" t="n">
        <v>0</v>
      </c>
      <c r="O5533" t="n">
        <v>0</v>
      </c>
      <c r="P5533" t="n">
        <v>0</v>
      </c>
      <c r="Q5533" t="n">
        <v>0</v>
      </c>
      <c r="R5533" s="2" t="inlineStr"/>
    </row>
    <row r="5534" ht="15" customHeight="1">
      <c r="A5534" t="inlineStr">
        <is>
          <t>A 20851-2024</t>
        </is>
      </c>
      <c r="B5534" s="1" t="n">
        <v>45439</v>
      </c>
      <c r="C5534" s="1" t="n">
        <v>45846</v>
      </c>
      <c r="D5534" t="inlineStr">
        <is>
          <t>UPPSALA LÄN</t>
        </is>
      </c>
      <c r="E5534" t="inlineStr">
        <is>
          <t>UPPSALA</t>
        </is>
      </c>
      <c r="F5534" t="inlineStr">
        <is>
          <t>Holmen skog AB</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20887-2024</t>
        </is>
      </c>
      <c r="B5535" s="1" t="n">
        <v>45439</v>
      </c>
      <c r="C5535" s="1" t="n">
        <v>45846</v>
      </c>
      <c r="D5535" t="inlineStr">
        <is>
          <t>UPPSALA LÄN</t>
        </is>
      </c>
      <c r="E5535" t="inlineStr">
        <is>
          <t>HEBY</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20902-2024</t>
        </is>
      </c>
      <c r="B5536" s="1" t="n">
        <v>45439</v>
      </c>
      <c r="C5536" s="1" t="n">
        <v>45846</v>
      </c>
      <c r="D5536" t="inlineStr">
        <is>
          <t>UPPSALA LÄN</t>
        </is>
      </c>
      <c r="E5536" t="inlineStr">
        <is>
          <t>KNIVSTA</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20935-2024</t>
        </is>
      </c>
      <c r="B5537" s="1" t="n">
        <v>45439</v>
      </c>
      <c r="C5537" s="1" t="n">
        <v>45846</v>
      </c>
      <c r="D5537" t="inlineStr">
        <is>
          <t>UPPSALA LÄN</t>
        </is>
      </c>
      <c r="E5537" t="inlineStr">
        <is>
          <t>HEBY</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20864-2024</t>
        </is>
      </c>
      <c r="B5538" s="1" t="n">
        <v>45439</v>
      </c>
      <c r="C5538" s="1" t="n">
        <v>45846</v>
      </c>
      <c r="D5538" t="inlineStr">
        <is>
          <t>UPPSALA LÄN</t>
        </is>
      </c>
      <c r="E5538" t="inlineStr">
        <is>
          <t>HEBY</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20860-2024</t>
        </is>
      </c>
      <c r="B5539" s="1" t="n">
        <v>45439</v>
      </c>
      <c r="C5539" s="1" t="n">
        <v>45846</v>
      </c>
      <c r="D5539" t="inlineStr">
        <is>
          <t>UPPSALA LÄN</t>
        </is>
      </c>
      <c r="E5539" t="inlineStr">
        <is>
          <t>TIERP</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21015-2024</t>
        </is>
      </c>
      <c r="B5540" s="1" t="n">
        <v>45439</v>
      </c>
      <c r="C5540" s="1" t="n">
        <v>45846</v>
      </c>
      <c r="D5540" t="inlineStr">
        <is>
          <t>UPPSALA LÄN</t>
        </is>
      </c>
      <c r="E5540" t="inlineStr">
        <is>
          <t>UPPSALA</t>
        </is>
      </c>
      <c r="G5540" t="n">
        <v>4.1</v>
      </c>
      <c r="H5540" t="n">
        <v>0</v>
      </c>
      <c r="I5540" t="n">
        <v>0</v>
      </c>
      <c r="J5540" t="n">
        <v>0</v>
      </c>
      <c r="K5540" t="n">
        <v>0</v>
      </c>
      <c r="L5540" t="n">
        <v>0</v>
      </c>
      <c r="M5540" t="n">
        <v>0</v>
      </c>
      <c r="N5540" t="n">
        <v>0</v>
      </c>
      <c r="O5540" t="n">
        <v>0</v>
      </c>
      <c r="P5540" t="n">
        <v>0</v>
      </c>
      <c r="Q5540" t="n">
        <v>0</v>
      </c>
      <c r="R5540" s="2" t="inlineStr"/>
    </row>
    <row r="5541" ht="15" customHeight="1">
      <c r="A5541" t="inlineStr">
        <is>
          <t>A 20857-2024</t>
        </is>
      </c>
      <c r="B5541" s="1" t="n">
        <v>45439</v>
      </c>
      <c r="C5541" s="1" t="n">
        <v>45846</v>
      </c>
      <c r="D5541" t="inlineStr">
        <is>
          <t>UPPSALA LÄN</t>
        </is>
      </c>
      <c r="E5541" t="inlineStr">
        <is>
          <t>TIERP</t>
        </is>
      </c>
      <c r="G5541" t="n">
        <v>9</v>
      </c>
      <c r="H5541" t="n">
        <v>0</v>
      </c>
      <c r="I5541" t="n">
        <v>0</v>
      </c>
      <c r="J5541" t="n">
        <v>0</v>
      </c>
      <c r="K5541" t="n">
        <v>0</v>
      </c>
      <c r="L5541" t="n">
        <v>0</v>
      </c>
      <c r="M5541" t="n">
        <v>0</v>
      </c>
      <c r="N5541" t="n">
        <v>0</v>
      </c>
      <c r="O5541" t="n">
        <v>0</v>
      </c>
      <c r="P5541" t="n">
        <v>0</v>
      </c>
      <c r="Q5541" t="n">
        <v>0</v>
      </c>
      <c r="R5541" s="2" t="inlineStr"/>
    </row>
    <row r="5542" ht="15" customHeight="1">
      <c r="A5542" t="inlineStr">
        <is>
          <t>A 20883-2024</t>
        </is>
      </c>
      <c r="B5542" s="1" t="n">
        <v>45439</v>
      </c>
      <c r="C5542" s="1" t="n">
        <v>45846</v>
      </c>
      <c r="D5542" t="inlineStr">
        <is>
          <t>UPPSALA LÄN</t>
        </is>
      </c>
      <c r="E5542" t="inlineStr">
        <is>
          <t>HEBY</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20903-2024</t>
        </is>
      </c>
      <c r="B5543" s="1" t="n">
        <v>45439</v>
      </c>
      <c r="C5543" s="1" t="n">
        <v>45846</v>
      </c>
      <c r="D5543" t="inlineStr">
        <is>
          <t>UPPSALA LÄN</t>
        </is>
      </c>
      <c r="E5543" t="inlineStr">
        <is>
          <t>UPPSALA</t>
        </is>
      </c>
      <c r="F5543" t="inlineStr">
        <is>
          <t>Holmen skog AB</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20898-2024</t>
        </is>
      </c>
      <c r="B5544" s="1" t="n">
        <v>45439</v>
      </c>
      <c r="C5544" s="1" t="n">
        <v>45846</v>
      </c>
      <c r="D5544" t="inlineStr">
        <is>
          <t>UPPSALA LÄN</t>
        </is>
      </c>
      <c r="E5544" t="inlineStr">
        <is>
          <t>HEBY</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20894-2024</t>
        </is>
      </c>
      <c r="B5545" s="1" t="n">
        <v>45439</v>
      </c>
      <c r="C5545" s="1" t="n">
        <v>45846</v>
      </c>
      <c r="D5545" t="inlineStr">
        <is>
          <t>UPPSALA LÄN</t>
        </is>
      </c>
      <c r="E5545" t="inlineStr">
        <is>
          <t>HEBY</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20866-2024</t>
        </is>
      </c>
      <c r="B5546" s="1" t="n">
        <v>45439</v>
      </c>
      <c r="C5546" s="1" t="n">
        <v>45846</v>
      </c>
      <c r="D5546" t="inlineStr">
        <is>
          <t>UPPSALA LÄN</t>
        </is>
      </c>
      <c r="E5546" t="inlineStr">
        <is>
          <t>HEBY</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20854-2024</t>
        </is>
      </c>
      <c r="B5547" s="1" t="n">
        <v>45439</v>
      </c>
      <c r="C5547" s="1" t="n">
        <v>45846</v>
      </c>
      <c r="D5547" t="inlineStr">
        <is>
          <t>UPPSALA LÄN</t>
        </is>
      </c>
      <c r="E5547" t="inlineStr">
        <is>
          <t>TIERP</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20850-2024</t>
        </is>
      </c>
      <c r="B5548" s="1" t="n">
        <v>45439</v>
      </c>
      <c r="C5548" s="1" t="n">
        <v>45846</v>
      </c>
      <c r="D5548" t="inlineStr">
        <is>
          <t>UPPSALA LÄN</t>
        </is>
      </c>
      <c r="E5548" t="inlineStr">
        <is>
          <t>TIERP</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20846-2024</t>
        </is>
      </c>
      <c r="B5549" s="1" t="n">
        <v>45439</v>
      </c>
      <c r="C5549" s="1" t="n">
        <v>45846</v>
      </c>
      <c r="D5549" t="inlineStr">
        <is>
          <t>UPPSALA LÄN</t>
        </is>
      </c>
      <c r="E5549" t="inlineStr">
        <is>
          <t>TIERP</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21182-2024</t>
        </is>
      </c>
      <c r="B5550" s="1" t="n">
        <v>45440</v>
      </c>
      <c r="C5550" s="1" t="n">
        <v>45846</v>
      </c>
      <c r="D5550" t="inlineStr">
        <is>
          <t>UPPSALA LÄN</t>
        </is>
      </c>
      <c r="E5550" t="inlineStr">
        <is>
          <t>UPPSALA</t>
        </is>
      </c>
      <c r="F5550" t="inlineStr">
        <is>
          <t>Holmen skog AB</t>
        </is>
      </c>
      <c r="G5550" t="n">
        <v>7.9</v>
      </c>
      <c r="H5550" t="n">
        <v>0</v>
      </c>
      <c r="I5550" t="n">
        <v>0</v>
      </c>
      <c r="J5550" t="n">
        <v>0</v>
      </c>
      <c r="K5550" t="n">
        <v>0</v>
      </c>
      <c r="L5550" t="n">
        <v>0</v>
      </c>
      <c r="M5550" t="n">
        <v>0</v>
      </c>
      <c r="N5550" t="n">
        <v>0</v>
      </c>
      <c r="O5550" t="n">
        <v>0</v>
      </c>
      <c r="P5550" t="n">
        <v>0</v>
      </c>
      <c r="Q5550" t="n">
        <v>0</v>
      </c>
      <c r="R5550" s="2" t="inlineStr"/>
    </row>
    <row r="5551" ht="15" customHeight="1">
      <c r="A5551" t="inlineStr">
        <is>
          <t>A 21231-2024</t>
        </is>
      </c>
      <c r="B5551" s="1" t="n">
        <v>45440</v>
      </c>
      <c r="C5551" s="1" t="n">
        <v>45846</v>
      </c>
      <c r="D5551" t="inlineStr">
        <is>
          <t>UPPSALA LÄN</t>
        </is>
      </c>
      <c r="E5551" t="inlineStr">
        <is>
          <t>ÖSTHAMMAR</t>
        </is>
      </c>
      <c r="G5551" t="n">
        <v>4.8</v>
      </c>
      <c r="H5551" t="n">
        <v>0</v>
      </c>
      <c r="I5551" t="n">
        <v>0</v>
      </c>
      <c r="J5551" t="n">
        <v>0</v>
      </c>
      <c r="K5551" t="n">
        <v>0</v>
      </c>
      <c r="L5551" t="n">
        <v>0</v>
      </c>
      <c r="M5551" t="n">
        <v>0</v>
      </c>
      <c r="N5551" t="n">
        <v>0</v>
      </c>
      <c r="O5551" t="n">
        <v>0</v>
      </c>
      <c r="P5551" t="n">
        <v>0</v>
      </c>
      <c r="Q5551" t="n">
        <v>0</v>
      </c>
      <c r="R5551" s="2" t="inlineStr"/>
    </row>
    <row r="5552" ht="15" customHeight="1">
      <c r="A5552" t="inlineStr">
        <is>
          <t>A 21139-2024</t>
        </is>
      </c>
      <c r="B5552" s="1" t="n">
        <v>45440</v>
      </c>
      <c r="C5552" s="1" t="n">
        <v>45846</v>
      </c>
      <c r="D5552" t="inlineStr">
        <is>
          <t>UPPSALA LÄN</t>
        </is>
      </c>
      <c r="E5552" t="inlineStr">
        <is>
          <t>TIERP</t>
        </is>
      </c>
      <c r="G5552" t="n">
        <v>7.4</v>
      </c>
      <c r="H5552" t="n">
        <v>0</v>
      </c>
      <c r="I5552" t="n">
        <v>0</v>
      </c>
      <c r="J5552" t="n">
        <v>0</v>
      </c>
      <c r="K5552" t="n">
        <v>0</v>
      </c>
      <c r="L5552" t="n">
        <v>0</v>
      </c>
      <c r="M5552" t="n">
        <v>0</v>
      </c>
      <c r="N5552" t="n">
        <v>0</v>
      </c>
      <c r="O5552" t="n">
        <v>0</v>
      </c>
      <c r="P5552" t="n">
        <v>0</v>
      </c>
      <c r="Q5552" t="n">
        <v>0</v>
      </c>
      <c r="R5552" s="2" t="inlineStr"/>
    </row>
    <row r="5553" ht="15" customHeight="1">
      <c r="A5553" t="inlineStr">
        <is>
          <t>A 21310-2024</t>
        </is>
      </c>
      <c r="B5553" s="1" t="n">
        <v>45440</v>
      </c>
      <c r="C5553" s="1" t="n">
        <v>45846</v>
      </c>
      <c r="D5553" t="inlineStr">
        <is>
          <t>UPPSALA LÄN</t>
        </is>
      </c>
      <c r="E5553" t="inlineStr">
        <is>
          <t>UPPSALA</t>
        </is>
      </c>
      <c r="F5553" t="inlineStr">
        <is>
          <t>Holmen skog AB</t>
        </is>
      </c>
      <c r="G5553" t="n">
        <v>4.4</v>
      </c>
      <c r="H5553" t="n">
        <v>0</v>
      </c>
      <c r="I5553" t="n">
        <v>0</v>
      </c>
      <c r="J5553" t="n">
        <v>0</v>
      </c>
      <c r="K5553" t="n">
        <v>0</v>
      </c>
      <c r="L5553" t="n">
        <v>0</v>
      </c>
      <c r="M5553" t="n">
        <v>0</v>
      </c>
      <c r="N5553" t="n">
        <v>0</v>
      </c>
      <c r="O5553" t="n">
        <v>0</v>
      </c>
      <c r="P5553" t="n">
        <v>0</v>
      </c>
      <c r="Q5553" t="n">
        <v>0</v>
      </c>
      <c r="R5553" s="2" t="inlineStr"/>
    </row>
    <row r="5554" ht="15" customHeight="1">
      <c r="A5554" t="inlineStr">
        <is>
          <t>A 21424-2024</t>
        </is>
      </c>
      <c r="B5554" s="1" t="n">
        <v>45441</v>
      </c>
      <c r="C5554" s="1" t="n">
        <v>45846</v>
      </c>
      <c r="D5554" t="inlineStr">
        <is>
          <t>UPPSALA LÄN</t>
        </is>
      </c>
      <c r="E5554" t="inlineStr">
        <is>
          <t>ÖSTHAMMAR</t>
        </is>
      </c>
      <c r="F5554" t="inlineStr">
        <is>
          <t>Bergvik skog öst AB</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21526-2024</t>
        </is>
      </c>
      <c r="B5555" s="1" t="n">
        <v>45441</v>
      </c>
      <c r="C5555" s="1" t="n">
        <v>45846</v>
      </c>
      <c r="D5555" t="inlineStr">
        <is>
          <t>UPPSALA LÄN</t>
        </is>
      </c>
      <c r="E5555" t="inlineStr">
        <is>
          <t>UPPSALA</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21435-2024</t>
        </is>
      </c>
      <c r="B5556" s="1" t="n">
        <v>45441</v>
      </c>
      <c r="C5556" s="1" t="n">
        <v>45846</v>
      </c>
      <c r="D5556" t="inlineStr">
        <is>
          <t>UPPSALA LÄN</t>
        </is>
      </c>
      <c r="E5556" t="inlineStr">
        <is>
          <t>ENKÖPING</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21413-2024</t>
        </is>
      </c>
      <c r="B5557" s="1" t="n">
        <v>45441</v>
      </c>
      <c r="C5557" s="1" t="n">
        <v>45846</v>
      </c>
      <c r="D5557" t="inlineStr">
        <is>
          <t>UPPSALA LÄN</t>
        </is>
      </c>
      <c r="E5557" t="inlineStr">
        <is>
          <t>ÖSTHAMMAR</t>
        </is>
      </c>
      <c r="F5557" t="inlineStr">
        <is>
          <t>Bergvik skog öst AB</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21547-2024</t>
        </is>
      </c>
      <c r="B5558" s="1" t="n">
        <v>45441</v>
      </c>
      <c r="C5558" s="1" t="n">
        <v>45846</v>
      </c>
      <c r="D5558" t="inlineStr">
        <is>
          <t>UPPSALA LÄN</t>
        </is>
      </c>
      <c r="E5558" t="inlineStr">
        <is>
          <t>ÖSTHAMMAR</t>
        </is>
      </c>
      <c r="F5558" t="inlineStr">
        <is>
          <t>Bergvik skog öst AB</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21555-2024</t>
        </is>
      </c>
      <c r="B5559" s="1" t="n">
        <v>45441</v>
      </c>
      <c r="C5559" s="1" t="n">
        <v>45846</v>
      </c>
      <c r="D5559" t="inlineStr">
        <is>
          <t>UPPSALA LÄN</t>
        </is>
      </c>
      <c r="E5559" t="inlineStr">
        <is>
          <t>UPPSALA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21505-2024</t>
        </is>
      </c>
      <c r="B5560" s="1" t="n">
        <v>45441</v>
      </c>
      <c r="C5560" s="1" t="n">
        <v>45846</v>
      </c>
      <c r="D5560" t="inlineStr">
        <is>
          <t>UPPSALA LÄN</t>
        </is>
      </c>
      <c r="E5560" t="inlineStr">
        <is>
          <t>ÖSTHAMMAR</t>
        </is>
      </c>
      <c r="F5560" t="inlineStr">
        <is>
          <t>Bergvik skog öst AB</t>
        </is>
      </c>
      <c r="G5560" t="n">
        <v>21.7</v>
      </c>
      <c r="H5560" t="n">
        <v>0</v>
      </c>
      <c r="I5560" t="n">
        <v>0</v>
      </c>
      <c r="J5560" t="n">
        <v>0</v>
      </c>
      <c r="K5560" t="n">
        <v>0</v>
      </c>
      <c r="L5560" t="n">
        <v>0</v>
      </c>
      <c r="M5560" t="n">
        <v>0</v>
      </c>
      <c r="N5560" t="n">
        <v>0</v>
      </c>
      <c r="O5560" t="n">
        <v>0</v>
      </c>
      <c r="P5560" t="n">
        <v>0</v>
      </c>
      <c r="Q5560" t="n">
        <v>0</v>
      </c>
      <c r="R5560" s="2" t="inlineStr"/>
    </row>
    <row r="5561" ht="15" customHeight="1">
      <c r="A5561" t="inlineStr">
        <is>
          <t>A 21655-2024</t>
        </is>
      </c>
      <c r="B5561" s="1" t="n">
        <v>45442</v>
      </c>
      <c r="C5561" s="1" t="n">
        <v>45846</v>
      </c>
      <c r="D5561" t="inlineStr">
        <is>
          <t>UPPSALA LÄN</t>
        </is>
      </c>
      <c r="E5561" t="inlineStr">
        <is>
          <t>ÖSTHAMMAR</t>
        </is>
      </c>
      <c r="F5561" t="inlineStr">
        <is>
          <t>Bergvik skog öst AB</t>
        </is>
      </c>
      <c r="G5561" t="n">
        <v>15.2</v>
      </c>
      <c r="H5561" t="n">
        <v>0</v>
      </c>
      <c r="I5561" t="n">
        <v>0</v>
      </c>
      <c r="J5561" t="n">
        <v>0</v>
      </c>
      <c r="K5561" t="n">
        <v>0</v>
      </c>
      <c r="L5561" t="n">
        <v>0</v>
      </c>
      <c r="M5561" t="n">
        <v>0</v>
      </c>
      <c r="N5561" t="n">
        <v>0</v>
      </c>
      <c r="O5561" t="n">
        <v>0</v>
      </c>
      <c r="P5561" t="n">
        <v>0</v>
      </c>
      <c r="Q5561" t="n">
        <v>0</v>
      </c>
      <c r="R5561" s="2" t="inlineStr"/>
    </row>
    <row r="5562" ht="15" customHeight="1">
      <c r="A5562" t="inlineStr">
        <is>
          <t>A 21657-2024</t>
        </is>
      </c>
      <c r="B5562" s="1" t="n">
        <v>45442</v>
      </c>
      <c r="C5562" s="1" t="n">
        <v>45846</v>
      </c>
      <c r="D5562" t="inlineStr">
        <is>
          <t>UPPSALA LÄN</t>
        </is>
      </c>
      <c r="E5562" t="inlineStr">
        <is>
          <t>UPPSALA</t>
        </is>
      </c>
      <c r="G5562" t="n">
        <v>5.7</v>
      </c>
      <c r="H5562" t="n">
        <v>0</v>
      </c>
      <c r="I5562" t="n">
        <v>0</v>
      </c>
      <c r="J5562" t="n">
        <v>0</v>
      </c>
      <c r="K5562" t="n">
        <v>0</v>
      </c>
      <c r="L5562" t="n">
        <v>0</v>
      </c>
      <c r="M5562" t="n">
        <v>0</v>
      </c>
      <c r="N5562" t="n">
        <v>0</v>
      </c>
      <c r="O5562" t="n">
        <v>0</v>
      </c>
      <c r="P5562" t="n">
        <v>0</v>
      </c>
      <c r="Q5562" t="n">
        <v>0</v>
      </c>
      <c r="R5562" s="2" t="inlineStr"/>
    </row>
    <row r="5563" ht="15" customHeight="1">
      <c r="A5563" t="inlineStr">
        <is>
          <t>A 21786-2024</t>
        </is>
      </c>
      <c r="B5563" s="1" t="n">
        <v>45442</v>
      </c>
      <c r="C5563" s="1" t="n">
        <v>45846</v>
      </c>
      <c r="D5563" t="inlineStr">
        <is>
          <t>UPPSALA LÄN</t>
        </is>
      </c>
      <c r="E5563" t="inlineStr">
        <is>
          <t>UPPSALA</t>
        </is>
      </c>
      <c r="F5563" t="inlineStr">
        <is>
          <t>Allmännings- och besparingsskogar</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21641-2024</t>
        </is>
      </c>
      <c r="B5564" s="1" t="n">
        <v>45442</v>
      </c>
      <c r="C5564" s="1" t="n">
        <v>45846</v>
      </c>
      <c r="D5564" t="inlineStr">
        <is>
          <t>UPPSALA LÄN</t>
        </is>
      </c>
      <c r="E5564" t="inlineStr">
        <is>
          <t>UPPSALA</t>
        </is>
      </c>
      <c r="F5564" t="inlineStr">
        <is>
          <t>Kyrkan</t>
        </is>
      </c>
      <c r="G5564" t="n">
        <v>3.6</v>
      </c>
      <c r="H5564" t="n">
        <v>0</v>
      </c>
      <c r="I5564" t="n">
        <v>0</v>
      </c>
      <c r="J5564" t="n">
        <v>0</v>
      </c>
      <c r="K5564" t="n">
        <v>0</v>
      </c>
      <c r="L5564" t="n">
        <v>0</v>
      </c>
      <c r="M5564" t="n">
        <v>0</v>
      </c>
      <c r="N5564" t="n">
        <v>0</v>
      </c>
      <c r="O5564" t="n">
        <v>0</v>
      </c>
      <c r="P5564" t="n">
        <v>0</v>
      </c>
      <c r="Q5564" t="n">
        <v>0</v>
      </c>
      <c r="R5564" s="2" t="inlineStr"/>
    </row>
    <row r="5565" ht="15" customHeight="1">
      <c r="A5565" t="inlineStr">
        <is>
          <t>A 22057-2024</t>
        </is>
      </c>
      <c r="B5565" s="1" t="n">
        <v>45443</v>
      </c>
      <c r="C5565" s="1" t="n">
        <v>45846</v>
      </c>
      <c r="D5565" t="inlineStr">
        <is>
          <t>UPPSALA LÄN</t>
        </is>
      </c>
      <c r="E5565" t="inlineStr">
        <is>
          <t>ÖSTHAMMAR</t>
        </is>
      </c>
      <c r="F5565" t="inlineStr">
        <is>
          <t>Bergvik skog öst AB</t>
        </is>
      </c>
      <c r="G5565" t="n">
        <v>9</v>
      </c>
      <c r="H5565" t="n">
        <v>0</v>
      </c>
      <c r="I5565" t="n">
        <v>0</v>
      </c>
      <c r="J5565" t="n">
        <v>0</v>
      </c>
      <c r="K5565" t="n">
        <v>0</v>
      </c>
      <c r="L5565" t="n">
        <v>0</v>
      </c>
      <c r="M5565" t="n">
        <v>0</v>
      </c>
      <c r="N5565" t="n">
        <v>0</v>
      </c>
      <c r="O5565" t="n">
        <v>0</v>
      </c>
      <c r="P5565" t="n">
        <v>0</v>
      </c>
      <c r="Q5565" t="n">
        <v>0</v>
      </c>
      <c r="R5565" s="2" t="inlineStr"/>
    </row>
    <row r="5566" ht="15" customHeight="1">
      <c r="A5566" t="inlineStr">
        <is>
          <t>A 21859-2024</t>
        </is>
      </c>
      <c r="B5566" s="1" t="n">
        <v>45443</v>
      </c>
      <c r="C5566" s="1" t="n">
        <v>45846</v>
      </c>
      <c r="D5566" t="inlineStr">
        <is>
          <t>UPPSALA LÄN</t>
        </is>
      </c>
      <c r="E5566" t="inlineStr">
        <is>
          <t>UPPSALA</t>
        </is>
      </c>
      <c r="F5566" t="inlineStr">
        <is>
          <t>Kyrkan</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21892-2024</t>
        </is>
      </c>
      <c r="B5567" s="1" t="n">
        <v>45443</v>
      </c>
      <c r="C5567" s="1" t="n">
        <v>45846</v>
      </c>
      <c r="D5567" t="inlineStr">
        <is>
          <t>UPPSALA LÄN</t>
        </is>
      </c>
      <c r="E5567" t="inlineStr">
        <is>
          <t>TIERP</t>
        </is>
      </c>
      <c r="G5567" t="n">
        <v>6.5</v>
      </c>
      <c r="H5567" t="n">
        <v>0</v>
      </c>
      <c r="I5567" t="n">
        <v>0</v>
      </c>
      <c r="J5567" t="n">
        <v>0</v>
      </c>
      <c r="K5567" t="n">
        <v>0</v>
      </c>
      <c r="L5567" t="n">
        <v>0</v>
      </c>
      <c r="M5567" t="n">
        <v>0</v>
      </c>
      <c r="N5567" t="n">
        <v>0</v>
      </c>
      <c r="O5567" t="n">
        <v>0</v>
      </c>
      <c r="P5567" t="n">
        <v>0</v>
      </c>
      <c r="Q5567" t="n">
        <v>0</v>
      </c>
      <c r="R5567" s="2" t="inlineStr"/>
    </row>
    <row r="5568" ht="15" customHeight="1">
      <c r="A5568" t="inlineStr">
        <is>
          <t>A 22212-2024</t>
        </is>
      </c>
      <c r="B5568" s="1" t="n">
        <v>45445</v>
      </c>
      <c r="C5568" s="1" t="n">
        <v>45846</v>
      </c>
      <c r="D5568" t="inlineStr">
        <is>
          <t>UPPSALA LÄN</t>
        </is>
      </c>
      <c r="E5568" t="inlineStr">
        <is>
          <t>HEBY</t>
        </is>
      </c>
      <c r="F5568" t="inlineStr">
        <is>
          <t>Bergvik skog väst AB</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22217-2024</t>
        </is>
      </c>
      <c r="B5569" s="1" t="n">
        <v>45446</v>
      </c>
      <c r="C5569" s="1" t="n">
        <v>45846</v>
      </c>
      <c r="D5569" t="inlineStr">
        <is>
          <t>UPPSALA LÄN</t>
        </is>
      </c>
      <c r="E5569" t="inlineStr">
        <is>
          <t>ÖSTHAMMAR</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22372-2024</t>
        </is>
      </c>
      <c r="B5570" s="1" t="n">
        <v>45446</v>
      </c>
      <c r="C5570" s="1" t="n">
        <v>45846</v>
      </c>
      <c r="D5570" t="inlineStr">
        <is>
          <t>UPPSALA LÄN</t>
        </is>
      </c>
      <c r="E5570" t="inlineStr">
        <is>
          <t>ÖSTHAMMAR</t>
        </is>
      </c>
      <c r="F5570" t="inlineStr">
        <is>
          <t>Bergvik skog öst AB</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22393-2024</t>
        </is>
      </c>
      <c r="B5571" s="1" t="n">
        <v>45446</v>
      </c>
      <c r="C5571" s="1" t="n">
        <v>45846</v>
      </c>
      <c r="D5571" t="inlineStr">
        <is>
          <t>UPPSALA LÄN</t>
        </is>
      </c>
      <c r="E5571" t="inlineStr">
        <is>
          <t>TIERP</t>
        </is>
      </c>
      <c r="F5571" t="inlineStr">
        <is>
          <t>Bergvik skog väst AB</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22373-2024</t>
        </is>
      </c>
      <c r="B5572" s="1" t="n">
        <v>45446</v>
      </c>
      <c r="C5572" s="1" t="n">
        <v>45846</v>
      </c>
      <c r="D5572" t="inlineStr">
        <is>
          <t>UPPSALA LÄN</t>
        </is>
      </c>
      <c r="E5572" t="inlineStr">
        <is>
          <t>ÖSTHAMMAR</t>
        </is>
      </c>
      <c r="F5572" t="inlineStr">
        <is>
          <t>Bergvik skog öst AB</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22403-2024</t>
        </is>
      </c>
      <c r="B5573" s="1" t="n">
        <v>45446</v>
      </c>
      <c r="C5573" s="1" t="n">
        <v>45846</v>
      </c>
      <c r="D5573" t="inlineStr">
        <is>
          <t>UPPSALA LÄN</t>
        </is>
      </c>
      <c r="E5573" t="inlineStr">
        <is>
          <t>TIERP</t>
        </is>
      </c>
      <c r="F5573" t="inlineStr">
        <is>
          <t>Bergvik skog väst AB</t>
        </is>
      </c>
      <c r="G5573" t="n">
        <v>31.3</v>
      </c>
      <c r="H5573" t="n">
        <v>0</v>
      </c>
      <c r="I5573" t="n">
        <v>0</v>
      </c>
      <c r="J5573" t="n">
        <v>0</v>
      </c>
      <c r="K5573" t="n">
        <v>0</v>
      </c>
      <c r="L5573" t="n">
        <v>0</v>
      </c>
      <c r="M5573" t="n">
        <v>0</v>
      </c>
      <c r="N5573" t="n">
        <v>0</v>
      </c>
      <c r="O5573" t="n">
        <v>0</v>
      </c>
      <c r="P5573" t="n">
        <v>0</v>
      </c>
      <c r="Q5573" t="n">
        <v>0</v>
      </c>
      <c r="R5573" s="2" t="inlineStr"/>
    </row>
    <row r="5574" ht="15" customHeight="1">
      <c r="A5574" t="inlineStr">
        <is>
          <t>A 22431-2024</t>
        </is>
      </c>
      <c r="B5574" s="1" t="n">
        <v>45446</v>
      </c>
      <c r="C5574" s="1" t="n">
        <v>45846</v>
      </c>
      <c r="D5574" t="inlineStr">
        <is>
          <t>UPPSALA LÄN</t>
        </is>
      </c>
      <c r="E5574" t="inlineStr">
        <is>
          <t>UPPSALA</t>
        </is>
      </c>
      <c r="F5574" t="inlineStr">
        <is>
          <t>Bergvik skog öst AB</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22320-2024</t>
        </is>
      </c>
      <c r="B5575" s="1" t="n">
        <v>45446</v>
      </c>
      <c r="C5575" s="1" t="n">
        <v>45846</v>
      </c>
      <c r="D5575" t="inlineStr">
        <is>
          <t>UPPSALA LÄN</t>
        </is>
      </c>
      <c r="E5575" t="inlineStr">
        <is>
          <t>TIERP</t>
        </is>
      </c>
      <c r="G5575" t="n">
        <v>6</v>
      </c>
      <c r="H5575" t="n">
        <v>0</v>
      </c>
      <c r="I5575" t="n">
        <v>0</v>
      </c>
      <c r="J5575" t="n">
        <v>0</v>
      </c>
      <c r="K5575" t="n">
        <v>0</v>
      </c>
      <c r="L5575" t="n">
        <v>0</v>
      </c>
      <c r="M5575" t="n">
        <v>0</v>
      </c>
      <c r="N5575" t="n">
        <v>0</v>
      </c>
      <c r="O5575" t="n">
        <v>0</v>
      </c>
      <c r="P5575" t="n">
        <v>0</v>
      </c>
      <c r="Q5575" t="n">
        <v>0</v>
      </c>
      <c r="R5575" s="2" t="inlineStr"/>
    </row>
    <row r="5576" ht="15" customHeight="1">
      <c r="A5576" t="inlineStr">
        <is>
          <t>A 22437-2024</t>
        </is>
      </c>
      <c r="B5576" s="1" t="n">
        <v>45446</v>
      </c>
      <c r="C5576" s="1" t="n">
        <v>45846</v>
      </c>
      <c r="D5576" t="inlineStr">
        <is>
          <t>UPPSALA LÄN</t>
        </is>
      </c>
      <c r="E5576" t="inlineStr">
        <is>
          <t>UPPSALA</t>
        </is>
      </c>
      <c r="F5576" t="inlineStr">
        <is>
          <t>Bergvik skog öst AB</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22433-2024</t>
        </is>
      </c>
      <c r="B5577" s="1" t="n">
        <v>45446</v>
      </c>
      <c r="C5577" s="1" t="n">
        <v>45846</v>
      </c>
      <c r="D5577" t="inlineStr">
        <is>
          <t>UPPSALA LÄN</t>
        </is>
      </c>
      <c r="E5577" t="inlineStr">
        <is>
          <t>UPPSALA</t>
        </is>
      </c>
      <c r="F5577" t="inlineStr">
        <is>
          <t>Bergvik skog öst AB</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22359-2024</t>
        </is>
      </c>
      <c r="B5578" s="1" t="n">
        <v>45446</v>
      </c>
      <c r="C5578" s="1" t="n">
        <v>45846</v>
      </c>
      <c r="D5578" t="inlineStr">
        <is>
          <t>UPPSALA LÄN</t>
        </is>
      </c>
      <c r="E5578" t="inlineStr">
        <is>
          <t>HEBY</t>
        </is>
      </c>
      <c r="G5578" t="n">
        <v>7.8</v>
      </c>
      <c r="H5578" t="n">
        <v>0</v>
      </c>
      <c r="I5578" t="n">
        <v>0</v>
      </c>
      <c r="J5578" t="n">
        <v>0</v>
      </c>
      <c r="K5578" t="n">
        <v>0</v>
      </c>
      <c r="L5578" t="n">
        <v>0</v>
      </c>
      <c r="M5578" t="n">
        <v>0</v>
      </c>
      <c r="N5578" t="n">
        <v>0</v>
      </c>
      <c r="O5578" t="n">
        <v>0</v>
      </c>
      <c r="P5578" t="n">
        <v>0</v>
      </c>
      <c r="Q5578" t="n">
        <v>0</v>
      </c>
      <c r="R5578" s="2" t="inlineStr"/>
    </row>
    <row r="5579" ht="15" customHeight="1">
      <c r="A5579" t="inlineStr">
        <is>
          <t>A 22371-2024</t>
        </is>
      </c>
      <c r="B5579" s="1" t="n">
        <v>45446</v>
      </c>
      <c r="C5579" s="1" t="n">
        <v>45846</v>
      </c>
      <c r="D5579" t="inlineStr">
        <is>
          <t>UPPSALA LÄN</t>
        </is>
      </c>
      <c r="E5579" t="inlineStr">
        <is>
          <t>ÖSTHAMMAR</t>
        </is>
      </c>
      <c r="F5579" t="inlineStr">
        <is>
          <t>Bergvik skog öst AB</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22432-2024</t>
        </is>
      </c>
      <c r="B5580" s="1" t="n">
        <v>45446</v>
      </c>
      <c r="C5580" s="1" t="n">
        <v>45846</v>
      </c>
      <c r="D5580" t="inlineStr">
        <is>
          <t>UPPSALA LÄN</t>
        </is>
      </c>
      <c r="E5580" t="inlineStr">
        <is>
          <t>UPPSALA</t>
        </is>
      </c>
      <c r="F5580" t="inlineStr">
        <is>
          <t>Bergvik skog öst AB</t>
        </is>
      </c>
      <c r="G5580" t="n">
        <v>8.4</v>
      </c>
      <c r="H5580" t="n">
        <v>0</v>
      </c>
      <c r="I5580" t="n">
        <v>0</v>
      </c>
      <c r="J5580" t="n">
        <v>0</v>
      </c>
      <c r="K5580" t="n">
        <v>0</v>
      </c>
      <c r="L5580" t="n">
        <v>0</v>
      </c>
      <c r="M5580" t="n">
        <v>0</v>
      </c>
      <c r="N5580" t="n">
        <v>0</v>
      </c>
      <c r="O5580" t="n">
        <v>0</v>
      </c>
      <c r="P5580" t="n">
        <v>0</v>
      </c>
      <c r="Q5580" t="n">
        <v>0</v>
      </c>
      <c r="R5580" s="2" t="inlineStr"/>
    </row>
    <row r="5581" ht="15" customHeight="1">
      <c r="A5581" t="inlineStr">
        <is>
          <t>A 22636-2024</t>
        </is>
      </c>
      <c r="B5581" s="1" t="n">
        <v>45447</v>
      </c>
      <c r="C5581" s="1" t="n">
        <v>45846</v>
      </c>
      <c r="D5581" t="inlineStr">
        <is>
          <t>UPPSALA LÄN</t>
        </is>
      </c>
      <c r="E5581" t="inlineStr">
        <is>
          <t>TIERP</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22884-2024</t>
        </is>
      </c>
      <c r="B5582" s="1" t="n">
        <v>45448</v>
      </c>
      <c r="C5582" s="1" t="n">
        <v>45846</v>
      </c>
      <c r="D5582" t="inlineStr">
        <is>
          <t>UPPSALA LÄN</t>
        </is>
      </c>
      <c r="E5582" t="inlineStr">
        <is>
          <t>ÖSTHAMMAR</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22900-2024</t>
        </is>
      </c>
      <c r="B5583" s="1" t="n">
        <v>45448</v>
      </c>
      <c r="C5583" s="1" t="n">
        <v>45846</v>
      </c>
      <c r="D5583" t="inlineStr">
        <is>
          <t>UPPSALA LÄN</t>
        </is>
      </c>
      <c r="E5583" t="inlineStr">
        <is>
          <t>UPPSALA</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22759-2024</t>
        </is>
      </c>
      <c r="B5584" s="1" t="n">
        <v>45448</v>
      </c>
      <c r="C5584" s="1" t="n">
        <v>45846</v>
      </c>
      <c r="D5584" t="inlineStr">
        <is>
          <t>UPPSALA LÄN</t>
        </is>
      </c>
      <c r="E5584" t="inlineStr">
        <is>
          <t>TIERP</t>
        </is>
      </c>
      <c r="G5584" t="n">
        <v>6.9</v>
      </c>
      <c r="H5584" t="n">
        <v>0</v>
      </c>
      <c r="I5584" t="n">
        <v>0</v>
      </c>
      <c r="J5584" t="n">
        <v>0</v>
      </c>
      <c r="K5584" t="n">
        <v>0</v>
      </c>
      <c r="L5584" t="n">
        <v>0</v>
      </c>
      <c r="M5584" t="n">
        <v>0</v>
      </c>
      <c r="N5584" t="n">
        <v>0</v>
      </c>
      <c r="O5584" t="n">
        <v>0</v>
      </c>
      <c r="P5584" t="n">
        <v>0</v>
      </c>
      <c r="Q5584" t="n">
        <v>0</v>
      </c>
      <c r="R5584" s="2" t="inlineStr"/>
    </row>
    <row r="5585" ht="15" customHeight="1">
      <c r="A5585" t="inlineStr">
        <is>
          <t>A 22725-2024</t>
        </is>
      </c>
      <c r="B5585" s="1" t="n">
        <v>45448</v>
      </c>
      <c r="C5585" s="1" t="n">
        <v>45846</v>
      </c>
      <c r="D5585" t="inlineStr">
        <is>
          <t>UPPSALA LÄN</t>
        </is>
      </c>
      <c r="E5585" t="inlineStr">
        <is>
          <t>ÖSTHAMMAR</t>
        </is>
      </c>
      <c r="F5585" t="inlineStr">
        <is>
          <t>Bergvik skog öst AB</t>
        </is>
      </c>
      <c r="G5585" t="n">
        <v>5.8</v>
      </c>
      <c r="H5585" t="n">
        <v>0</v>
      </c>
      <c r="I5585" t="n">
        <v>0</v>
      </c>
      <c r="J5585" t="n">
        <v>0</v>
      </c>
      <c r="K5585" t="n">
        <v>0</v>
      </c>
      <c r="L5585" t="n">
        <v>0</v>
      </c>
      <c r="M5585" t="n">
        <v>0</v>
      </c>
      <c r="N5585" t="n">
        <v>0</v>
      </c>
      <c r="O5585" t="n">
        <v>0</v>
      </c>
      <c r="P5585" t="n">
        <v>0</v>
      </c>
      <c r="Q5585" t="n">
        <v>0</v>
      </c>
      <c r="R5585" s="2" t="inlineStr"/>
    </row>
    <row r="5586" ht="15" customHeight="1">
      <c r="A5586" t="inlineStr">
        <is>
          <t>A 22766-2024</t>
        </is>
      </c>
      <c r="B5586" s="1" t="n">
        <v>45448</v>
      </c>
      <c r="C5586" s="1" t="n">
        <v>45846</v>
      </c>
      <c r="D5586" t="inlineStr">
        <is>
          <t>UPPSALA LÄN</t>
        </is>
      </c>
      <c r="E5586" t="inlineStr">
        <is>
          <t>HEBY</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22912-2024</t>
        </is>
      </c>
      <c r="B5587" s="1" t="n">
        <v>45448</v>
      </c>
      <c r="C5587" s="1" t="n">
        <v>45846</v>
      </c>
      <c r="D5587" t="inlineStr">
        <is>
          <t>UPPSALA LÄN</t>
        </is>
      </c>
      <c r="E5587" t="inlineStr">
        <is>
          <t>ENKÖPING</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22915-2024</t>
        </is>
      </c>
      <c r="B5588" s="1" t="n">
        <v>45448</v>
      </c>
      <c r="C5588" s="1" t="n">
        <v>45846</v>
      </c>
      <c r="D5588" t="inlineStr">
        <is>
          <t>UPPSALA LÄN</t>
        </is>
      </c>
      <c r="E5588" t="inlineStr">
        <is>
          <t>ÖSTHAMMAR</t>
        </is>
      </c>
      <c r="F5588" t="inlineStr">
        <is>
          <t>Bergvik skog öst AB</t>
        </is>
      </c>
      <c r="G5588" t="n">
        <v>7.4</v>
      </c>
      <c r="H5588" t="n">
        <v>0</v>
      </c>
      <c r="I5588" t="n">
        <v>0</v>
      </c>
      <c r="J5588" t="n">
        <v>0</v>
      </c>
      <c r="K5588" t="n">
        <v>0</v>
      </c>
      <c r="L5588" t="n">
        <v>0</v>
      </c>
      <c r="M5588" t="n">
        <v>0</v>
      </c>
      <c r="N5588" t="n">
        <v>0</v>
      </c>
      <c r="O5588" t="n">
        <v>0</v>
      </c>
      <c r="P5588" t="n">
        <v>0</v>
      </c>
      <c r="Q5588" t="n">
        <v>0</v>
      </c>
      <c r="R5588" s="2" t="inlineStr"/>
    </row>
    <row r="5589" ht="15" customHeight="1">
      <c r="A5589" t="inlineStr">
        <is>
          <t>A 22919-2024</t>
        </is>
      </c>
      <c r="B5589" s="1" t="n">
        <v>45448</v>
      </c>
      <c r="C5589" s="1" t="n">
        <v>45846</v>
      </c>
      <c r="D5589" t="inlineStr">
        <is>
          <t>UPPSALA LÄN</t>
        </is>
      </c>
      <c r="E5589" t="inlineStr">
        <is>
          <t>ÖSTHAMMAR</t>
        </is>
      </c>
      <c r="F5589" t="inlineStr">
        <is>
          <t>Bergvik skog öst AB</t>
        </is>
      </c>
      <c r="G5589" t="n">
        <v>10.2</v>
      </c>
      <c r="H5589" t="n">
        <v>0</v>
      </c>
      <c r="I5589" t="n">
        <v>0</v>
      </c>
      <c r="J5589" t="n">
        <v>0</v>
      </c>
      <c r="K5589" t="n">
        <v>0</v>
      </c>
      <c r="L5589" t="n">
        <v>0</v>
      </c>
      <c r="M5589" t="n">
        <v>0</v>
      </c>
      <c r="N5589" t="n">
        <v>0</v>
      </c>
      <c r="O5589" t="n">
        <v>0</v>
      </c>
      <c r="P5589" t="n">
        <v>0</v>
      </c>
      <c r="Q5589" t="n">
        <v>0</v>
      </c>
      <c r="R5589" s="2" t="inlineStr"/>
    </row>
    <row r="5590" ht="15" customHeight="1">
      <c r="A5590" t="inlineStr">
        <is>
          <t>A 23301-2024</t>
        </is>
      </c>
      <c r="B5590" s="1" t="n">
        <v>45453</v>
      </c>
      <c r="C5590" s="1" t="n">
        <v>45846</v>
      </c>
      <c r="D5590" t="inlineStr">
        <is>
          <t>UPPSALA LÄN</t>
        </is>
      </c>
      <c r="E5590" t="inlineStr">
        <is>
          <t>ENKÖPING</t>
        </is>
      </c>
      <c r="G5590" t="n">
        <v>4.3</v>
      </c>
      <c r="H5590" t="n">
        <v>0</v>
      </c>
      <c r="I5590" t="n">
        <v>0</v>
      </c>
      <c r="J5590" t="n">
        <v>0</v>
      </c>
      <c r="K5590" t="n">
        <v>0</v>
      </c>
      <c r="L5590" t="n">
        <v>0</v>
      </c>
      <c r="M5590" t="n">
        <v>0</v>
      </c>
      <c r="N5590" t="n">
        <v>0</v>
      </c>
      <c r="O5590" t="n">
        <v>0</v>
      </c>
      <c r="P5590" t="n">
        <v>0</v>
      </c>
      <c r="Q5590" t="n">
        <v>0</v>
      </c>
      <c r="R5590" s="2" t="inlineStr"/>
    </row>
    <row r="5591" ht="15" customHeight="1">
      <c r="A5591" t="inlineStr">
        <is>
          <t>A 23291-2024</t>
        </is>
      </c>
      <c r="B5591" s="1" t="n">
        <v>45453</v>
      </c>
      <c r="C5591" s="1" t="n">
        <v>45846</v>
      </c>
      <c r="D5591" t="inlineStr">
        <is>
          <t>UPPSALA LÄN</t>
        </is>
      </c>
      <c r="E5591" t="inlineStr">
        <is>
          <t>UPPSALA</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23494-2024</t>
        </is>
      </c>
      <c r="B5592" s="1" t="n">
        <v>45453</v>
      </c>
      <c r="C5592" s="1" t="n">
        <v>45846</v>
      </c>
      <c r="D5592" t="inlineStr">
        <is>
          <t>UPPSALA LÄN</t>
        </is>
      </c>
      <c r="E5592" t="inlineStr">
        <is>
          <t>UPPSALA</t>
        </is>
      </c>
      <c r="F5592" t="inlineStr">
        <is>
          <t>Kyrkan</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23410-2024</t>
        </is>
      </c>
      <c r="B5593" s="1" t="n">
        <v>45453</v>
      </c>
      <c r="C5593" s="1" t="n">
        <v>45846</v>
      </c>
      <c r="D5593" t="inlineStr">
        <is>
          <t>UPPSALA LÄN</t>
        </is>
      </c>
      <c r="E5593" t="inlineStr">
        <is>
          <t>HEBY</t>
        </is>
      </c>
      <c r="F5593" t="inlineStr">
        <is>
          <t>Bergvik skog väst AB</t>
        </is>
      </c>
      <c r="G5593" t="n">
        <v>3.9</v>
      </c>
      <c r="H5593" t="n">
        <v>0</v>
      </c>
      <c r="I5593" t="n">
        <v>0</v>
      </c>
      <c r="J5593" t="n">
        <v>0</v>
      </c>
      <c r="K5593" t="n">
        <v>0</v>
      </c>
      <c r="L5593" t="n">
        <v>0</v>
      </c>
      <c r="M5593" t="n">
        <v>0</v>
      </c>
      <c r="N5593" t="n">
        <v>0</v>
      </c>
      <c r="O5593" t="n">
        <v>0</v>
      </c>
      <c r="P5593" t="n">
        <v>0</v>
      </c>
      <c r="Q5593" t="n">
        <v>0</v>
      </c>
      <c r="R5593" s="2" t="inlineStr"/>
    </row>
    <row r="5594" ht="15" customHeight="1">
      <c r="A5594" t="inlineStr">
        <is>
          <t>A 23264-2024</t>
        </is>
      </c>
      <c r="B5594" s="1" t="n">
        <v>45453</v>
      </c>
      <c r="C5594" s="1" t="n">
        <v>45846</v>
      </c>
      <c r="D5594" t="inlineStr">
        <is>
          <t>UPPSALA LÄN</t>
        </is>
      </c>
      <c r="E5594" t="inlineStr">
        <is>
          <t>ENKÖPING</t>
        </is>
      </c>
      <c r="G5594" t="n">
        <v>9.4</v>
      </c>
      <c r="H5594" t="n">
        <v>0</v>
      </c>
      <c r="I5594" t="n">
        <v>0</v>
      </c>
      <c r="J5594" t="n">
        <v>0</v>
      </c>
      <c r="K5594" t="n">
        <v>0</v>
      </c>
      <c r="L5594" t="n">
        <v>0</v>
      </c>
      <c r="M5594" t="n">
        <v>0</v>
      </c>
      <c r="N5594" t="n">
        <v>0</v>
      </c>
      <c r="O5594" t="n">
        <v>0</v>
      </c>
      <c r="P5594" t="n">
        <v>0</v>
      </c>
      <c r="Q5594" t="n">
        <v>0</v>
      </c>
      <c r="R5594" s="2" t="inlineStr"/>
    </row>
    <row r="5595" ht="15" customHeight="1">
      <c r="A5595" t="inlineStr">
        <is>
          <t>A 23411-2024</t>
        </is>
      </c>
      <c r="B5595" s="1" t="n">
        <v>45453</v>
      </c>
      <c r="C5595" s="1" t="n">
        <v>45846</v>
      </c>
      <c r="D5595" t="inlineStr">
        <is>
          <t>UPPSALA LÄN</t>
        </is>
      </c>
      <c r="E5595" t="inlineStr">
        <is>
          <t>HEBY</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23671-2024</t>
        </is>
      </c>
      <c r="B5596" s="1" t="n">
        <v>45454</v>
      </c>
      <c r="C5596" s="1" t="n">
        <v>45846</v>
      </c>
      <c r="D5596" t="inlineStr">
        <is>
          <t>UPPSALA LÄN</t>
        </is>
      </c>
      <c r="E5596" t="inlineStr">
        <is>
          <t>HEBY</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23720-2024</t>
        </is>
      </c>
      <c r="B5597" s="1" t="n">
        <v>45454</v>
      </c>
      <c r="C5597" s="1" t="n">
        <v>45846</v>
      </c>
      <c r="D5597" t="inlineStr">
        <is>
          <t>UPPSALA LÄN</t>
        </is>
      </c>
      <c r="E5597" t="inlineStr">
        <is>
          <t>TIERP</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23652-2024</t>
        </is>
      </c>
      <c r="B5598" s="1" t="n">
        <v>45454</v>
      </c>
      <c r="C5598" s="1" t="n">
        <v>45846</v>
      </c>
      <c r="D5598" t="inlineStr">
        <is>
          <t>UPPSALA LÄN</t>
        </is>
      </c>
      <c r="E5598" t="inlineStr">
        <is>
          <t>ÖSTHAMMAR</t>
        </is>
      </c>
      <c r="F5598" t="inlineStr">
        <is>
          <t>Bergvik skog öst AB</t>
        </is>
      </c>
      <c r="G5598" t="n">
        <v>6.8</v>
      </c>
      <c r="H5598" t="n">
        <v>0</v>
      </c>
      <c r="I5598" t="n">
        <v>0</v>
      </c>
      <c r="J5598" t="n">
        <v>0</v>
      </c>
      <c r="K5598" t="n">
        <v>0</v>
      </c>
      <c r="L5598" t="n">
        <v>0</v>
      </c>
      <c r="M5598" t="n">
        <v>0</v>
      </c>
      <c r="N5598" t="n">
        <v>0</v>
      </c>
      <c r="O5598" t="n">
        <v>0</v>
      </c>
      <c r="P5598" t="n">
        <v>0</v>
      </c>
      <c r="Q5598" t="n">
        <v>0</v>
      </c>
      <c r="R5598" s="2" t="inlineStr"/>
    </row>
    <row r="5599" ht="15" customHeight="1">
      <c r="A5599" t="inlineStr">
        <is>
          <t>A 23759-2024</t>
        </is>
      </c>
      <c r="B5599" s="1" t="n">
        <v>45455</v>
      </c>
      <c r="C5599" s="1" t="n">
        <v>45846</v>
      </c>
      <c r="D5599" t="inlineStr">
        <is>
          <t>UPPSALA LÄN</t>
        </is>
      </c>
      <c r="E5599" t="inlineStr">
        <is>
          <t>TIERP</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23740-2024</t>
        </is>
      </c>
      <c r="B5600" s="1" t="n">
        <v>45455</v>
      </c>
      <c r="C5600" s="1" t="n">
        <v>45846</v>
      </c>
      <c r="D5600" t="inlineStr">
        <is>
          <t>UPPSALA LÄN</t>
        </is>
      </c>
      <c r="E5600" t="inlineStr">
        <is>
          <t>ÖSTHAMMAR</t>
        </is>
      </c>
      <c r="F5600" t="inlineStr">
        <is>
          <t>Bergvik skog öst AB</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23836-2024</t>
        </is>
      </c>
      <c r="B5601" s="1" t="n">
        <v>45455</v>
      </c>
      <c r="C5601" s="1" t="n">
        <v>45846</v>
      </c>
      <c r="D5601" t="inlineStr">
        <is>
          <t>UPPSALA LÄN</t>
        </is>
      </c>
      <c r="E5601" t="inlineStr">
        <is>
          <t>HEBY</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23742-2024</t>
        </is>
      </c>
      <c r="B5602" s="1" t="n">
        <v>45455</v>
      </c>
      <c r="C5602" s="1" t="n">
        <v>45846</v>
      </c>
      <c r="D5602" t="inlineStr">
        <is>
          <t>UPPSALA LÄN</t>
        </is>
      </c>
      <c r="E5602" t="inlineStr">
        <is>
          <t>ÖSTHAMMAR</t>
        </is>
      </c>
      <c r="F5602" t="inlineStr">
        <is>
          <t>Bergvik skog öst AB</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23741-2024</t>
        </is>
      </c>
      <c r="B5603" s="1" t="n">
        <v>45455</v>
      </c>
      <c r="C5603" s="1" t="n">
        <v>45846</v>
      </c>
      <c r="D5603" t="inlineStr">
        <is>
          <t>UPPSALA LÄN</t>
        </is>
      </c>
      <c r="E5603" t="inlineStr">
        <is>
          <t>ÖSTHAMMAR</t>
        </is>
      </c>
      <c r="F5603" t="inlineStr">
        <is>
          <t>Bergvik skog öst AB</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24029-2024</t>
        </is>
      </c>
      <c r="B5604" s="1" t="n">
        <v>45456</v>
      </c>
      <c r="C5604" s="1" t="n">
        <v>45846</v>
      </c>
      <c r="D5604" t="inlineStr">
        <is>
          <t>UPPSALA LÄN</t>
        </is>
      </c>
      <c r="E5604" t="inlineStr">
        <is>
          <t>TIERP</t>
        </is>
      </c>
      <c r="F5604" t="inlineStr">
        <is>
          <t>Bergvik skog öst AB</t>
        </is>
      </c>
      <c r="G5604" t="n">
        <v>7.6</v>
      </c>
      <c r="H5604" t="n">
        <v>0</v>
      </c>
      <c r="I5604" t="n">
        <v>0</v>
      </c>
      <c r="J5604" t="n">
        <v>0</v>
      </c>
      <c r="K5604" t="n">
        <v>0</v>
      </c>
      <c r="L5604" t="n">
        <v>0</v>
      </c>
      <c r="M5604" t="n">
        <v>0</v>
      </c>
      <c r="N5604" t="n">
        <v>0</v>
      </c>
      <c r="O5604" t="n">
        <v>0</v>
      </c>
      <c r="P5604" t="n">
        <v>0</v>
      </c>
      <c r="Q5604" t="n">
        <v>0</v>
      </c>
      <c r="R5604" s="2" t="inlineStr"/>
    </row>
    <row r="5605" ht="15" customHeight="1">
      <c r="A5605" t="inlineStr">
        <is>
          <t>A 24098-2024</t>
        </is>
      </c>
      <c r="B5605" s="1" t="n">
        <v>45456</v>
      </c>
      <c r="C5605" s="1" t="n">
        <v>45846</v>
      </c>
      <c r="D5605" t="inlineStr">
        <is>
          <t>UPPSALA LÄN</t>
        </is>
      </c>
      <c r="E5605" t="inlineStr">
        <is>
          <t>UPPSALA</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24160-2024</t>
        </is>
      </c>
      <c r="B5606" s="1" t="n">
        <v>45456</v>
      </c>
      <c r="C5606" s="1" t="n">
        <v>45846</v>
      </c>
      <c r="D5606" t="inlineStr">
        <is>
          <t>UPPSALA LÄN</t>
        </is>
      </c>
      <c r="E5606" t="inlineStr">
        <is>
          <t>ÖSTHAMMAR</t>
        </is>
      </c>
      <c r="F5606" t="inlineStr">
        <is>
          <t>Bergvik skog öst AB</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24161-2024</t>
        </is>
      </c>
      <c r="B5607" s="1" t="n">
        <v>45456</v>
      </c>
      <c r="C5607" s="1" t="n">
        <v>45846</v>
      </c>
      <c r="D5607" t="inlineStr">
        <is>
          <t>UPPSALA LÄN</t>
        </is>
      </c>
      <c r="E5607" t="inlineStr">
        <is>
          <t>ÖSTHAMMAR</t>
        </is>
      </c>
      <c r="F5607" t="inlineStr">
        <is>
          <t>Bergvik skog öst AB</t>
        </is>
      </c>
      <c r="G5607" t="n">
        <v>9.9</v>
      </c>
      <c r="H5607" t="n">
        <v>0</v>
      </c>
      <c r="I5607" t="n">
        <v>0</v>
      </c>
      <c r="J5607" t="n">
        <v>0</v>
      </c>
      <c r="K5607" t="n">
        <v>0</v>
      </c>
      <c r="L5607" t="n">
        <v>0</v>
      </c>
      <c r="M5607" t="n">
        <v>0</v>
      </c>
      <c r="N5607" t="n">
        <v>0</v>
      </c>
      <c r="O5607" t="n">
        <v>0</v>
      </c>
      <c r="P5607" t="n">
        <v>0</v>
      </c>
      <c r="Q5607" t="n">
        <v>0</v>
      </c>
      <c r="R5607" s="2" t="inlineStr"/>
    </row>
    <row r="5608" ht="15" customHeight="1">
      <c r="A5608" t="inlineStr">
        <is>
          <t>A 24091-2024</t>
        </is>
      </c>
      <c r="B5608" s="1" t="n">
        <v>45456</v>
      </c>
      <c r="C5608" s="1" t="n">
        <v>45846</v>
      </c>
      <c r="D5608" t="inlineStr">
        <is>
          <t>UPPSALA LÄN</t>
        </is>
      </c>
      <c r="E5608" t="inlineStr">
        <is>
          <t>UPPSALA</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24180-2024</t>
        </is>
      </c>
      <c r="B5609" s="1" t="n">
        <v>45456</v>
      </c>
      <c r="C5609" s="1" t="n">
        <v>45846</v>
      </c>
      <c r="D5609" t="inlineStr">
        <is>
          <t>UPPSALA LÄN</t>
        </is>
      </c>
      <c r="E5609" t="inlineStr">
        <is>
          <t>HEBY</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24238-2024</t>
        </is>
      </c>
      <c r="B5610" s="1" t="n">
        <v>45457</v>
      </c>
      <c r="C5610" s="1" t="n">
        <v>45846</v>
      </c>
      <c r="D5610" t="inlineStr">
        <is>
          <t>UPPSALA LÄN</t>
        </is>
      </c>
      <c r="E5610" t="inlineStr">
        <is>
          <t>TIERP</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24306-2024</t>
        </is>
      </c>
      <c r="B5611" s="1" t="n">
        <v>45457</v>
      </c>
      <c r="C5611" s="1" t="n">
        <v>45846</v>
      </c>
      <c r="D5611" t="inlineStr">
        <is>
          <t>UPPSALA LÄN</t>
        </is>
      </c>
      <c r="E5611" t="inlineStr">
        <is>
          <t>ENKÖPING</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24259-2024</t>
        </is>
      </c>
      <c r="B5612" s="1" t="n">
        <v>45457</v>
      </c>
      <c r="C5612" s="1" t="n">
        <v>45846</v>
      </c>
      <c r="D5612" t="inlineStr">
        <is>
          <t>UPPSALA LÄN</t>
        </is>
      </c>
      <c r="E5612" t="inlineStr">
        <is>
          <t>ENKÖPING</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24291-2024</t>
        </is>
      </c>
      <c r="B5613" s="1" t="n">
        <v>45457</v>
      </c>
      <c r="C5613" s="1" t="n">
        <v>45846</v>
      </c>
      <c r="D5613" t="inlineStr">
        <is>
          <t>UPPSALA LÄN</t>
        </is>
      </c>
      <c r="E5613" t="inlineStr">
        <is>
          <t>ENKÖPING</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24411-2024</t>
        </is>
      </c>
      <c r="B5614" s="1" t="n">
        <v>45457</v>
      </c>
      <c r="C5614" s="1" t="n">
        <v>45846</v>
      </c>
      <c r="D5614" t="inlineStr">
        <is>
          <t>UPPSALA LÄN</t>
        </is>
      </c>
      <c r="E5614" t="inlineStr">
        <is>
          <t>ENKÖPING</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24472-2024</t>
        </is>
      </c>
      <c r="B5615" s="1" t="n">
        <v>45458</v>
      </c>
      <c r="C5615" s="1" t="n">
        <v>45846</v>
      </c>
      <c r="D5615" t="inlineStr">
        <is>
          <t>UPPSALA LÄN</t>
        </is>
      </c>
      <c r="E5615" t="inlineStr">
        <is>
          <t>ÖSTHAMMAR</t>
        </is>
      </c>
      <c r="F5615" t="inlineStr">
        <is>
          <t>Bergvik skog öst AB</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24476-2024</t>
        </is>
      </c>
      <c r="B5616" s="1" t="n">
        <v>45458</v>
      </c>
      <c r="C5616" s="1" t="n">
        <v>45846</v>
      </c>
      <c r="D5616" t="inlineStr">
        <is>
          <t>UPPSALA LÄN</t>
        </is>
      </c>
      <c r="E5616" t="inlineStr">
        <is>
          <t>ÖSTHAMMAR</t>
        </is>
      </c>
      <c r="F5616" t="inlineStr">
        <is>
          <t>Bergvik skog öst AB</t>
        </is>
      </c>
      <c r="G5616" t="n">
        <v>7.8</v>
      </c>
      <c r="H5616" t="n">
        <v>0</v>
      </c>
      <c r="I5616" t="n">
        <v>0</v>
      </c>
      <c r="J5616" t="n">
        <v>0</v>
      </c>
      <c r="K5616" t="n">
        <v>0</v>
      </c>
      <c r="L5616" t="n">
        <v>0</v>
      </c>
      <c r="M5616" t="n">
        <v>0</v>
      </c>
      <c r="N5616" t="n">
        <v>0</v>
      </c>
      <c r="O5616" t="n">
        <v>0</v>
      </c>
      <c r="P5616" t="n">
        <v>0</v>
      </c>
      <c r="Q5616" t="n">
        <v>0</v>
      </c>
      <c r="R5616" s="2" t="inlineStr"/>
    </row>
    <row r="5617" ht="15" customHeight="1">
      <c r="A5617" t="inlineStr">
        <is>
          <t>A 24471-2024</t>
        </is>
      </c>
      <c r="B5617" s="1" t="n">
        <v>45458</v>
      </c>
      <c r="C5617" s="1" t="n">
        <v>45846</v>
      </c>
      <c r="D5617" t="inlineStr">
        <is>
          <t>UPPSALA LÄN</t>
        </is>
      </c>
      <c r="E5617" t="inlineStr">
        <is>
          <t>ÖSTHAMMAR</t>
        </is>
      </c>
      <c r="F5617" t="inlineStr">
        <is>
          <t>Bergvik skog öst AB</t>
        </is>
      </c>
      <c r="G5617" t="n">
        <v>22.7</v>
      </c>
      <c r="H5617" t="n">
        <v>0</v>
      </c>
      <c r="I5617" t="n">
        <v>0</v>
      </c>
      <c r="J5617" t="n">
        <v>0</v>
      </c>
      <c r="K5617" t="n">
        <v>0</v>
      </c>
      <c r="L5617" t="n">
        <v>0</v>
      </c>
      <c r="M5617" t="n">
        <v>0</v>
      </c>
      <c r="N5617" t="n">
        <v>0</v>
      </c>
      <c r="O5617" t="n">
        <v>0</v>
      </c>
      <c r="P5617" t="n">
        <v>0</v>
      </c>
      <c r="Q5617" t="n">
        <v>0</v>
      </c>
      <c r="R5617" s="2" t="inlineStr"/>
    </row>
    <row r="5618" ht="15" customHeight="1">
      <c r="A5618" t="inlineStr">
        <is>
          <t>A 24475-2024</t>
        </is>
      </c>
      <c r="B5618" s="1" t="n">
        <v>45458</v>
      </c>
      <c r="C5618" s="1" t="n">
        <v>45846</v>
      </c>
      <c r="D5618" t="inlineStr">
        <is>
          <t>UPPSALA LÄN</t>
        </is>
      </c>
      <c r="E5618" t="inlineStr">
        <is>
          <t>ÖSTHAMMAR</t>
        </is>
      </c>
      <c r="F5618" t="inlineStr">
        <is>
          <t>Bergvik skog öst AB</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24770-2024</t>
        </is>
      </c>
      <c r="B5619" s="1" t="n">
        <v>45460</v>
      </c>
      <c r="C5619" s="1" t="n">
        <v>45846</v>
      </c>
      <c r="D5619" t="inlineStr">
        <is>
          <t>UPPSALA LÄN</t>
        </is>
      </c>
      <c r="E5619" t="inlineStr">
        <is>
          <t>ÖSTHAMMAR</t>
        </is>
      </c>
      <c r="F5619" t="inlineStr">
        <is>
          <t>Bergvik skog öst AB</t>
        </is>
      </c>
      <c r="G5619" t="n">
        <v>5.4</v>
      </c>
      <c r="H5619" t="n">
        <v>0</v>
      </c>
      <c r="I5619" t="n">
        <v>0</v>
      </c>
      <c r="J5619" t="n">
        <v>0</v>
      </c>
      <c r="K5619" t="n">
        <v>0</v>
      </c>
      <c r="L5619" t="n">
        <v>0</v>
      </c>
      <c r="M5619" t="n">
        <v>0</v>
      </c>
      <c r="N5619" t="n">
        <v>0</v>
      </c>
      <c r="O5619" t="n">
        <v>0</v>
      </c>
      <c r="P5619" t="n">
        <v>0</v>
      </c>
      <c r="Q5619" t="n">
        <v>0</v>
      </c>
      <c r="R5619" s="2" t="inlineStr"/>
    </row>
    <row r="5620" ht="15" customHeight="1">
      <c r="A5620" t="inlineStr">
        <is>
          <t>A 24747-2024</t>
        </is>
      </c>
      <c r="B5620" s="1" t="n">
        <v>45460</v>
      </c>
      <c r="C5620" s="1" t="n">
        <v>45846</v>
      </c>
      <c r="D5620" t="inlineStr">
        <is>
          <t>UPPSALA LÄN</t>
        </is>
      </c>
      <c r="E5620" t="inlineStr">
        <is>
          <t>ÖSTHAMMAR</t>
        </is>
      </c>
      <c r="F5620" t="inlineStr">
        <is>
          <t>Bergvik skog öst AB</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24588-2024</t>
        </is>
      </c>
      <c r="B5621" s="1" t="n">
        <v>45460</v>
      </c>
      <c r="C5621" s="1" t="n">
        <v>45846</v>
      </c>
      <c r="D5621" t="inlineStr">
        <is>
          <t>UPPSALA LÄN</t>
        </is>
      </c>
      <c r="E5621" t="inlineStr">
        <is>
          <t>ÖSTHAMMAR</t>
        </is>
      </c>
      <c r="F5621" t="inlineStr">
        <is>
          <t>Bergvik skog öst AB</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24606-2024</t>
        </is>
      </c>
      <c r="B5622" s="1" t="n">
        <v>45460</v>
      </c>
      <c r="C5622" s="1" t="n">
        <v>45846</v>
      </c>
      <c r="D5622" t="inlineStr">
        <is>
          <t>UPPSALA LÄN</t>
        </is>
      </c>
      <c r="E5622" t="inlineStr">
        <is>
          <t>ÖSTHAMMAR</t>
        </is>
      </c>
      <c r="F5622" t="inlineStr">
        <is>
          <t>Bergvik skog öst AB</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24787-2024</t>
        </is>
      </c>
      <c r="B5623" s="1" t="n">
        <v>45460</v>
      </c>
      <c r="C5623" s="1" t="n">
        <v>45846</v>
      </c>
      <c r="D5623" t="inlineStr">
        <is>
          <t>UPPSALA LÄN</t>
        </is>
      </c>
      <c r="E5623" t="inlineStr">
        <is>
          <t>UPPSALA</t>
        </is>
      </c>
      <c r="F5623" t="inlineStr">
        <is>
          <t>Övriga Aktiebolag</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24560-2024</t>
        </is>
      </c>
      <c r="B5624" s="1" t="n">
        <v>45460</v>
      </c>
      <c r="C5624" s="1" t="n">
        <v>45846</v>
      </c>
      <c r="D5624" t="inlineStr">
        <is>
          <t>UPPSALA LÄN</t>
        </is>
      </c>
      <c r="E5624" t="inlineStr">
        <is>
          <t>ÖSTHAMMAR</t>
        </is>
      </c>
      <c r="F5624" t="inlineStr">
        <is>
          <t>Bergvik skog öst AB</t>
        </is>
      </c>
      <c r="G5624" t="n">
        <v>3.8</v>
      </c>
      <c r="H5624" t="n">
        <v>0</v>
      </c>
      <c r="I5624" t="n">
        <v>0</v>
      </c>
      <c r="J5624" t="n">
        <v>0</v>
      </c>
      <c r="K5624" t="n">
        <v>0</v>
      </c>
      <c r="L5624" t="n">
        <v>0</v>
      </c>
      <c r="M5624" t="n">
        <v>0</v>
      </c>
      <c r="N5624" t="n">
        <v>0</v>
      </c>
      <c r="O5624" t="n">
        <v>0</v>
      </c>
      <c r="P5624" t="n">
        <v>0</v>
      </c>
      <c r="Q5624" t="n">
        <v>0</v>
      </c>
      <c r="R5624" s="2" t="inlineStr"/>
    </row>
    <row r="5625" ht="15" customHeight="1">
      <c r="A5625" t="inlineStr">
        <is>
          <t>A 24589-2024</t>
        </is>
      </c>
      <c r="B5625" s="1" t="n">
        <v>45460</v>
      </c>
      <c r="C5625" s="1" t="n">
        <v>45846</v>
      </c>
      <c r="D5625" t="inlineStr">
        <is>
          <t>UPPSALA LÄN</t>
        </is>
      </c>
      <c r="E5625" t="inlineStr">
        <is>
          <t>ÖSTHAMMAR</t>
        </is>
      </c>
      <c r="F5625" t="inlineStr">
        <is>
          <t>Bergvik skog öst AB</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24853-2024</t>
        </is>
      </c>
      <c r="B5626" s="1" t="n">
        <v>45461</v>
      </c>
      <c r="C5626" s="1" t="n">
        <v>45846</v>
      </c>
      <c r="D5626" t="inlineStr">
        <is>
          <t>UPPSALA LÄN</t>
        </is>
      </c>
      <c r="E5626" t="inlineStr">
        <is>
          <t>ÖSTHAMMAR</t>
        </is>
      </c>
      <c r="G5626" t="n">
        <v>5</v>
      </c>
      <c r="H5626" t="n">
        <v>0</v>
      </c>
      <c r="I5626" t="n">
        <v>0</v>
      </c>
      <c r="J5626" t="n">
        <v>0</v>
      </c>
      <c r="K5626" t="n">
        <v>0</v>
      </c>
      <c r="L5626" t="n">
        <v>0</v>
      </c>
      <c r="M5626" t="n">
        <v>0</v>
      </c>
      <c r="N5626" t="n">
        <v>0</v>
      </c>
      <c r="O5626" t="n">
        <v>0</v>
      </c>
      <c r="P5626" t="n">
        <v>0</v>
      </c>
      <c r="Q5626" t="n">
        <v>0</v>
      </c>
      <c r="R5626" s="2" t="inlineStr"/>
    </row>
    <row r="5627" ht="15" customHeight="1">
      <c r="A5627" t="inlineStr">
        <is>
          <t>A 25289-2024</t>
        </is>
      </c>
      <c r="B5627" s="1" t="n">
        <v>45462</v>
      </c>
      <c r="C5627" s="1" t="n">
        <v>45846</v>
      </c>
      <c r="D5627" t="inlineStr">
        <is>
          <t>UPPSALA LÄN</t>
        </is>
      </c>
      <c r="E5627" t="inlineStr">
        <is>
          <t>ÖSTHAMMAR</t>
        </is>
      </c>
      <c r="F5627" t="inlineStr">
        <is>
          <t>Bergvik skog öst AB</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25269-2024</t>
        </is>
      </c>
      <c r="B5628" s="1" t="n">
        <v>45462</v>
      </c>
      <c r="C5628" s="1" t="n">
        <v>45846</v>
      </c>
      <c r="D5628" t="inlineStr">
        <is>
          <t>UPPSALA LÄN</t>
        </is>
      </c>
      <c r="E5628" t="inlineStr">
        <is>
          <t>ÖSTHAMMAR</t>
        </is>
      </c>
      <c r="F5628" t="inlineStr">
        <is>
          <t>Bergvik skog öst AB</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25252-2024</t>
        </is>
      </c>
      <c r="B5629" s="1" t="n">
        <v>45462</v>
      </c>
      <c r="C5629" s="1" t="n">
        <v>45846</v>
      </c>
      <c r="D5629" t="inlineStr">
        <is>
          <t>UPPSALA LÄN</t>
        </is>
      </c>
      <c r="E5629" t="inlineStr">
        <is>
          <t>ÖSTHAMMAR</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25188-2024</t>
        </is>
      </c>
      <c r="B5630" s="1" t="n">
        <v>45462</v>
      </c>
      <c r="C5630" s="1" t="n">
        <v>45846</v>
      </c>
      <c r="D5630" t="inlineStr">
        <is>
          <t>UPPSALA LÄN</t>
        </is>
      </c>
      <c r="E5630" t="inlineStr">
        <is>
          <t>TIERP</t>
        </is>
      </c>
      <c r="F5630" t="inlineStr">
        <is>
          <t>Bergvik skog öst AB</t>
        </is>
      </c>
      <c r="G5630" t="n">
        <v>5.7</v>
      </c>
      <c r="H5630" t="n">
        <v>0</v>
      </c>
      <c r="I5630" t="n">
        <v>0</v>
      </c>
      <c r="J5630" t="n">
        <v>0</v>
      </c>
      <c r="K5630" t="n">
        <v>0</v>
      </c>
      <c r="L5630" t="n">
        <v>0</v>
      </c>
      <c r="M5630" t="n">
        <v>0</v>
      </c>
      <c r="N5630" t="n">
        <v>0</v>
      </c>
      <c r="O5630" t="n">
        <v>0</v>
      </c>
      <c r="P5630" t="n">
        <v>0</v>
      </c>
      <c r="Q5630" t="n">
        <v>0</v>
      </c>
      <c r="R5630" s="2" t="inlineStr"/>
    </row>
    <row r="5631" ht="15" customHeight="1">
      <c r="A5631" t="inlineStr">
        <is>
          <t>A 25607-2024</t>
        </is>
      </c>
      <c r="B5631" s="1" t="n">
        <v>45463</v>
      </c>
      <c r="C5631" s="1" t="n">
        <v>45846</v>
      </c>
      <c r="D5631" t="inlineStr">
        <is>
          <t>UPPSALA LÄN</t>
        </is>
      </c>
      <c r="E5631" t="inlineStr">
        <is>
          <t>ENKÖPING</t>
        </is>
      </c>
      <c r="G5631" t="n">
        <v>6.3</v>
      </c>
      <c r="H5631" t="n">
        <v>0</v>
      </c>
      <c r="I5631" t="n">
        <v>0</v>
      </c>
      <c r="J5631" t="n">
        <v>0</v>
      </c>
      <c r="K5631" t="n">
        <v>0</v>
      </c>
      <c r="L5631" t="n">
        <v>0</v>
      </c>
      <c r="M5631" t="n">
        <v>0</v>
      </c>
      <c r="N5631" t="n">
        <v>0</v>
      </c>
      <c r="O5631" t="n">
        <v>0</v>
      </c>
      <c r="P5631" t="n">
        <v>0</v>
      </c>
      <c r="Q5631" t="n">
        <v>0</v>
      </c>
      <c r="R5631" s="2" t="inlineStr"/>
    </row>
    <row r="5632" ht="15" customHeight="1">
      <c r="A5632" t="inlineStr">
        <is>
          <t>A 25595-2024</t>
        </is>
      </c>
      <c r="B5632" s="1" t="n">
        <v>45463</v>
      </c>
      <c r="C5632" s="1" t="n">
        <v>45846</v>
      </c>
      <c r="D5632" t="inlineStr">
        <is>
          <t>UPPSALA LÄN</t>
        </is>
      </c>
      <c r="E5632" t="inlineStr">
        <is>
          <t>ENKÖPING</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25539-2024</t>
        </is>
      </c>
      <c r="B5633" s="1" t="n">
        <v>45463</v>
      </c>
      <c r="C5633" s="1" t="n">
        <v>45846</v>
      </c>
      <c r="D5633" t="inlineStr">
        <is>
          <t>UPPSALA LÄN</t>
        </is>
      </c>
      <c r="E5633" t="inlineStr">
        <is>
          <t>UPPSALA</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25601-2024</t>
        </is>
      </c>
      <c r="B5634" s="1" t="n">
        <v>45463</v>
      </c>
      <c r="C5634" s="1" t="n">
        <v>45846</v>
      </c>
      <c r="D5634" t="inlineStr">
        <is>
          <t>UPPSALA LÄN</t>
        </is>
      </c>
      <c r="E5634" t="inlineStr">
        <is>
          <t>ENKÖPING</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25537-2024</t>
        </is>
      </c>
      <c r="B5635" s="1" t="n">
        <v>45463</v>
      </c>
      <c r="C5635" s="1" t="n">
        <v>45846</v>
      </c>
      <c r="D5635" t="inlineStr">
        <is>
          <t>UPPSALA LÄN</t>
        </is>
      </c>
      <c r="E5635" t="inlineStr">
        <is>
          <t>UPPSALA</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25536-2024</t>
        </is>
      </c>
      <c r="B5636" s="1" t="n">
        <v>45463</v>
      </c>
      <c r="C5636" s="1" t="n">
        <v>45846</v>
      </c>
      <c r="D5636" t="inlineStr">
        <is>
          <t>UPPSALA LÄN</t>
        </is>
      </c>
      <c r="E5636" t="inlineStr">
        <is>
          <t>UPPSALA</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25487-2024</t>
        </is>
      </c>
      <c r="B5637" s="1" t="n">
        <v>45463</v>
      </c>
      <c r="C5637" s="1" t="n">
        <v>45846</v>
      </c>
      <c r="D5637" t="inlineStr">
        <is>
          <t>UPPSALA LÄN</t>
        </is>
      </c>
      <c r="E5637" t="inlineStr">
        <is>
          <t>UPPSALA</t>
        </is>
      </c>
      <c r="F5637" t="inlineStr">
        <is>
          <t>Övriga Aktiebolag</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25403-2024</t>
        </is>
      </c>
      <c r="B5638" s="1" t="n">
        <v>45463</v>
      </c>
      <c r="C5638" s="1" t="n">
        <v>45846</v>
      </c>
      <c r="D5638" t="inlineStr">
        <is>
          <t>UPPSALA LÄN</t>
        </is>
      </c>
      <c r="E5638" t="inlineStr">
        <is>
          <t>UPPSALA</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25490-2024</t>
        </is>
      </c>
      <c r="B5639" s="1" t="n">
        <v>45463</v>
      </c>
      <c r="C5639" s="1" t="n">
        <v>45846</v>
      </c>
      <c r="D5639" t="inlineStr">
        <is>
          <t>UPPSALA LÄN</t>
        </is>
      </c>
      <c r="E5639" t="inlineStr">
        <is>
          <t>UPPSALA</t>
        </is>
      </c>
      <c r="F5639" t="inlineStr">
        <is>
          <t>Övriga Aktiebolag</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25772-2024</t>
        </is>
      </c>
      <c r="B5640" s="1" t="n">
        <v>45466</v>
      </c>
      <c r="C5640" s="1" t="n">
        <v>45846</v>
      </c>
      <c r="D5640" t="inlineStr">
        <is>
          <t>UPPSALA LÄN</t>
        </is>
      </c>
      <c r="E5640" t="inlineStr">
        <is>
          <t>ÖSTHAMMAR</t>
        </is>
      </c>
      <c r="F5640" t="inlineStr">
        <is>
          <t>Bergvik skog öst AB</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25770-2024</t>
        </is>
      </c>
      <c r="B5641" s="1" t="n">
        <v>45466</v>
      </c>
      <c r="C5641" s="1" t="n">
        <v>45846</v>
      </c>
      <c r="D5641" t="inlineStr">
        <is>
          <t>UPPSALA LÄN</t>
        </is>
      </c>
      <c r="E5641" t="inlineStr">
        <is>
          <t>ÖSTHAMMAR</t>
        </is>
      </c>
      <c r="F5641" t="inlineStr">
        <is>
          <t>Bergvik skog öst AB</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25771-2024</t>
        </is>
      </c>
      <c r="B5642" s="1" t="n">
        <v>45466</v>
      </c>
      <c r="C5642" s="1" t="n">
        <v>45846</v>
      </c>
      <c r="D5642" t="inlineStr">
        <is>
          <t>UPPSALA LÄN</t>
        </is>
      </c>
      <c r="E5642" t="inlineStr">
        <is>
          <t>ÖSTHAMMAR</t>
        </is>
      </c>
      <c r="F5642" t="inlineStr">
        <is>
          <t>Bergvik skog öst AB</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25930-2024</t>
        </is>
      </c>
      <c r="B5643" s="1" t="n">
        <v>45467</v>
      </c>
      <c r="C5643" s="1" t="n">
        <v>45846</v>
      </c>
      <c r="D5643" t="inlineStr">
        <is>
          <t>UPPSALA LÄN</t>
        </is>
      </c>
      <c r="E5643" t="inlineStr">
        <is>
          <t>ENKÖPING</t>
        </is>
      </c>
      <c r="G5643" t="n">
        <v>5.7</v>
      </c>
      <c r="H5643" t="n">
        <v>0</v>
      </c>
      <c r="I5643" t="n">
        <v>0</v>
      </c>
      <c r="J5643" t="n">
        <v>0</v>
      </c>
      <c r="K5643" t="n">
        <v>0</v>
      </c>
      <c r="L5643" t="n">
        <v>0</v>
      </c>
      <c r="M5643" t="n">
        <v>0</v>
      </c>
      <c r="N5643" t="n">
        <v>0</v>
      </c>
      <c r="O5643" t="n">
        <v>0</v>
      </c>
      <c r="P5643" t="n">
        <v>0</v>
      </c>
      <c r="Q5643" t="n">
        <v>0</v>
      </c>
      <c r="R5643" s="2" t="inlineStr"/>
    </row>
    <row r="5644" ht="15" customHeight="1">
      <c r="A5644" t="inlineStr">
        <is>
          <t>A 25938-2024</t>
        </is>
      </c>
      <c r="B5644" s="1" t="n">
        <v>45467</v>
      </c>
      <c r="C5644" s="1" t="n">
        <v>45846</v>
      </c>
      <c r="D5644" t="inlineStr">
        <is>
          <t>UPPSALA LÄN</t>
        </is>
      </c>
      <c r="E5644" t="inlineStr">
        <is>
          <t>ÖSTHAMMAR</t>
        </is>
      </c>
      <c r="F5644" t="inlineStr">
        <is>
          <t>Bergvik skog öst AB</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25859-2024</t>
        </is>
      </c>
      <c r="B5645" s="1" t="n">
        <v>45467</v>
      </c>
      <c r="C5645" s="1" t="n">
        <v>45846</v>
      </c>
      <c r="D5645" t="inlineStr">
        <is>
          <t>UPPSALA LÄN</t>
        </is>
      </c>
      <c r="E5645" t="inlineStr">
        <is>
          <t>ÖSTHAMMAR</t>
        </is>
      </c>
      <c r="G5645" t="n">
        <v>7.9</v>
      </c>
      <c r="H5645" t="n">
        <v>0</v>
      </c>
      <c r="I5645" t="n">
        <v>0</v>
      </c>
      <c r="J5645" t="n">
        <v>0</v>
      </c>
      <c r="K5645" t="n">
        <v>0</v>
      </c>
      <c r="L5645" t="n">
        <v>0</v>
      </c>
      <c r="M5645" t="n">
        <v>0</v>
      </c>
      <c r="N5645" t="n">
        <v>0</v>
      </c>
      <c r="O5645" t="n">
        <v>0</v>
      </c>
      <c r="P5645" t="n">
        <v>0</v>
      </c>
      <c r="Q5645" t="n">
        <v>0</v>
      </c>
      <c r="R5645" s="2" t="inlineStr"/>
    </row>
    <row r="5646" ht="15" customHeight="1">
      <c r="A5646" t="inlineStr">
        <is>
          <t>A 25953-2024</t>
        </is>
      </c>
      <c r="B5646" s="1" t="n">
        <v>45467</v>
      </c>
      <c r="C5646" s="1" t="n">
        <v>45846</v>
      </c>
      <c r="D5646" t="inlineStr">
        <is>
          <t>UPPSALA LÄN</t>
        </is>
      </c>
      <c r="E5646" t="inlineStr">
        <is>
          <t>ÖSTHAMMAR</t>
        </is>
      </c>
      <c r="F5646" t="inlineStr">
        <is>
          <t>Bergvik skog öst AB</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26303-2024</t>
        </is>
      </c>
      <c r="B5647" s="1" t="n">
        <v>45468</v>
      </c>
      <c r="C5647" s="1" t="n">
        <v>45846</v>
      </c>
      <c r="D5647" t="inlineStr">
        <is>
          <t>UPPSALA LÄN</t>
        </is>
      </c>
      <c r="E5647" t="inlineStr">
        <is>
          <t>ÖSTHAMMAR</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26242-2024</t>
        </is>
      </c>
      <c r="B5648" s="1" t="n">
        <v>45468</v>
      </c>
      <c r="C5648" s="1" t="n">
        <v>45846</v>
      </c>
      <c r="D5648" t="inlineStr">
        <is>
          <t>UPPSALA LÄN</t>
        </is>
      </c>
      <c r="E5648" t="inlineStr">
        <is>
          <t>TIERP</t>
        </is>
      </c>
      <c r="F5648" t="inlineStr">
        <is>
          <t>Bergvik skog öst AB</t>
        </is>
      </c>
      <c r="G5648" t="n">
        <v>5.4</v>
      </c>
      <c r="H5648" t="n">
        <v>0</v>
      </c>
      <c r="I5648" t="n">
        <v>0</v>
      </c>
      <c r="J5648" t="n">
        <v>0</v>
      </c>
      <c r="K5648" t="n">
        <v>0</v>
      </c>
      <c r="L5648" t="n">
        <v>0</v>
      </c>
      <c r="M5648" t="n">
        <v>0</v>
      </c>
      <c r="N5648" t="n">
        <v>0</v>
      </c>
      <c r="O5648" t="n">
        <v>0</v>
      </c>
      <c r="P5648" t="n">
        <v>0</v>
      </c>
      <c r="Q5648" t="n">
        <v>0</v>
      </c>
      <c r="R5648" s="2" t="inlineStr"/>
    </row>
    <row r="5649" ht="15" customHeight="1">
      <c r="A5649" t="inlineStr">
        <is>
          <t>A 26305-2024</t>
        </is>
      </c>
      <c r="B5649" s="1" t="n">
        <v>45468</v>
      </c>
      <c r="C5649" s="1" t="n">
        <v>45846</v>
      </c>
      <c r="D5649" t="inlineStr">
        <is>
          <t>UPPSALA LÄN</t>
        </is>
      </c>
      <c r="E5649" t="inlineStr">
        <is>
          <t>ÖSTHAMMAR</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26072-2024</t>
        </is>
      </c>
      <c r="B5650" s="1" t="n">
        <v>45468</v>
      </c>
      <c r="C5650" s="1" t="n">
        <v>45846</v>
      </c>
      <c r="D5650" t="inlineStr">
        <is>
          <t>UPPSALA LÄN</t>
        </is>
      </c>
      <c r="E5650" t="inlineStr">
        <is>
          <t>HEBY</t>
        </is>
      </c>
      <c r="F5650" t="inlineStr">
        <is>
          <t>Kyrkan</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26272-2024</t>
        </is>
      </c>
      <c r="B5651" s="1" t="n">
        <v>45468</v>
      </c>
      <c r="C5651" s="1" t="n">
        <v>45846</v>
      </c>
      <c r="D5651" t="inlineStr">
        <is>
          <t>UPPSALA LÄN</t>
        </is>
      </c>
      <c r="E5651" t="inlineStr">
        <is>
          <t>ÖSTHAMMAR</t>
        </is>
      </c>
      <c r="G5651" t="n">
        <v>11.7</v>
      </c>
      <c r="H5651" t="n">
        <v>0</v>
      </c>
      <c r="I5651" t="n">
        <v>0</v>
      </c>
      <c r="J5651" t="n">
        <v>0</v>
      </c>
      <c r="K5651" t="n">
        <v>0</v>
      </c>
      <c r="L5651" t="n">
        <v>0</v>
      </c>
      <c r="M5651" t="n">
        <v>0</v>
      </c>
      <c r="N5651" t="n">
        <v>0</v>
      </c>
      <c r="O5651" t="n">
        <v>0</v>
      </c>
      <c r="P5651" t="n">
        <v>0</v>
      </c>
      <c r="Q5651" t="n">
        <v>0</v>
      </c>
      <c r="R5651" s="2" t="inlineStr"/>
    </row>
    <row r="5652" ht="15" customHeight="1">
      <c r="A5652" t="inlineStr">
        <is>
          <t>A 26192-2024</t>
        </is>
      </c>
      <c r="B5652" s="1" t="n">
        <v>45468</v>
      </c>
      <c r="C5652" s="1" t="n">
        <v>45846</v>
      </c>
      <c r="D5652" t="inlineStr">
        <is>
          <t>UPPSALA LÄN</t>
        </is>
      </c>
      <c r="E5652" t="inlineStr">
        <is>
          <t>TIERP</t>
        </is>
      </c>
      <c r="F5652" t="inlineStr">
        <is>
          <t>Bergvik skog öst AB</t>
        </is>
      </c>
      <c r="G5652" t="n">
        <v>19.3</v>
      </c>
      <c r="H5652" t="n">
        <v>0</v>
      </c>
      <c r="I5652" t="n">
        <v>0</v>
      </c>
      <c r="J5652" t="n">
        <v>0</v>
      </c>
      <c r="K5652" t="n">
        <v>0</v>
      </c>
      <c r="L5652" t="n">
        <v>0</v>
      </c>
      <c r="M5652" t="n">
        <v>0</v>
      </c>
      <c r="N5652" t="n">
        <v>0</v>
      </c>
      <c r="O5652" t="n">
        <v>0</v>
      </c>
      <c r="P5652" t="n">
        <v>0</v>
      </c>
      <c r="Q5652" t="n">
        <v>0</v>
      </c>
      <c r="R5652" s="2" t="inlineStr"/>
    </row>
    <row r="5653" ht="15" customHeight="1">
      <c r="A5653" t="inlineStr">
        <is>
          <t>A 26099-2024</t>
        </is>
      </c>
      <c r="B5653" s="1" t="n">
        <v>45468</v>
      </c>
      <c r="C5653" s="1" t="n">
        <v>45846</v>
      </c>
      <c r="D5653" t="inlineStr">
        <is>
          <t>UPPSALA LÄN</t>
        </is>
      </c>
      <c r="E5653" t="inlineStr">
        <is>
          <t>UPPSALA</t>
        </is>
      </c>
      <c r="G5653" t="n">
        <v>0.3</v>
      </c>
      <c r="H5653" t="n">
        <v>0</v>
      </c>
      <c r="I5653" t="n">
        <v>0</v>
      </c>
      <c r="J5653" t="n">
        <v>0</v>
      </c>
      <c r="K5653" t="n">
        <v>0</v>
      </c>
      <c r="L5653" t="n">
        <v>0</v>
      </c>
      <c r="M5653" t="n">
        <v>0</v>
      </c>
      <c r="N5653" t="n">
        <v>0</v>
      </c>
      <c r="O5653" t="n">
        <v>0</v>
      </c>
      <c r="P5653" t="n">
        <v>0</v>
      </c>
      <c r="Q5653" t="n">
        <v>0</v>
      </c>
      <c r="R5653" s="2" t="inlineStr"/>
    </row>
    <row r="5654" ht="15" customHeight="1">
      <c r="A5654" t="inlineStr">
        <is>
          <t>A 26045-2024</t>
        </is>
      </c>
      <c r="B5654" s="1" t="n">
        <v>45468</v>
      </c>
      <c r="C5654" s="1" t="n">
        <v>45846</v>
      </c>
      <c r="D5654" t="inlineStr">
        <is>
          <t>UPPSALA LÄN</t>
        </is>
      </c>
      <c r="E5654" t="inlineStr">
        <is>
          <t>HEBY</t>
        </is>
      </c>
      <c r="F5654" t="inlineStr">
        <is>
          <t>Kyrkan</t>
        </is>
      </c>
      <c r="G5654" t="n">
        <v>13.2</v>
      </c>
      <c r="H5654" t="n">
        <v>0</v>
      </c>
      <c r="I5654" t="n">
        <v>0</v>
      </c>
      <c r="J5654" t="n">
        <v>0</v>
      </c>
      <c r="K5654" t="n">
        <v>0</v>
      </c>
      <c r="L5654" t="n">
        <v>0</v>
      </c>
      <c r="M5654" t="n">
        <v>0</v>
      </c>
      <c r="N5654" t="n">
        <v>0</v>
      </c>
      <c r="O5654" t="n">
        <v>0</v>
      </c>
      <c r="P5654" t="n">
        <v>0</v>
      </c>
      <c r="Q5654" t="n">
        <v>0</v>
      </c>
      <c r="R5654" s="2" t="inlineStr"/>
    </row>
    <row r="5655" ht="15" customHeight="1">
      <c r="A5655" t="inlineStr">
        <is>
          <t>A 26404-2024</t>
        </is>
      </c>
      <c r="B5655" s="1" t="n">
        <v>45469</v>
      </c>
      <c r="C5655" s="1" t="n">
        <v>45846</v>
      </c>
      <c r="D5655" t="inlineStr">
        <is>
          <t>UPPSALA LÄN</t>
        </is>
      </c>
      <c r="E5655" t="inlineStr">
        <is>
          <t>TIERP</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26458-2024</t>
        </is>
      </c>
      <c r="B5656" s="1" t="n">
        <v>45469</v>
      </c>
      <c r="C5656" s="1" t="n">
        <v>45846</v>
      </c>
      <c r="D5656" t="inlineStr">
        <is>
          <t>UPPSALA LÄN</t>
        </is>
      </c>
      <c r="E5656" t="inlineStr">
        <is>
          <t>TIERP</t>
        </is>
      </c>
      <c r="F5656" t="inlineStr">
        <is>
          <t>Bergvik skog väst AB</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26462-2024</t>
        </is>
      </c>
      <c r="B5657" s="1" t="n">
        <v>45469</v>
      </c>
      <c r="C5657" s="1" t="n">
        <v>45846</v>
      </c>
      <c r="D5657" t="inlineStr">
        <is>
          <t>UPPSALA LÄN</t>
        </is>
      </c>
      <c r="E5657" t="inlineStr">
        <is>
          <t>TIERP</t>
        </is>
      </c>
      <c r="F5657" t="inlineStr">
        <is>
          <t>Bergvik skog väst AB</t>
        </is>
      </c>
      <c r="G5657" t="n">
        <v>7</v>
      </c>
      <c r="H5657" t="n">
        <v>0</v>
      </c>
      <c r="I5657" t="n">
        <v>0</v>
      </c>
      <c r="J5657" t="n">
        <v>0</v>
      </c>
      <c r="K5657" t="n">
        <v>0</v>
      </c>
      <c r="L5657" t="n">
        <v>0</v>
      </c>
      <c r="M5657" t="n">
        <v>0</v>
      </c>
      <c r="N5657" t="n">
        <v>0</v>
      </c>
      <c r="O5657" t="n">
        <v>0</v>
      </c>
      <c r="P5657" t="n">
        <v>0</v>
      </c>
      <c r="Q5657" t="n">
        <v>0</v>
      </c>
      <c r="R5657" s="2" t="inlineStr"/>
    </row>
    <row r="5658" ht="15" customHeight="1">
      <c r="A5658" t="inlineStr">
        <is>
          <t>A 26426-2024</t>
        </is>
      </c>
      <c r="B5658" s="1" t="n">
        <v>45469</v>
      </c>
      <c r="C5658" s="1" t="n">
        <v>45846</v>
      </c>
      <c r="D5658" t="inlineStr">
        <is>
          <t>UPPSALA LÄN</t>
        </is>
      </c>
      <c r="E5658" t="inlineStr">
        <is>
          <t>ÖSTHAMMAR</t>
        </is>
      </c>
      <c r="F5658" t="inlineStr">
        <is>
          <t>Bergvik skog öst AB</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26455-2024</t>
        </is>
      </c>
      <c r="B5659" s="1" t="n">
        <v>45469</v>
      </c>
      <c r="C5659" s="1" t="n">
        <v>45846</v>
      </c>
      <c r="D5659" t="inlineStr">
        <is>
          <t>UPPSALA LÄN</t>
        </is>
      </c>
      <c r="E5659" t="inlineStr">
        <is>
          <t>TIERP</t>
        </is>
      </c>
      <c r="F5659" t="inlineStr">
        <is>
          <t>Bergvik skog väst AB</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26436-2024</t>
        </is>
      </c>
      <c r="B5660" s="1" t="n">
        <v>45469</v>
      </c>
      <c r="C5660" s="1" t="n">
        <v>45846</v>
      </c>
      <c r="D5660" t="inlineStr">
        <is>
          <t>UPPSALA LÄN</t>
        </is>
      </c>
      <c r="E5660" t="inlineStr">
        <is>
          <t>ÖSTHAMMAR</t>
        </is>
      </c>
      <c r="F5660" t="inlineStr">
        <is>
          <t>Kyrkan</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26427-2024</t>
        </is>
      </c>
      <c r="B5661" s="1" t="n">
        <v>45469</v>
      </c>
      <c r="C5661" s="1" t="n">
        <v>45846</v>
      </c>
      <c r="D5661" t="inlineStr">
        <is>
          <t>UPPSALA LÄN</t>
        </is>
      </c>
      <c r="E5661" t="inlineStr">
        <is>
          <t>TIERP</t>
        </is>
      </c>
      <c r="F5661" t="inlineStr">
        <is>
          <t>Bergvik skog väst AB</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26419-2024</t>
        </is>
      </c>
      <c r="B5662" s="1" t="n">
        <v>45469</v>
      </c>
      <c r="C5662" s="1" t="n">
        <v>45846</v>
      </c>
      <c r="D5662" t="inlineStr">
        <is>
          <t>UPPSALA LÄN</t>
        </is>
      </c>
      <c r="E5662" t="inlineStr">
        <is>
          <t>HEBY</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26398-2024</t>
        </is>
      </c>
      <c r="B5663" s="1" t="n">
        <v>45469</v>
      </c>
      <c r="C5663" s="1" t="n">
        <v>45846</v>
      </c>
      <c r="D5663" t="inlineStr">
        <is>
          <t>UPPSALA LÄN</t>
        </is>
      </c>
      <c r="E5663" t="inlineStr">
        <is>
          <t>TIERP</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26528-2024</t>
        </is>
      </c>
      <c r="B5664" s="1" t="n">
        <v>45469</v>
      </c>
      <c r="C5664" s="1" t="n">
        <v>45846</v>
      </c>
      <c r="D5664" t="inlineStr">
        <is>
          <t>UPPSALA LÄN</t>
        </is>
      </c>
      <c r="E5664" t="inlineStr">
        <is>
          <t>TIERP</t>
        </is>
      </c>
      <c r="F5664" t="inlineStr">
        <is>
          <t>Bergvik skog väst AB</t>
        </is>
      </c>
      <c r="G5664" t="n">
        <v>10.3</v>
      </c>
      <c r="H5664" t="n">
        <v>0</v>
      </c>
      <c r="I5664" t="n">
        <v>0</v>
      </c>
      <c r="J5664" t="n">
        <v>0</v>
      </c>
      <c r="K5664" t="n">
        <v>0</v>
      </c>
      <c r="L5664" t="n">
        <v>0</v>
      </c>
      <c r="M5664" t="n">
        <v>0</v>
      </c>
      <c r="N5664" t="n">
        <v>0</v>
      </c>
      <c r="O5664" t="n">
        <v>0</v>
      </c>
      <c r="P5664" t="n">
        <v>0</v>
      </c>
      <c r="Q5664" t="n">
        <v>0</v>
      </c>
      <c r="R5664" s="2" t="inlineStr"/>
    </row>
    <row r="5665" ht="15" customHeight="1">
      <c r="A5665" t="inlineStr">
        <is>
          <t>A 26596-2024</t>
        </is>
      </c>
      <c r="B5665" s="1" t="n">
        <v>45469</v>
      </c>
      <c r="C5665" s="1" t="n">
        <v>45846</v>
      </c>
      <c r="D5665" t="inlineStr">
        <is>
          <t>UPPSALA LÄN</t>
        </is>
      </c>
      <c r="E5665" t="inlineStr">
        <is>
          <t>HEBY</t>
        </is>
      </c>
      <c r="G5665" t="n">
        <v>5.1</v>
      </c>
      <c r="H5665" t="n">
        <v>0</v>
      </c>
      <c r="I5665" t="n">
        <v>0</v>
      </c>
      <c r="J5665" t="n">
        <v>0</v>
      </c>
      <c r="K5665" t="n">
        <v>0</v>
      </c>
      <c r="L5665" t="n">
        <v>0</v>
      </c>
      <c r="M5665" t="n">
        <v>0</v>
      </c>
      <c r="N5665" t="n">
        <v>0</v>
      </c>
      <c r="O5665" t="n">
        <v>0</v>
      </c>
      <c r="P5665" t="n">
        <v>0</v>
      </c>
      <c r="Q5665" t="n">
        <v>0</v>
      </c>
      <c r="R5665" s="2" t="inlineStr"/>
    </row>
    <row r="5666" ht="15" customHeight="1">
      <c r="A5666" t="inlineStr">
        <is>
          <t>A 26771-2024</t>
        </is>
      </c>
      <c r="B5666" s="1" t="n">
        <v>45470</v>
      </c>
      <c r="C5666" s="1" t="n">
        <v>45846</v>
      </c>
      <c r="D5666" t="inlineStr">
        <is>
          <t>UPPSALA LÄN</t>
        </is>
      </c>
      <c r="E5666" t="inlineStr">
        <is>
          <t>TIERP</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26884-2024</t>
        </is>
      </c>
      <c r="B5667" s="1" t="n">
        <v>45470</v>
      </c>
      <c r="C5667" s="1" t="n">
        <v>45846</v>
      </c>
      <c r="D5667" t="inlineStr">
        <is>
          <t>UPPSALA LÄN</t>
        </is>
      </c>
      <c r="E5667" t="inlineStr">
        <is>
          <t>TIERP</t>
        </is>
      </c>
      <c r="G5667" t="n">
        <v>4.5</v>
      </c>
      <c r="H5667" t="n">
        <v>0</v>
      </c>
      <c r="I5667" t="n">
        <v>0</v>
      </c>
      <c r="J5667" t="n">
        <v>0</v>
      </c>
      <c r="K5667" t="n">
        <v>0</v>
      </c>
      <c r="L5667" t="n">
        <v>0</v>
      </c>
      <c r="M5667" t="n">
        <v>0</v>
      </c>
      <c r="N5667" t="n">
        <v>0</v>
      </c>
      <c r="O5667" t="n">
        <v>0</v>
      </c>
      <c r="P5667" t="n">
        <v>0</v>
      </c>
      <c r="Q5667" t="n">
        <v>0</v>
      </c>
      <c r="R5667" s="2" t="inlineStr"/>
    </row>
    <row r="5668" ht="15" customHeight="1">
      <c r="A5668" t="inlineStr">
        <is>
          <t>A 26683-2024</t>
        </is>
      </c>
      <c r="B5668" s="1" t="n">
        <v>45470</v>
      </c>
      <c r="C5668" s="1" t="n">
        <v>45846</v>
      </c>
      <c r="D5668" t="inlineStr">
        <is>
          <t>UPPSALA LÄN</t>
        </is>
      </c>
      <c r="E5668" t="inlineStr">
        <is>
          <t>HEBY</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26983-2024</t>
        </is>
      </c>
      <c r="B5669" s="1" t="n">
        <v>45471</v>
      </c>
      <c r="C5669" s="1" t="n">
        <v>45846</v>
      </c>
      <c r="D5669" t="inlineStr">
        <is>
          <t>UPPSALA LÄN</t>
        </is>
      </c>
      <c r="E5669" t="inlineStr">
        <is>
          <t>ÖSTHAMMAR</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27172-2024</t>
        </is>
      </c>
      <c r="B5670" s="1" t="n">
        <v>45471</v>
      </c>
      <c r="C5670" s="1" t="n">
        <v>45846</v>
      </c>
      <c r="D5670" t="inlineStr">
        <is>
          <t>UPPSALA LÄN</t>
        </is>
      </c>
      <c r="E5670" t="inlineStr">
        <is>
          <t>ENKÖPING</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27476-2024</t>
        </is>
      </c>
      <c r="B5671" s="1" t="n">
        <v>45474</v>
      </c>
      <c r="C5671" s="1" t="n">
        <v>45846</v>
      </c>
      <c r="D5671" t="inlineStr">
        <is>
          <t>UPPSALA LÄN</t>
        </is>
      </c>
      <c r="E5671" t="inlineStr">
        <is>
          <t>UPPSALA</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27473-2024</t>
        </is>
      </c>
      <c r="B5672" s="1" t="n">
        <v>45474</v>
      </c>
      <c r="C5672" s="1" t="n">
        <v>45846</v>
      </c>
      <c r="D5672" t="inlineStr">
        <is>
          <t>UPPSALA LÄN</t>
        </is>
      </c>
      <c r="E5672" t="inlineStr">
        <is>
          <t>UPPSALA</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27442-2024</t>
        </is>
      </c>
      <c r="B5673" s="1" t="n">
        <v>45474</v>
      </c>
      <c r="C5673" s="1" t="n">
        <v>45846</v>
      </c>
      <c r="D5673" t="inlineStr">
        <is>
          <t>UPPSALA LÄN</t>
        </is>
      </c>
      <c r="E5673" t="inlineStr">
        <is>
          <t>UPPSALA</t>
        </is>
      </c>
      <c r="F5673" t="inlineStr">
        <is>
          <t>Holmen skog AB</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27603-2024</t>
        </is>
      </c>
      <c r="B5674" s="1" t="n">
        <v>45474</v>
      </c>
      <c r="C5674" s="1" t="n">
        <v>45846</v>
      </c>
      <c r="D5674" t="inlineStr">
        <is>
          <t>UPPSALA LÄN</t>
        </is>
      </c>
      <c r="E5674" t="inlineStr">
        <is>
          <t>HÅBO</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27474-2024</t>
        </is>
      </c>
      <c r="B5675" s="1" t="n">
        <v>45474</v>
      </c>
      <c r="C5675" s="1" t="n">
        <v>45846</v>
      </c>
      <c r="D5675" t="inlineStr">
        <is>
          <t>UPPSALA LÄN</t>
        </is>
      </c>
      <c r="E5675" t="inlineStr">
        <is>
          <t>UPPSALA</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27498-2024</t>
        </is>
      </c>
      <c r="B5676" s="1" t="n">
        <v>45474</v>
      </c>
      <c r="C5676" s="1" t="n">
        <v>45846</v>
      </c>
      <c r="D5676" t="inlineStr">
        <is>
          <t>UPPSALA LÄN</t>
        </is>
      </c>
      <c r="E5676" t="inlineStr">
        <is>
          <t>UPPSALA</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27534-2024</t>
        </is>
      </c>
      <c r="B5677" s="1" t="n">
        <v>45474</v>
      </c>
      <c r="C5677" s="1" t="n">
        <v>45846</v>
      </c>
      <c r="D5677" t="inlineStr">
        <is>
          <t>UPPSALA LÄN</t>
        </is>
      </c>
      <c r="E5677" t="inlineStr">
        <is>
          <t>ÖSTHAMMAR</t>
        </is>
      </c>
      <c r="F5677" t="inlineStr">
        <is>
          <t>Bergvik skog öst AB</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27604-2024</t>
        </is>
      </c>
      <c r="B5678" s="1" t="n">
        <v>45474</v>
      </c>
      <c r="C5678" s="1" t="n">
        <v>45846</v>
      </c>
      <c r="D5678" t="inlineStr">
        <is>
          <t>UPPSALA LÄN</t>
        </is>
      </c>
      <c r="E5678" t="inlineStr">
        <is>
          <t>HÅBO</t>
        </is>
      </c>
      <c r="G5678" t="n">
        <v>8</v>
      </c>
      <c r="H5678" t="n">
        <v>0</v>
      </c>
      <c r="I5678" t="n">
        <v>0</v>
      </c>
      <c r="J5678" t="n">
        <v>0</v>
      </c>
      <c r="K5678" t="n">
        <v>0</v>
      </c>
      <c r="L5678" t="n">
        <v>0</v>
      </c>
      <c r="M5678" t="n">
        <v>0</v>
      </c>
      <c r="N5678" t="n">
        <v>0</v>
      </c>
      <c r="O5678" t="n">
        <v>0</v>
      </c>
      <c r="P5678" t="n">
        <v>0</v>
      </c>
      <c r="Q5678" t="n">
        <v>0</v>
      </c>
      <c r="R5678" s="2" t="inlineStr"/>
    </row>
    <row r="5679" ht="15" customHeight="1">
      <c r="A5679" t="inlineStr">
        <is>
          <t>A 27748-2024</t>
        </is>
      </c>
      <c r="B5679" s="1" t="n">
        <v>45475</v>
      </c>
      <c r="C5679" s="1" t="n">
        <v>45846</v>
      </c>
      <c r="D5679" t="inlineStr">
        <is>
          <t>UPPSALA LÄN</t>
        </is>
      </c>
      <c r="E5679" t="inlineStr">
        <is>
          <t>ÖSTHAMMAR</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27857-2024</t>
        </is>
      </c>
      <c r="B5680" s="1" t="n">
        <v>45475</v>
      </c>
      <c r="C5680" s="1" t="n">
        <v>45846</v>
      </c>
      <c r="D5680" t="inlineStr">
        <is>
          <t>UPPSALA LÄN</t>
        </is>
      </c>
      <c r="E5680" t="inlineStr">
        <is>
          <t>UPPSALA</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27833-2024</t>
        </is>
      </c>
      <c r="B5681" s="1" t="n">
        <v>45475</v>
      </c>
      <c r="C5681" s="1" t="n">
        <v>45846</v>
      </c>
      <c r="D5681" t="inlineStr">
        <is>
          <t>UPPSALA LÄN</t>
        </is>
      </c>
      <c r="E5681" t="inlineStr">
        <is>
          <t>HEBY</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27773-2024</t>
        </is>
      </c>
      <c r="B5682" s="1" t="n">
        <v>45475</v>
      </c>
      <c r="C5682" s="1" t="n">
        <v>45846</v>
      </c>
      <c r="D5682" t="inlineStr">
        <is>
          <t>UPPSALA LÄN</t>
        </is>
      </c>
      <c r="E5682" t="inlineStr">
        <is>
          <t>TIERP</t>
        </is>
      </c>
      <c r="F5682" t="inlineStr">
        <is>
          <t>Bergvik skog öst AB</t>
        </is>
      </c>
      <c r="G5682" t="n">
        <v>3.9</v>
      </c>
      <c r="H5682" t="n">
        <v>0</v>
      </c>
      <c r="I5682" t="n">
        <v>0</v>
      </c>
      <c r="J5682" t="n">
        <v>0</v>
      </c>
      <c r="K5682" t="n">
        <v>0</v>
      </c>
      <c r="L5682" t="n">
        <v>0</v>
      </c>
      <c r="M5682" t="n">
        <v>0</v>
      </c>
      <c r="N5682" t="n">
        <v>0</v>
      </c>
      <c r="O5682" t="n">
        <v>0</v>
      </c>
      <c r="P5682" t="n">
        <v>0</v>
      </c>
      <c r="Q5682" t="n">
        <v>0</v>
      </c>
      <c r="R5682" s="2" t="inlineStr"/>
    </row>
    <row r="5683" ht="15" customHeight="1">
      <c r="A5683" t="inlineStr">
        <is>
          <t>A 27839-2024</t>
        </is>
      </c>
      <c r="B5683" s="1" t="n">
        <v>45475</v>
      </c>
      <c r="C5683" s="1" t="n">
        <v>45846</v>
      </c>
      <c r="D5683" t="inlineStr">
        <is>
          <t>UPPSALA LÄN</t>
        </is>
      </c>
      <c r="E5683" t="inlineStr">
        <is>
          <t>HEBY</t>
        </is>
      </c>
      <c r="G5683" t="n">
        <v>4.1</v>
      </c>
      <c r="H5683" t="n">
        <v>0</v>
      </c>
      <c r="I5683" t="n">
        <v>0</v>
      </c>
      <c r="J5683" t="n">
        <v>0</v>
      </c>
      <c r="K5683" t="n">
        <v>0</v>
      </c>
      <c r="L5683" t="n">
        <v>0</v>
      </c>
      <c r="M5683" t="n">
        <v>0</v>
      </c>
      <c r="N5683" t="n">
        <v>0</v>
      </c>
      <c r="O5683" t="n">
        <v>0</v>
      </c>
      <c r="P5683" t="n">
        <v>0</v>
      </c>
      <c r="Q5683" t="n">
        <v>0</v>
      </c>
      <c r="R5683" s="2" t="inlineStr"/>
    </row>
    <row r="5684" ht="15" customHeight="1">
      <c r="A5684" t="inlineStr">
        <is>
          <t>A 28151-2024</t>
        </is>
      </c>
      <c r="B5684" s="1" t="n">
        <v>45476</v>
      </c>
      <c r="C5684" s="1" t="n">
        <v>45846</v>
      </c>
      <c r="D5684" t="inlineStr">
        <is>
          <t>UPPSALA LÄN</t>
        </is>
      </c>
      <c r="E5684" t="inlineStr">
        <is>
          <t>ÖSTHAMMAR</t>
        </is>
      </c>
      <c r="F5684" t="inlineStr">
        <is>
          <t>Bergvik skog öst AB</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28152-2024</t>
        </is>
      </c>
      <c r="B5685" s="1" t="n">
        <v>45476</v>
      </c>
      <c r="C5685" s="1" t="n">
        <v>45846</v>
      </c>
      <c r="D5685" t="inlineStr">
        <is>
          <t>UPPSALA LÄN</t>
        </is>
      </c>
      <c r="E5685" t="inlineStr">
        <is>
          <t>ÖSTHAMMAR</t>
        </is>
      </c>
      <c r="F5685" t="inlineStr">
        <is>
          <t>Bergvik skog öst AB</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28154-2024</t>
        </is>
      </c>
      <c r="B5686" s="1" t="n">
        <v>45476</v>
      </c>
      <c r="C5686" s="1" t="n">
        <v>45846</v>
      </c>
      <c r="D5686" t="inlineStr">
        <is>
          <t>UPPSALA LÄN</t>
        </is>
      </c>
      <c r="E5686" t="inlineStr">
        <is>
          <t>ÖSTHAMMAR</t>
        </is>
      </c>
      <c r="F5686" t="inlineStr">
        <is>
          <t>Bergvik skog öst AB</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27998-2024</t>
        </is>
      </c>
      <c r="B5687" s="1" t="n">
        <v>45476</v>
      </c>
      <c r="C5687" s="1" t="n">
        <v>45846</v>
      </c>
      <c r="D5687" t="inlineStr">
        <is>
          <t>UPPSALA LÄN</t>
        </is>
      </c>
      <c r="E5687" t="inlineStr">
        <is>
          <t>ENKÖPING</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27994-2024</t>
        </is>
      </c>
      <c r="B5688" s="1" t="n">
        <v>45476</v>
      </c>
      <c r="C5688" s="1" t="n">
        <v>45846</v>
      </c>
      <c r="D5688" t="inlineStr">
        <is>
          <t>UPPSALA LÄN</t>
        </is>
      </c>
      <c r="E5688" t="inlineStr">
        <is>
          <t>UPPSALA</t>
        </is>
      </c>
      <c r="F5688" t="inlineStr">
        <is>
          <t>Holmen skog AB</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28153-2024</t>
        </is>
      </c>
      <c r="B5689" s="1" t="n">
        <v>45476</v>
      </c>
      <c r="C5689" s="1" t="n">
        <v>45846</v>
      </c>
      <c r="D5689" t="inlineStr">
        <is>
          <t>UPPSALA LÄN</t>
        </is>
      </c>
      <c r="E5689" t="inlineStr">
        <is>
          <t>ÖSTHAMMAR</t>
        </is>
      </c>
      <c r="F5689" t="inlineStr">
        <is>
          <t>Bergvik skog öst AB</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27983-2024</t>
        </is>
      </c>
      <c r="B5690" s="1" t="n">
        <v>45476</v>
      </c>
      <c r="C5690" s="1" t="n">
        <v>45846</v>
      </c>
      <c r="D5690" t="inlineStr">
        <is>
          <t>UPPSALA LÄN</t>
        </is>
      </c>
      <c r="E5690" t="inlineStr">
        <is>
          <t>ENKÖPING</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27993-2024</t>
        </is>
      </c>
      <c r="B5691" s="1" t="n">
        <v>45476</v>
      </c>
      <c r="C5691" s="1" t="n">
        <v>45846</v>
      </c>
      <c r="D5691" t="inlineStr">
        <is>
          <t>UPPSALA LÄN</t>
        </is>
      </c>
      <c r="E5691" t="inlineStr">
        <is>
          <t>ENKÖPING</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27981-2024</t>
        </is>
      </c>
      <c r="B5692" s="1" t="n">
        <v>45476</v>
      </c>
      <c r="C5692" s="1" t="n">
        <v>45846</v>
      </c>
      <c r="D5692" t="inlineStr">
        <is>
          <t>UPPSALA LÄN</t>
        </is>
      </c>
      <c r="E5692" t="inlineStr">
        <is>
          <t>UPPSALA</t>
        </is>
      </c>
      <c r="F5692" t="inlineStr">
        <is>
          <t>Holmen skog AB</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27973-2024</t>
        </is>
      </c>
      <c r="B5693" s="1" t="n">
        <v>45476</v>
      </c>
      <c r="C5693" s="1" t="n">
        <v>45846</v>
      </c>
      <c r="D5693" t="inlineStr">
        <is>
          <t>UPPSALA LÄN</t>
        </is>
      </c>
      <c r="E5693" t="inlineStr">
        <is>
          <t>UPPSALA</t>
        </is>
      </c>
      <c r="F5693" t="inlineStr">
        <is>
          <t>Holmen skog AB</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28453-2024</t>
        </is>
      </c>
      <c r="B5694" s="1" t="n">
        <v>45477</v>
      </c>
      <c r="C5694" s="1" t="n">
        <v>45846</v>
      </c>
      <c r="D5694" t="inlineStr">
        <is>
          <t>UPPSALA LÄN</t>
        </is>
      </c>
      <c r="E5694" t="inlineStr">
        <is>
          <t>UPPSALA</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28325-2024</t>
        </is>
      </c>
      <c r="B5695" s="1" t="n">
        <v>45477</v>
      </c>
      <c r="C5695" s="1" t="n">
        <v>45846</v>
      </c>
      <c r="D5695" t="inlineStr">
        <is>
          <t>UPPSALA LÄN</t>
        </is>
      </c>
      <c r="E5695" t="inlineStr">
        <is>
          <t>ENKÖPING</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28518-2024</t>
        </is>
      </c>
      <c r="B5696" s="1" t="n">
        <v>45477</v>
      </c>
      <c r="C5696" s="1" t="n">
        <v>45846</v>
      </c>
      <c r="D5696" t="inlineStr">
        <is>
          <t>UPPSALA LÄN</t>
        </is>
      </c>
      <c r="E5696" t="inlineStr">
        <is>
          <t>ENKÖPING</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28318-2024</t>
        </is>
      </c>
      <c r="B5697" s="1" t="n">
        <v>45477</v>
      </c>
      <c r="C5697" s="1" t="n">
        <v>45846</v>
      </c>
      <c r="D5697" t="inlineStr">
        <is>
          <t>UPPSALA LÄN</t>
        </is>
      </c>
      <c r="E5697" t="inlineStr">
        <is>
          <t>ENKÖPING</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28515-2024</t>
        </is>
      </c>
      <c r="B5698" s="1" t="n">
        <v>45477</v>
      </c>
      <c r="C5698" s="1" t="n">
        <v>45846</v>
      </c>
      <c r="D5698" t="inlineStr">
        <is>
          <t>UPPSALA LÄN</t>
        </is>
      </c>
      <c r="E5698" t="inlineStr">
        <is>
          <t>ENKÖPING</t>
        </is>
      </c>
      <c r="G5698" t="n">
        <v>5.9</v>
      </c>
      <c r="H5698" t="n">
        <v>0</v>
      </c>
      <c r="I5698" t="n">
        <v>0</v>
      </c>
      <c r="J5698" t="n">
        <v>0</v>
      </c>
      <c r="K5698" t="n">
        <v>0</v>
      </c>
      <c r="L5698" t="n">
        <v>0</v>
      </c>
      <c r="M5698" t="n">
        <v>0</v>
      </c>
      <c r="N5698" t="n">
        <v>0</v>
      </c>
      <c r="O5698" t="n">
        <v>0</v>
      </c>
      <c r="P5698" t="n">
        <v>0</v>
      </c>
      <c r="Q5698" t="n">
        <v>0</v>
      </c>
      <c r="R5698" s="2" t="inlineStr"/>
    </row>
    <row r="5699" ht="15" customHeight="1">
      <c r="A5699" t="inlineStr">
        <is>
          <t>A 28538-2024</t>
        </is>
      </c>
      <c r="B5699" s="1" t="n">
        <v>45478</v>
      </c>
      <c r="C5699" s="1" t="n">
        <v>45846</v>
      </c>
      <c r="D5699" t="inlineStr">
        <is>
          <t>UPPSALA LÄN</t>
        </is>
      </c>
      <c r="E5699" t="inlineStr">
        <is>
          <t>TIERP</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28825-2024</t>
        </is>
      </c>
      <c r="B5700" s="1" t="n">
        <v>45478</v>
      </c>
      <c r="C5700" s="1" t="n">
        <v>45846</v>
      </c>
      <c r="D5700" t="inlineStr">
        <is>
          <t>UPPSALA LÄN</t>
        </is>
      </c>
      <c r="E5700" t="inlineStr">
        <is>
          <t>UPPSALA</t>
        </is>
      </c>
      <c r="F5700" t="inlineStr">
        <is>
          <t>Holmen skog AB</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28608-2024</t>
        </is>
      </c>
      <c r="B5701" s="1" t="n">
        <v>45478</v>
      </c>
      <c r="C5701" s="1" t="n">
        <v>45846</v>
      </c>
      <c r="D5701" t="inlineStr">
        <is>
          <t>UPPSALA LÄN</t>
        </is>
      </c>
      <c r="E5701" t="inlineStr">
        <is>
          <t>HÅBO</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28782-2024</t>
        </is>
      </c>
      <c r="B5702" s="1" t="n">
        <v>45478</v>
      </c>
      <c r="C5702" s="1" t="n">
        <v>45846</v>
      </c>
      <c r="D5702" t="inlineStr">
        <is>
          <t>UPPSALA LÄN</t>
        </is>
      </c>
      <c r="E5702" t="inlineStr">
        <is>
          <t>UPPSALA</t>
        </is>
      </c>
      <c r="F5702" t="inlineStr">
        <is>
          <t>Holmen skog AB</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28666-2024</t>
        </is>
      </c>
      <c r="B5703" s="1" t="n">
        <v>45478</v>
      </c>
      <c r="C5703" s="1" t="n">
        <v>45846</v>
      </c>
      <c r="D5703" t="inlineStr">
        <is>
          <t>UPPSALA LÄN</t>
        </is>
      </c>
      <c r="E5703" t="inlineStr">
        <is>
          <t>TIERP</t>
        </is>
      </c>
      <c r="F5703" t="inlineStr">
        <is>
          <t>Bergvik skog öst AB</t>
        </is>
      </c>
      <c r="G5703" t="n">
        <v>8.699999999999999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28848-2024</t>
        </is>
      </c>
      <c r="B5704" s="1" t="n">
        <v>45478</v>
      </c>
      <c r="C5704" s="1" t="n">
        <v>45846</v>
      </c>
      <c r="D5704" t="inlineStr">
        <is>
          <t>UPPSALA LÄN</t>
        </is>
      </c>
      <c r="E5704" t="inlineStr">
        <is>
          <t>ENKÖPING</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28914-2024</t>
        </is>
      </c>
      <c r="B5705" s="1" t="n">
        <v>45480</v>
      </c>
      <c r="C5705" s="1" t="n">
        <v>45846</v>
      </c>
      <c r="D5705" t="inlineStr">
        <is>
          <t>UPPSALA LÄN</t>
        </is>
      </c>
      <c r="E5705" t="inlineStr">
        <is>
          <t>ÖSTHAMMAR</t>
        </is>
      </c>
      <c r="F5705" t="inlineStr">
        <is>
          <t>Bergvik skog öst AB</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28915-2024</t>
        </is>
      </c>
      <c r="B5706" s="1" t="n">
        <v>45480</v>
      </c>
      <c r="C5706" s="1" t="n">
        <v>45846</v>
      </c>
      <c r="D5706" t="inlineStr">
        <is>
          <t>UPPSALA LÄN</t>
        </is>
      </c>
      <c r="E5706" t="inlineStr">
        <is>
          <t>ÖSTHAMMAR</t>
        </is>
      </c>
      <c r="F5706" t="inlineStr">
        <is>
          <t>Bergvik skog öst AB</t>
        </is>
      </c>
      <c r="G5706" t="n">
        <v>5.1</v>
      </c>
      <c r="H5706" t="n">
        <v>0</v>
      </c>
      <c r="I5706" t="n">
        <v>0</v>
      </c>
      <c r="J5706" t="n">
        <v>0</v>
      </c>
      <c r="K5706" t="n">
        <v>0</v>
      </c>
      <c r="L5706" t="n">
        <v>0</v>
      </c>
      <c r="M5706" t="n">
        <v>0</v>
      </c>
      <c r="N5706" t="n">
        <v>0</v>
      </c>
      <c r="O5706" t="n">
        <v>0</v>
      </c>
      <c r="P5706" t="n">
        <v>0</v>
      </c>
      <c r="Q5706" t="n">
        <v>0</v>
      </c>
      <c r="R5706" s="2" t="inlineStr"/>
    </row>
    <row r="5707" ht="15" customHeight="1">
      <c r="A5707" t="inlineStr">
        <is>
          <t>A 29081-2024</t>
        </is>
      </c>
      <c r="B5707" s="1" t="n">
        <v>45481</v>
      </c>
      <c r="C5707" s="1" t="n">
        <v>45846</v>
      </c>
      <c r="D5707" t="inlineStr">
        <is>
          <t>UPPSALA LÄN</t>
        </is>
      </c>
      <c r="E5707" t="inlineStr">
        <is>
          <t>UPPSALA</t>
        </is>
      </c>
      <c r="G5707" t="n">
        <v>6.1</v>
      </c>
      <c r="H5707" t="n">
        <v>0</v>
      </c>
      <c r="I5707" t="n">
        <v>0</v>
      </c>
      <c r="J5707" t="n">
        <v>0</v>
      </c>
      <c r="K5707" t="n">
        <v>0</v>
      </c>
      <c r="L5707" t="n">
        <v>0</v>
      </c>
      <c r="M5707" t="n">
        <v>0</v>
      </c>
      <c r="N5707" t="n">
        <v>0</v>
      </c>
      <c r="O5707" t="n">
        <v>0</v>
      </c>
      <c r="P5707" t="n">
        <v>0</v>
      </c>
      <c r="Q5707" t="n">
        <v>0</v>
      </c>
      <c r="R5707" s="2" t="inlineStr"/>
    </row>
    <row r="5708" ht="15" customHeight="1">
      <c r="A5708" t="inlineStr">
        <is>
          <t>A 29082-2024</t>
        </is>
      </c>
      <c r="B5708" s="1" t="n">
        <v>45481</v>
      </c>
      <c r="C5708" s="1" t="n">
        <v>45846</v>
      </c>
      <c r="D5708" t="inlineStr">
        <is>
          <t>UPPSALA LÄN</t>
        </is>
      </c>
      <c r="E5708" t="inlineStr">
        <is>
          <t>UPPSALA</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28944-2024</t>
        </is>
      </c>
      <c r="B5709" s="1" t="n">
        <v>45481</v>
      </c>
      <c r="C5709" s="1" t="n">
        <v>45846</v>
      </c>
      <c r="D5709" t="inlineStr">
        <is>
          <t>UPPSALA LÄN</t>
        </is>
      </c>
      <c r="E5709" t="inlineStr">
        <is>
          <t>TIERP</t>
        </is>
      </c>
      <c r="G5709" t="n">
        <v>3.8</v>
      </c>
      <c r="H5709" t="n">
        <v>0</v>
      </c>
      <c r="I5709" t="n">
        <v>0</v>
      </c>
      <c r="J5709" t="n">
        <v>0</v>
      </c>
      <c r="K5709" t="n">
        <v>0</v>
      </c>
      <c r="L5709" t="n">
        <v>0</v>
      </c>
      <c r="M5709" t="n">
        <v>0</v>
      </c>
      <c r="N5709" t="n">
        <v>0</v>
      </c>
      <c r="O5709" t="n">
        <v>0</v>
      </c>
      <c r="P5709" t="n">
        <v>0</v>
      </c>
      <c r="Q5709" t="n">
        <v>0</v>
      </c>
      <c r="R5709" s="2" t="inlineStr"/>
    </row>
    <row r="5710" ht="15" customHeight="1">
      <c r="A5710" t="inlineStr">
        <is>
          <t>A 29164-2024</t>
        </is>
      </c>
      <c r="B5710" s="1" t="n">
        <v>45482</v>
      </c>
      <c r="C5710" s="1" t="n">
        <v>45846</v>
      </c>
      <c r="D5710" t="inlineStr">
        <is>
          <t>UPPSALA LÄN</t>
        </is>
      </c>
      <c r="E5710" t="inlineStr">
        <is>
          <t>UPPSALA</t>
        </is>
      </c>
      <c r="F5710" t="inlineStr">
        <is>
          <t>Allmännings- och besparingsskogar</t>
        </is>
      </c>
      <c r="G5710" t="n">
        <v>4.5</v>
      </c>
      <c r="H5710" t="n">
        <v>0</v>
      </c>
      <c r="I5710" t="n">
        <v>0</v>
      </c>
      <c r="J5710" t="n">
        <v>0</v>
      </c>
      <c r="K5710" t="n">
        <v>0</v>
      </c>
      <c r="L5710" t="n">
        <v>0</v>
      </c>
      <c r="M5710" t="n">
        <v>0</v>
      </c>
      <c r="N5710" t="n">
        <v>0</v>
      </c>
      <c r="O5710" t="n">
        <v>0</v>
      </c>
      <c r="P5710" t="n">
        <v>0</v>
      </c>
      <c r="Q5710" t="n">
        <v>0</v>
      </c>
      <c r="R5710" s="2" t="inlineStr"/>
    </row>
    <row r="5711" ht="15" customHeight="1">
      <c r="A5711" t="inlineStr">
        <is>
          <t>A 29230-2024</t>
        </is>
      </c>
      <c r="B5711" s="1" t="n">
        <v>45482</v>
      </c>
      <c r="C5711" s="1" t="n">
        <v>45846</v>
      </c>
      <c r="D5711" t="inlineStr">
        <is>
          <t>UPPSALA LÄN</t>
        </is>
      </c>
      <c r="E5711" t="inlineStr">
        <is>
          <t>ÖSTHAMMAR</t>
        </is>
      </c>
      <c r="F5711" t="inlineStr">
        <is>
          <t>Bergvik skog öst AB</t>
        </is>
      </c>
      <c r="G5711" t="n">
        <v>7.2</v>
      </c>
      <c r="H5711" t="n">
        <v>0</v>
      </c>
      <c r="I5711" t="n">
        <v>0</v>
      </c>
      <c r="J5711" t="n">
        <v>0</v>
      </c>
      <c r="K5711" t="n">
        <v>0</v>
      </c>
      <c r="L5711" t="n">
        <v>0</v>
      </c>
      <c r="M5711" t="n">
        <v>0</v>
      </c>
      <c r="N5711" t="n">
        <v>0</v>
      </c>
      <c r="O5711" t="n">
        <v>0</v>
      </c>
      <c r="P5711" t="n">
        <v>0</v>
      </c>
      <c r="Q5711" t="n">
        <v>0</v>
      </c>
      <c r="R5711" s="2" t="inlineStr"/>
    </row>
    <row r="5712" ht="15" customHeight="1">
      <c r="A5712" t="inlineStr">
        <is>
          <t>A 29174-2024</t>
        </is>
      </c>
      <c r="B5712" s="1" t="n">
        <v>45482</v>
      </c>
      <c r="C5712" s="1" t="n">
        <v>45846</v>
      </c>
      <c r="D5712" t="inlineStr">
        <is>
          <t>UPPSALA LÄN</t>
        </is>
      </c>
      <c r="E5712" t="inlineStr">
        <is>
          <t>TIERP</t>
        </is>
      </c>
      <c r="F5712" t="inlineStr">
        <is>
          <t>Bergvik skog öst AB</t>
        </is>
      </c>
      <c r="G5712" t="n">
        <v>7</v>
      </c>
      <c r="H5712" t="n">
        <v>0</v>
      </c>
      <c r="I5712" t="n">
        <v>0</v>
      </c>
      <c r="J5712" t="n">
        <v>0</v>
      </c>
      <c r="K5712" t="n">
        <v>0</v>
      </c>
      <c r="L5712" t="n">
        <v>0</v>
      </c>
      <c r="M5712" t="n">
        <v>0</v>
      </c>
      <c r="N5712" t="n">
        <v>0</v>
      </c>
      <c r="O5712" t="n">
        <v>0</v>
      </c>
      <c r="P5712" t="n">
        <v>0</v>
      </c>
      <c r="Q5712" t="n">
        <v>0</v>
      </c>
      <c r="R5712" s="2" t="inlineStr"/>
    </row>
    <row r="5713" ht="15" customHeight="1">
      <c r="A5713" t="inlineStr">
        <is>
          <t>A 29145-2024</t>
        </is>
      </c>
      <c r="B5713" s="1" t="n">
        <v>45482</v>
      </c>
      <c r="C5713" s="1" t="n">
        <v>45846</v>
      </c>
      <c r="D5713" t="inlineStr">
        <is>
          <t>UPPSALA LÄN</t>
        </is>
      </c>
      <c r="E5713" t="inlineStr">
        <is>
          <t>TIERP</t>
        </is>
      </c>
      <c r="F5713" t="inlineStr">
        <is>
          <t>Bergvik skog öst AB</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29231-2024</t>
        </is>
      </c>
      <c r="B5714" s="1" t="n">
        <v>45482</v>
      </c>
      <c r="C5714" s="1" t="n">
        <v>45846</v>
      </c>
      <c r="D5714" t="inlineStr">
        <is>
          <t>UPPSALA LÄN</t>
        </is>
      </c>
      <c r="E5714" t="inlineStr">
        <is>
          <t>ÖSTHAMMAR</t>
        </is>
      </c>
      <c r="F5714" t="inlineStr">
        <is>
          <t>Bergvik skog öst AB</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29438-2024</t>
        </is>
      </c>
      <c r="B5715" s="1" t="n">
        <v>45483</v>
      </c>
      <c r="C5715" s="1" t="n">
        <v>45846</v>
      </c>
      <c r="D5715" t="inlineStr">
        <is>
          <t>UPPSALA LÄN</t>
        </is>
      </c>
      <c r="E5715" t="inlineStr">
        <is>
          <t>ÖSTHAMMAR</t>
        </is>
      </c>
      <c r="F5715" t="inlineStr">
        <is>
          <t>Bergvik skog öst AB</t>
        </is>
      </c>
      <c r="G5715" t="n">
        <v>5.1</v>
      </c>
      <c r="H5715" t="n">
        <v>0</v>
      </c>
      <c r="I5715" t="n">
        <v>0</v>
      </c>
      <c r="J5715" t="n">
        <v>0</v>
      </c>
      <c r="K5715" t="n">
        <v>0</v>
      </c>
      <c r="L5715" t="n">
        <v>0</v>
      </c>
      <c r="M5715" t="n">
        <v>0</v>
      </c>
      <c r="N5715" t="n">
        <v>0</v>
      </c>
      <c r="O5715" t="n">
        <v>0</v>
      </c>
      <c r="P5715" t="n">
        <v>0</v>
      </c>
      <c r="Q5715" t="n">
        <v>0</v>
      </c>
      <c r="R5715" s="2" t="inlineStr"/>
    </row>
    <row r="5716" ht="15" customHeight="1">
      <c r="A5716" t="inlineStr">
        <is>
          <t>A 29823-2024</t>
        </is>
      </c>
      <c r="B5716" s="1" t="n">
        <v>45485</v>
      </c>
      <c r="C5716" s="1" t="n">
        <v>45846</v>
      </c>
      <c r="D5716" t="inlineStr">
        <is>
          <t>UPPSALA LÄN</t>
        </is>
      </c>
      <c r="E5716" t="inlineStr">
        <is>
          <t>ÖSTHAMMAR</t>
        </is>
      </c>
      <c r="F5716" t="inlineStr">
        <is>
          <t>Bergvik skog öst AB</t>
        </is>
      </c>
      <c r="G5716" t="n">
        <v>9</v>
      </c>
      <c r="H5716" t="n">
        <v>0</v>
      </c>
      <c r="I5716" t="n">
        <v>0</v>
      </c>
      <c r="J5716" t="n">
        <v>0</v>
      </c>
      <c r="K5716" t="n">
        <v>0</v>
      </c>
      <c r="L5716" t="n">
        <v>0</v>
      </c>
      <c r="M5716" t="n">
        <v>0</v>
      </c>
      <c r="N5716" t="n">
        <v>0</v>
      </c>
      <c r="O5716" t="n">
        <v>0</v>
      </c>
      <c r="P5716" t="n">
        <v>0</v>
      </c>
      <c r="Q5716" t="n">
        <v>0</v>
      </c>
      <c r="R5716" s="2" t="inlineStr"/>
    </row>
    <row r="5717" ht="15" customHeight="1">
      <c r="A5717" t="inlineStr">
        <is>
          <t>A 30086-2024</t>
        </is>
      </c>
      <c r="B5717" s="1" t="n">
        <v>45485</v>
      </c>
      <c r="C5717" s="1" t="n">
        <v>45846</v>
      </c>
      <c r="D5717" t="inlineStr">
        <is>
          <t>UPPSALA LÄN</t>
        </is>
      </c>
      <c r="E5717" t="inlineStr">
        <is>
          <t>HEBY</t>
        </is>
      </c>
      <c r="F5717" t="inlineStr">
        <is>
          <t>Bergvik skog väst AB</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29899-2024</t>
        </is>
      </c>
      <c r="B5718" s="1" t="n">
        <v>45487</v>
      </c>
      <c r="C5718" s="1" t="n">
        <v>45846</v>
      </c>
      <c r="D5718" t="inlineStr">
        <is>
          <t>UPPSALA LÄN</t>
        </is>
      </c>
      <c r="E5718" t="inlineStr">
        <is>
          <t>ÄLVKARLEBY</t>
        </is>
      </c>
      <c r="F5718" t="inlineStr">
        <is>
          <t>Bergvik skog väst AB</t>
        </is>
      </c>
      <c r="G5718" t="n">
        <v>7.1</v>
      </c>
      <c r="H5718" t="n">
        <v>0</v>
      </c>
      <c r="I5718" t="n">
        <v>0</v>
      </c>
      <c r="J5718" t="n">
        <v>0</v>
      </c>
      <c r="K5718" t="n">
        <v>0</v>
      </c>
      <c r="L5718" t="n">
        <v>0</v>
      </c>
      <c r="M5718" t="n">
        <v>0</v>
      </c>
      <c r="N5718" t="n">
        <v>0</v>
      </c>
      <c r="O5718" t="n">
        <v>0</v>
      </c>
      <c r="P5718" t="n">
        <v>0</v>
      </c>
      <c r="Q5718" t="n">
        <v>0</v>
      </c>
      <c r="R5718" s="2" t="inlineStr"/>
    </row>
    <row r="5719" ht="15" customHeight="1">
      <c r="A5719" t="inlineStr">
        <is>
          <t>A 30165-2024</t>
        </is>
      </c>
      <c r="B5719" s="1" t="n">
        <v>45488</v>
      </c>
      <c r="C5719" s="1" t="n">
        <v>45846</v>
      </c>
      <c r="D5719" t="inlineStr">
        <is>
          <t>UPPSALA LÄN</t>
        </is>
      </c>
      <c r="E5719" t="inlineStr">
        <is>
          <t>HÅBO</t>
        </is>
      </c>
      <c r="G5719" t="n">
        <v>4.4</v>
      </c>
      <c r="H5719" t="n">
        <v>0</v>
      </c>
      <c r="I5719" t="n">
        <v>0</v>
      </c>
      <c r="J5719" t="n">
        <v>0</v>
      </c>
      <c r="K5719" t="n">
        <v>0</v>
      </c>
      <c r="L5719" t="n">
        <v>0</v>
      </c>
      <c r="M5719" t="n">
        <v>0</v>
      </c>
      <c r="N5719" t="n">
        <v>0</v>
      </c>
      <c r="O5719" t="n">
        <v>0</v>
      </c>
      <c r="P5719" t="n">
        <v>0</v>
      </c>
      <c r="Q5719" t="n">
        <v>0</v>
      </c>
      <c r="R5719" s="2" t="inlineStr"/>
    </row>
    <row r="5720" ht="15" customHeight="1">
      <c r="A5720" t="inlineStr">
        <is>
          <t>A 30110-2024</t>
        </is>
      </c>
      <c r="B5720" s="1" t="n">
        <v>45489</v>
      </c>
      <c r="C5720" s="1" t="n">
        <v>45846</v>
      </c>
      <c r="D5720" t="inlineStr">
        <is>
          <t>UPPSALA LÄN</t>
        </is>
      </c>
      <c r="E5720" t="inlineStr">
        <is>
          <t>TIERP</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30092-2024</t>
        </is>
      </c>
      <c r="B5721" s="1" t="n">
        <v>45489</v>
      </c>
      <c r="C5721" s="1" t="n">
        <v>45846</v>
      </c>
      <c r="D5721" t="inlineStr">
        <is>
          <t>UPPSALA LÄN</t>
        </is>
      </c>
      <c r="E5721" t="inlineStr">
        <is>
          <t>ENKÖPING</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30079-2024</t>
        </is>
      </c>
      <c r="B5722" s="1" t="n">
        <v>45489</v>
      </c>
      <c r="C5722" s="1" t="n">
        <v>45846</v>
      </c>
      <c r="D5722" t="inlineStr">
        <is>
          <t>UPPSALA LÄN</t>
        </is>
      </c>
      <c r="E5722" t="inlineStr">
        <is>
          <t>UPPSALA</t>
        </is>
      </c>
      <c r="F5722" t="inlineStr">
        <is>
          <t>Holmen skog AB</t>
        </is>
      </c>
      <c r="G5722" t="n">
        <v>7.5</v>
      </c>
      <c r="H5722" t="n">
        <v>0</v>
      </c>
      <c r="I5722" t="n">
        <v>0</v>
      </c>
      <c r="J5722" t="n">
        <v>0</v>
      </c>
      <c r="K5722" t="n">
        <v>0</v>
      </c>
      <c r="L5722" t="n">
        <v>0</v>
      </c>
      <c r="M5722" t="n">
        <v>0</v>
      </c>
      <c r="N5722" t="n">
        <v>0</v>
      </c>
      <c r="O5722" t="n">
        <v>0</v>
      </c>
      <c r="P5722" t="n">
        <v>0</v>
      </c>
      <c r="Q5722" t="n">
        <v>0</v>
      </c>
      <c r="R5722" s="2" t="inlineStr"/>
    </row>
    <row r="5723" ht="15" customHeight="1">
      <c r="A5723" t="inlineStr">
        <is>
          <t>A 30113-2024</t>
        </is>
      </c>
      <c r="B5723" s="1" t="n">
        <v>45489</v>
      </c>
      <c r="C5723" s="1" t="n">
        <v>45846</v>
      </c>
      <c r="D5723" t="inlineStr">
        <is>
          <t>UPPSALA LÄN</t>
        </is>
      </c>
      <c r="E5723" t="inlineStr">
        <is>
          <t>TIERP</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30109-2024</t>
        </is>
      </c>
      <c r="B5724" s="1" t="n">
        <v>45489</v>
      </c>
      <c r="C5724" s="1" t="n">
        <v>45846</v>
      </c>
      <c r="D5724" t="inlineStr">
        <is>
          <t>UPPSALA LÄN</t>
        </is>
      </c>
      <c r="E5724" t="inlineStr">
        <is>
          <t>ENKÖPING</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30098-2024</t>
        </is>
      </c>
      <c r="B5725" s="1" t="n">
        <v>45489</v>
      </c>
      <c r="C5725" s="1" t="n">
        <v>45846</v>
      </c>
      <c r="D5725" t="inlineStr">
        <is>
          <t>UPPSALA LÄN</t>
        </is>
      </c>
      <c r="E5725" t="inlineStr">
        <is>
          <t>ENKÖPING</t>
        </is>
      </c>
      <c r="G5725" t="n">
        <v>8.199999999999999</v>
      </c>
      <c r="H5725" t="n">
        <v>0</v>
      </c>
      <c r="I5725" t="n">
        <v>0</v>
      </c>
      <c r="J5725" t="n">
        <v>0</v>
      </c>
      <c r="K5725" t="n">
        <v>0</v>
      </c>
      <c r="L5725" t="n">
        <v>0</v>
      </c>
      <c r="M5725" t="n">
        <v>0</v>
      </c>
      <c r="N5725" t="n">
        <v>0</v>
      </c>
      <c r="O5725" t="n">
        <v>0</v>
      </c>
      <c r="P5725" t="n">
        <v>0</v>
      </c>
      <c r="Q5725" t="n">
        <v>0</v>
      </c>
      <c r="R5725" s="2" t="inlineStr"/>
    </row>
    <row r="5726" ht="15" customHeight="1">
      <c r="A5726" t="inlineStr">
        <is>
          <t>A 30087-2024</t>
        </is>
      </c>
      <c r="B5726" s="1" t="n">
        <v>45489</v>
      </c>
      <c r="C5726" s="1" t="n">
        <v>45846</v>
      </c>
      <c r="D5726" t="inlineStr">
        <is>
          <t>UPPSALA LÄN</t>
        </is>
      </c>
      <c r="E5726" t="inlineStr">
        <is>
          <t>ENKÖPING</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30125-2024</t>
        </is>
      </c>
      <c r="B5727" s="1" t="n">
        <v>45489</v>
      </c>
      <c r="C5727" s="1" t="n">
        <v>45846</v>
      </c>
      <c r="D5727" t="inlineStr">
        <is>
          <t>UPPSALA LÄN</t>
        </is>
      </c>
      <c r="E5727" t="inlineStr">
        <is>
          <t>TIERP</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30097-2024</t>
        </is>
      </c>
      <c r="B5728" s="1" t="n">
        <v>45489</v>
      </c>
      <c r="C5728" s="1" t="n">
        <v>45846</v>
      </c>
      <c r="D5728" t="inlineStr">
        <is>
          <t>UPPSALA LÄN</t>
        </is>
      </c>
      <c r="E5728" t="inlineStr">
        <is>
          <t>TIERP</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30319-2024</t>
        </is>
      </c>
      <c r="B5729" s="1" t="n">
        <v>45490</v>
      </c>
      <c r="C5729" s="1" t="n">
        <v>45846</v>
      </c>
      <c r="D5729" t="inlineStr">
        <is>
          <t>UPPSALA LÄN</t>
        </is>
      </c>
      <c r="E5729" t="inlineStr">
        <is>
          <t>UPPSALA</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30381-2024</t>
        </is>
      </c>
      <c r="B5730" s="1" t="n">
        <v>45491</v>
      </c>
      <c r="C5730" s="1" t="n">
        <v>45846</v>
      </c>
      <c r="D5730" t="inlineStr">
        <is>
          <t>UPPSALA LÄN</t>
        </is>
      </c>
      <c r="E5730" t="inlineStr">
        <is>
          <t>TIERP</t>
        </is>
      </c>
      <c r="F5730" t="inlineStr">
        <is>
          <t>Bergvik skog öst AB</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30394-2024</t>
        </is>
      </c>
      <c r="B5731" s="1" t="n">
        <v>45491</v>
      </c>
      <c r="C5731" s="1" t="n">
        <v>45846</v>
      </c>
      <c r="D5731" t="inlineStr">
        <is>
          <t>UPPSALA LÄN</t>
        </is>
      </c>
      <c r="E5731" t="inlineStr">
        <is>
          <t>ENKÖPING</t>
        </is>
      </c>
      <c r="G5731" t="n">
        <v>4.8</v>
      </c>
      <c r="H5731" t="n">
        <v>0</v>
      </c>
      <c r="I5731" t="n">
        <v>0</v>
      </c>
      <c r="J5731" t="n">
        <v>0</v>
      </c>
      <c r="K5731" t="n">
        <v>0</v>
      </c>
      <c r="L5731" t="n">
        <v>0</v>
      </c>
      <c r="M5731" t="n">
        <v>0</v>
      </c>
      <c r="N5731" t="n">
        <v>0</v>
      </c>
      <c r="O5731" t="n">
        <v>0</v>
      </c>
      <c r="P5731" t="n">
        <v>0</v>
      </c>
      <c r="Q5731" t="n">
        <v>0</v>
      </c>
      <c r="R5731" s="2" t="inlineStr"/>
    </row>
    <row r="5732" ht="15" customHeight="1">
      <c r="A5732" t="inlineStr">
        <is>
          <t>A 30509-2024</t>
        </is>
      </c>
      <c r="B5732" s="1" t="n">
        <v>45492</v>
      </c>
      <c r="C5732" s="1" t="n">
        <v>45846</v>
      </c>
      <c r="D5732" t="inlineStr">
        <is>
          <t>UPPSALA LÄN</t>
        </is>
      </c>
      <c r="E5732" t="inlineStr">
        <is>
          <t>TIERP</t>
        </is>
      </c>
      <c r="F5732" t="inlineStr">
        <is>
          <t>Bergvik skog öst AB</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30605-2024</t>
        </is>
      </c>
      <c r="B5733" s="1" t="n">
        <v>45494</v>
      </c>
      <c r="C5733" s="1" t="n">
        <v>45846</v>
      </c>
      <c r="D5733" t="inlineStr">
        <is>
          <t>UPPSALA LÄN</t>
        </is>
      </c>
      <c r="E5733" t="inlineStr">
        <is>
          <t>ÖSTHAMMAR</t>
        </is>
      </c>
      <c r="F5733" t="inlineStr">
        <is>
          <t>Bergvik skog öst AB</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30604-2024</t>
        </is>
      </c>
      <c r="B5734" s="1" t="n">
        <v>45494</v>
      </c>
      <c r="C5734" s="1" t="n">
        <v>45846</v>
      </c>
      <c r="D5734" t="inlineStr">
        <is>
          <t>UPPSALA LÄN</t>
        </is>
      </c>
      <c r="E5734" t="inlineStr">
        <is>
          <t>ÖSTHAMMAR</t>
        </is>
      </c>
      <c r="F5734" t="inlineStr">
        <is>
          <t>Bergvik skog öst AB</t>
        </is>
      </c>
      <c r="G5734" t="n">
        <v>7.6</v>
      </c>
      <c r="H5734" t="n">
        <v>0</v>
      </c>
      <c r="I5734" t="n">
        <v>0</v>
      </c>
      <c r="J5734" t="n">
        <v>0</v>
      </c>
      <c r="K5734" t="n">
        <v>0</v>
      </c>
      <c r="L5734" t="n">
        <v>0</v>
      </c>
      <c r="M5734" t="n">
        <v>0</v>
      </c>
      <c r="N5734" t="n">
        <v>0</v>
      </c>
      <c r="O5734" t="n">
        <v>0</v>
      </c>
      <c r="P5734" t="n">
        <v>0</v>
      </c>
      <c r="Q5734" t="n">
        <v>0</v>
      </c>
      <c r="R5734" s="2" t="inlineStr"/>
    </row>
    <row r="5735" ht="15" customHeight="1">
      <c r="A5735" t="inlineStr">
        <is>
          <t>A 30756-2024</t>
        </is>
      </c>
      <c r="B5735" s="1" t="n">
        <v>45496</v>
      </c>
      <c r="C5735" s="1" t="n">
        <v>45846</v>
      </c>
      <c r="D5735" t="inlineStr">
        <is>
          <t>UPPSALA LÄN</t>
        </is>
      </c>
      <c r="E5735" t="inlineStr">
        <is>
          <t>ÖSTHAMMAR</t>
        </is>
      </c>
      <c r="F5735" t="inlineStr">
        <is>
          <t>Bergvik skog öst AB</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30755-2024</t>
        </is>
      </c>
      <c r="B5736" s="1" t="n">
        <v>45496</v>
      </c>
      <c r="C5736" s="1" t="n">
        <v>45846</v>
      </c>
      <c r="D5736" t="inlineStr">
        <is>
          <t>UPPSALA LÄN</t>
        </is>
      </c>
      <c r="E5736" t="inlineStr">
        <is>
          <t>ÖSTHAMMAR</t>
        </is>
      </c>
      <c r="F5736" t="inlineStr">
        <is>
          <t>Bergvik skog öst AB</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30972-2024</t>
        </is>
      </c>
      <c r="B5737" s="1" t="n">
        <v>45499</v>
      </c>
      <c r="C5737" s="1" t="n">
        <v>45846</v>
      </c>
      <c r="D5737" t="inlineStr">
        <is>
          <t>UPPSALA LÄN</t>
        </is>
      </c>
      <c r="E5737" t="inlineStr">
        <is>
          <t>ÖSTHAMMAR</t>
        </is>
      </c>
      <c r="F5737" t="inlineStr">
        <is>
          <t>Bergvik skog öst AB</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30973-2024</t>
        </is>
      </c>
      <c r="B5738" s="1" t="n">
        <v>45499</v>
      </c>
      <c r="C5738" s="1" t="n">
        <v>45846</v>
      </c>
      <c r="D5738" t="inlineStr">
        <is>
          <t>UPPSALA LÄN</t>
        </is>
      </c>
      <c r="E5738" t="inlineStr">
        <is>
          <t>ÖSTHAMMAR</t>
        </is>
      </c>
      <c r="F5738" t="inlineStr">
        <is>
          <t>Bergvik skog öst AB</t>
        </is>
      </c>
      <c r="G5738" t="n">
        <v>4.7</v>
      </c>
      <c r="H5738" t="n">
        <v>0</v>
      </c>
      <c r="I5738" t="n">
        <v>0</v>
      </c>
      <c r="J5738" t="n">
        <v>0</v>
      </c>
      <c r="K5738" t="n">
        <v>0</v>
      </c>
      <c r="L5738" t="n">
        <v>0</v>
      </c>
      <c r="M5738" t="n">
        <v>0</v>
      </c>
      <c r="N5738" t="n">
        <v>0</v>
      </c>
      <c r="O5738" t="n">
        <v>0</v>
      </c>
      <c r="P5738" t="n">
        <v>0</v>
      </c>
      <c r="Q5738" t="n">
        <v>0</v>
      </c>
      <c r="R5738" s="2" t="inlineStr"/>
    </row>
    <row r="5739" ht="15" customHeight="1">
      <c r="A5739" t="inlineStr">
        <is>
          <t>A 31070-2024</t>
        </is>
      </c>
      <c r="B5739" s="1" t="n">
        <v>45502</v>
      </c>
      <c r="C5739" s="1" t="n">
        <v>45846</v>
      </c>
      <c r="D5739" t="inlineStr">
        <is>
          <t>UPPSALA LÄN</t>
        </is>
      </c>
      <c r="E5739" t="inlineStr">
        <is>
          <t>KNIVSTA</t>
        </is>
      </c>
      <c r="G5739" t="n">
        <v>5.9</v>
      </c>
      <c r="H5739" t="n">
        <v>0</v>
      </c>
      <c r="I5739" t="n">
        <v>0</v>
      </c>
      <c r="J5739" t="n">
        <v>0</v>
      </c>
      <c r="K5739" t="n">
        <v>0</v>
      </c>
      <c r="L5739" t="n">
        <v>0</v>
      </c>
      <c r="M5739" t="n">
        <v>0</v>
      </c>
      <c r="N5739" t="n">
        <v>0</v>
      </c>
      <c r="O5739" t="n">
        <v>0</v>
      </c>
      <c r="P5739" t="n">
        <v>0</v>
      </c>
      <c r="Q5739" t="n">
        <v>0</v>
      </c>
      <c r="R5739" s="2" t="inlineStr"/>
    </row>
    <row r="5740" ht="15" customHeight="1">
      <c r="A5740" t="inlineStr">
        <is>
          <t>A 31101-2024</t>
        </is>
      </c>
      <c r="B5740" s="1" t="n">
        <v>45502</v>
      </c>
      <c r="C5740" s="1" t="n">
        <v>45846</v>
      </c>
      <c r="D5740" t="inlineStr">
        <is>
          <t>UPPSALA LÄN</t>
        </is>
      </c>
      <c r="E5740" t="inlineStr">
        <is>
          <t>HEBY</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31178-2024</t>
        </is>
      </c>
      <c r="B5741" s="1" t="n">
        <v>45503</v>
      </c>
      <c r="C5741" s="1" t="n">
        <v>45846</v>
      </c>
      <c r="D5741" t="inlineStr">
        <is>
          <t>UPPSALA LÄN</t>
        </is>
      </c>
      <c r="E5741" t="inlineStr">
        <is>
          <t>HEBY</t>
        </is>
      </c>
      <c r="G5741" t="n">
        <v>3.7</v>
      </c>
      <c r="H5741" t="n">
        <v>0</v>
      </c>
      <c r="I5741" t="n">
        <v>0</v>
      </c>
      <c r="J5741" t="n">
        <v>0</v>
      </c>
      <c r="K5741" t="n">
        <v>0</v>
      </c>
      <c r="L5741" t="n">
        <v>0</v>
      </c>
      <c r="M5741" t="n">
        <v>0</v>
      </c>
      <c r="N5741" t="n">
        <v>0</v>
      </c>
      <c r="O5741" t="n">
        <v>0</v>
      </c>
      <c r="P5741" t="n">
        <v>0</v>
      </c>
      <c r="Q5741" t="n">
        <v>0</v>
      </c>
      <c r="R5741" s="2" t="inlineStr"/>
    </row>
    <row r="5742" ht="15" customHeight="1">
      <c r="A5742" t="inlineStr">
        <is>
          <t>A 31241-2024</t>
        </is>
      </c>
      <c r="B5742" s="1" t="n">
        <v>45503</v>
      </c>
      <c r="C5742" s="1" t="n">
        <v>45846</v>
      </c>
      <c r="D5742" t="inlineStr">
        <is>
          <t>UPPSALA LÄN</t>
        </is>
      </c>
      <c r="E5742" t="inlineStr">
        <is>
          <t>ENKÖPING</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31252-2024</t>
        </is>
      </c>
      <c r="B5743" s="1" t="n">
        <v>45503</v>
      </c>
      <c r="C5743" s="1" t="n">
        <v>45846</v>
      </c>
      <c r="D5743" t="inlineStr">
        <is>
          <t>UPPSALA LÄN</t>
        </is>
      </c>
      <c r="E5743" t="inlineStr">
        <is>
          <t>ENKÖPING</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31240-2024</t>
        </is>
      </c>
      <c r="B5744" s="1" t="n">
        <v>45503</v>
      </c>
      <c r="C5744" s="1" t="n">
        <v>45846</v>
      </c>
      <c r="D5744" t="inlineStr">
        <is>
          <t>UPPSALA LÄN</t>
        </is>
      </c>
      <c r="E5744" t="inlineStr">
        <is>
          <t>ENKÖPING</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31253-2024</t>
        </is>
      </c>
      <c r="B5745" s="1" t="n">
        <v>45503</v>
      </c>
      <c r="C5745" s="1" t="n">
        <v>45846</v>
      </c>
      <c r="D5745" t="inlineStr">
        <is>
          <t>UPPSALA LÄN</t>
        </is>
      </c>
      <c r="E5745" t="inlineStr">
        <is>
          <t>ENKÖPING</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31266-2024</t>
        </is>
      </c>
      <c r="B5746" s="1" t="n">
        <v>45504</v>
      </c>
      <c r="C5746" s="1" t="n">
        <v>45846</v>
      </c>
      <c r="D5746" t="inlineStr">
        <is>
          <t>UPPSALA LÄN</t>
        </is>
      </c>
      <c r="E5746" t="inlineStr">
        <is>
          <t>HEBY</t>
        </is>
      </c>
      <c r="G5746" t="n">
        <v>11.5</v>
      </c>
      <c r="H5746" t="n">
        <v>0</v>
      </c>
      <c r="I5746" t="n">
        <v>0</v>
      </c>
      <c r="J5746" t="n">
        <v>0</v>
      </c>
      <c r="K5746" t="n">
        <v>0</v>
      </c>
      <c r="L5746" t="n">
        <v>0</v>
      </c>
      <c r="M5746" t="n">
        <v>0</v>
      </c>
      <c r="N5746" t="n">
        <v>0</v>
      </c>
      <c r="O5746" t="n">
        <v>0</v>
      </c>
      <c r="P5746" t="n">
        <v>0</v>
      </c>
      <c r="Q5746" t="n">
        <v>0</v>
      </c>
      <c r="R5746" s="2" t="inlineStr"/>
    </row>
    <row r="5747" ht="15" customHeight="1">
      <c r="A5747" t="inlineStr">
        <is>
          <t>A 31593-2024</t>
        </is>
      </c>
      <c r="B5747" s="1" t="n">
        <v>45506</v>
      </c>
      <c r="C5747" s="1" t="n">
        <v>45846</v>
      </c>
      <c r="D5747" t="inlineStr">
        <is>
          <t>UPPSALA LÄN</t>
        </is>
      </c>
      <c r="E5747" t="inlineStr">
        <is>
          <t>TIERP</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31592-2024</t>
        </is>
      </c>
      <c r="B5748" s="1" t="n">
        <v>45506</v>
      </c>
      <c r="C5748" s="1" t="n">
        <v>45846</v>
      </c>
      <c r="D5748" t="inlineStr">
        <is>
          <t>UPPSALA LÄN</t>
        </is>
      </c>
      <c r="E5748" t="inlineStr">
        <is>
          <t>TIERP</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31590-2024</t>
        </is>
      </c>
      <c r="B5749" s="1" t="n">
        <v>45506</v>
      </c>
      <c r="C5749" s="1" t="n">
        <v>45846</v>
      </c>
      <c r="D5749" t="inlineStr">
        <is>
          <t>UPPSALA LÄN</t>
        </is>
      </c>
      <c r="E5749" t="inlineStr">
        <is>
          <t>TIERP</t>
        </is>
      </c>
      <c r="G5749" t="n">
        <v>9.800000000000001</v>
      </c>
      <c r="H5749" t="n">
        <v>0</v>
      </c>
      <c r="I5749" t="n">
        <v>0</v>
      </c>
      <c r="J5749" t="n">
        <v>0</v>
      </c>
      <c r="K5749" t="n">
        <v>0</v>
      </c>
      <c r="L5749" t="n">
        <v>0</v>
      </c>
      <c r="M5749" t="n">
        <v>0</v>
      </c>
      <c r="N5749" t="n">
        <v>0</v>
      </c>
      <c r="O5749" t="n">
        <v>0</v>
      </c>
      <c r="P5749" t="n">
        <v>0</v>
      </c>
      <c r="Q5749" t="n">
        <v>0</v>
      </c>
      <c r="R5749" s="2" t="inlineStr"/>
    </row>
    <row r="5750" ht="15" customHeight="1">
      <c r="A5750" t="inlineStr">
        <is>
          <t>A 31595-2024</t>
        </is>
      </c>
      <c r="B5750" s="1" t="n">
        <v>45506</v>
      </c>
      <c r="C5750" s="1" t="n">
        <v>45846</v>
      </c>
      <c r="D5750" t="inlineStr">
        <is>
          <t>UPPSALA LÄN</t>
        </is>
      </c>
      <c r="E5750" t="inlineStr">
        <is>
          <t>TIERP</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31838-2024</t>
        </is>
      </c>
      <c r="B5751" s="1" t="n">
        <v>45509</v>
      </c>
      <c r="C5751" s="1" t="n">
        <v>45846</v>
      </c>
      <c r="D5751" t="inlineStr">
        <is>
          <t>UPPSALA LÄN</t>
        </is>
      </c>
      <c r="E5751" t="inlineStr">
        <is>
          <t>HEBY</t>
        </is>
      </c>
      <c r="F5751" t="inlineStr">
        <is>
          <t>Allmännings- och besparingsskogar</t>
        </is>
      </c>
      <c r="G5751" t="n">
        <v>5.3</v>
      </c>
      <c r="H5751" t="n">
        <v>0</v>
      </c>
      <c r="I5751" t="n">
        <v>0</v>
      </c>
      <c r="J5751" t="n">
        <v>0</v>
      </c>
      <c r="K5751" t="n">
        <v>0</v>
      </c>
      <c r="L5751" t="n">
        <v>0</v>
      </c>
      <c r="M5751" t="n">
        <v>0</v>
      </c>
      <c r="N5751" t="n">
        <v>0</v>
      </c>
      <c r="O5751" t="n">
        <v>0</v>
      </c>
      <c r="P5751" t="n">
        <v>0</v>
      </c>
      <c r="Q5751" t="n">
        <v>0</v>
      </c>
      <c r="R5751" s="2" t="inlineStr"/>
    </row>
    <row r="5752" ht="15" customHeight="1">
      <c r="A5752" t="inlineStr">
        <is>
          <t>A 31717-2024</t>
        </is>
      </c>
      <c r="B5752" s="1" t="n">
        <v>45509</v>
      </c>
      <c r="C5752" s="1" t="n">
        <v>45846</v>
      </c>
      <c r="D5752" t="inlineStr">
        <is>
          <t>UPPSALA LÄN</t>
        </is>
      </c>
      <c r="E5752" t="inlineStr">
        <is>
          <t>UPPSALA</t>
        </is>
      </c>
      <c r="F5752" t="inlineStr">
        <is>
          <t>Bergvik skog öst AB</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32028-2024</t>
        </is>
      </c>
      <c r="B5753" s="1" t="n">
        <v>45510</v>
      </c>
      <c r="C5753" s="1" t="n">
        <v>45846</v>
      </c>
      <c r="D5753" t="inlineStr">
        <is>
          <t>UPPSALA LÄN</t>
        </is>
      </c>
      <c r="E5753" t="inlineStr">
        <is>
          <t>ENKÖPING</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32083-2024</t>
        </is>
      </c>
      <c r="B5754" s="1" t="n">
        <v>45511</v>
      </c>
      <c r="C5754" s="1" t="n">
        <v>45846</v>
      </c>
      <c r="D5754" t="inlineStr">
        <is>
          <t>UPPSALA LÄN</t>
        </is>
      </c>
      <c r="E5754" t="inlineStr">
        <is>
          <t>ENKÖPING</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32119-2024</t>
        </is>
      </c>
      <c r="B5755" s="1" t="n">
        <v>45511</v>
      </c>
      <c r="C5755" s="1" t="n">
        <v>45846</v>
      </c>
      <c r="D5755" t="inlineStr">
        <is>
          <t>UPPSALA LÄN</t>
        </is>
      </c>
      <c r="E5755" t="inlineStr">
        <is>
          <t>UPPSALA</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32127-2024</t>
        </is>
      </c>
      <c r="B5756" s="1" t="n">
        <v>45511</v>
      </c>
      <c r="C5756" s="1" t="n">
        <v>45846</v>
      </c>
      <c r="D5756" t="inlineStr">
        <is>
          <t>UPPSALA LÄN</t>
        </is>
      </c>
      <c r="E5756" t="inlineStr">
        <is>
          <t>UPPSALA</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32086-2024</t>
        </is>
      </c>
      <c r="B5757" s="1" t="n">
        <v>45511</v>
      </c>
      <c r="C5757" s="1" t="n">
        <v>45846</v>
      </c>
      <c r="D5757" t="inlineStr">
        <is>
          <t>UPPSALA LÄN</t>
        </is>
      </c>
      <c r="E5757" t="inlineStr">
        <is>
          <t>ENKÖPING</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32212-2024</t>
        </is>
      </c>
      <c r="B5758" s="1" t="n">
        <v>45511</v>
      </c>
      <c r="C5758" s="1" t="n">
        <v>45846</v>
      </c>
      <c r="D5758" t="inlineStr">
        <is>
          <t>UPPSALA LÄN</t>
        </is>
      </c>
      <c r="E5758" t="inlineStr">
        <is>
          <t>TIERP</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32098-2024</t>
        </is>
      </c>
      <c r="B5759" s="1" t="n">
        <v>45511</v>
      </c>
      <c r="C5759" s="1" t="n">
        <v>45846</v>
      </c>
      <c r="D5759" t="inlineStr">
        <is>
          <t>UPPSALA LÄN</t>
        </is>
      </c>
      <c r="E5759" t="inlineStr">
        <is>
          <t>TIERP</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32106-2024</t>
        </is>
      </c>
      <c r="B5760" s="1" t="n">
        <v>45511</v>
      </c>
      <c r="C5760" s="1" t="n">
        <v>45846</v>
      </c>
      <c r="D5760" t="inlineStr">
        <is>
          <t>UPPSALA LÄN</t>
        </is>
      </c>
      <c r="E5760" t="inlineStr">
        <is>
          <t>UPPSALA</t>
        </is>
      </c>
      <c r="G5760" t="n">
        <v>5.9</v>
      </c>
      <c r="H5760" t="n">
        <v>0</v>
      </c>
      <c r="I5760" t="n">
        <v>0</v>
      </c>
      <c r="J5760" t="n">
        <v>0</v>
      </c>
      <c r="K5760" t="n">
        <v>0</v>
      </c>
      <c r="L5760" t="n">
        <v>0</v>
      </c>
      <c r="M5760" t="n">
        <v>0</v>
      </c>
      <c r="N5760" t="n">
        <v>0</v>
      </c>
      <c r="O5760" t="n">
        <v>0</v>
      </c>
      <c r="P5760" t="n">
        <v>0</v>
      </c>
      <c r="Q5760" t="n">
        <v>0</v>
      </c>
      <c r="R5760" s="2" t="inlineStr"/>
    </row>
    <row r="5761" ht="15" customHeight="1">
      <c r="A5761" t="inlineStr">
        <is>
          <t>A 32150-2024</t>
        </is>
      </c>
      <c r="B5761" s="1" t="n">
        <v>45511</v>
      </c>
      <c r="C5761" s="1" t="n">
        <v>45846</v>
      </c>
      <c r="D5761" t="inlineStr">
        <is>
          <t>UPPSALA LÄN</t>
        </is>
      </c>
      <c r="E5761" t="inlineStr">
        <is>
          <t>HEBY</t>
        </is>
      </c>
      <c r="G5761" t="n">
        <v>6.3</v>
      </c>
      <c r="H5761" t="n">
        <v>0</v>
      </c>
      <c r="I5761" t="n">
        <v>0</v>
      </c>
      <c r="J5761" t="n">
        <v>0</v>
      </c>
      <c r="K5761" t="n">
        <v>0</v>
      </c>
      <c r="L5761" t="n">
        <v>0</v>
      </c>
      <c r="M5761" t="n">
        <v>0</v>
      </c>
      <c r="N5761" t="n">
        <v>0</v>
      </c>
      <c r="O5761" t="n">
        <v>0</v>
      </c>
      <c r="P5761" t="n">
        <v>0</v>
      </c>
      <c r="Q5761" t="n">
        <v>0</v>
      </c>
      <c r="R5761" s="2" t="inlineStr"/>
    </row>
    <row r="5762" ht="15" customHeight="1">
      <c r="A5762" t="inlineStr">
        <is>
          <t>A 32080-2024</t>
        </is>
      </c>
      <c r="B5762" s="1" t="n">
        <v>45511</v>
      </c>
      <c r="C5762" s="1" t="n">
        <v>45846</v>
      </c>
      <c r="D5762" t="inlineStr">
        <is>
          <t>UPPSALA LÄN</t>
        </is>
      </c>
      <c r="E5762" t="inlineStr">
        <is>
          <t>ENKÖPING</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32190-2024</t>
        </is>
      </c>
      <c r="B5763" s="1" t="n">
        <v>45511</v>
      </c>
      <c r="C5763" s="1" t="n">
        <v>45846</v>
      </c>
      <c r="D5763" t="inlineStr">
        <is>
          <t>UPPSALA LÄN</t>
        </is>
      </c>
      <c r="E5763" t="inlineStr">
        <is>
          <t>ÖSTHAMMAR</t>
        </is>
      </c>
      <c r="F5763" t="inlineStr">
        <is>
          <t>Bergvik skog öst AB</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32192-2024</t>
        </is>
      </c>
      <c r="B5764" s="1" t="n">
        <v>45511</v>
      </c>
      <c r="C5764" s="1" t="n">
        <v>45846</v>
      </c>
      <c r="D5764" t="inlineStr">
        <is>
          <t>UPPSALA LÄN</t>
        </is>
      </c>
      <c r="E5764" t="inlineStr">
        <is>
          <t>ÖSTHAMMAR</t>
        </is>
      </c>
      <c r="F5764" t="inlineStr">
        <is>
          <t>Bergvik skog öst AB</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32193-2024</t>
        </is>
      </c>
      <c r="B5765" s="1" t="n">
        <v>45511</v>
      </c>
      <c r="C5765" s="1" t="n">
        <v>45846</v>
      </c>
      <c r="D5765" t="inlineStr">
        <is>
          <t>UPPSALA LÄN</t>
        </is>
      </c>
      <c r="E5765" t="inlineStr">
        <is>
          <t>ÖSTHAMMAR</t>
        </is>
      </c>
      <c r="F5765" t="inlineStr">
        <is>
          <t>Bergvik skog öst AB</t>
        </is>
      </c>
      <c r="G5765" t="n">
        <v>9.1</v>
      </c>
      <c r="H5765" t="n">
        <v>0</v>
      </c>
      <c r="I5765" t="n">
        <v>0</v>
      </c>
      <c r="J5765" t="n">
        <v>0</v>
      </c>
      <c r="K5765" t="n">
        <v>0</v>
      </c>
      <c r="L5765" t="n">
        <v>0</v>
      </c>
      <c r="M5765" t="n">
        <v>0</v>
      </c>
      <c r="N5765" t="n">
        <v>0</v>
      </c>
      <c r="O5765" t="n">
        <v>0</v>
      </c>
      <c r="P5765" t="n">
        <v>0</v>
      </c>
      <c r="Q5765" t="n">
        <v>0</v>
      </c>
      <c r="R5765" s="2" t="inlineStr"/>
    </row>
    <row r="5766" ht="15" customHeight="1">
      <c r="A5766" t="inlineStr">
        <is>
          <t>A 32181-2024</t>
        </is>
      </c>
      <c r="B5766" s="1" t="n">
        <v>45511</v>
      </c>
      <c r="C5766" s="1" t="n">
        <v>45846</v>
      </c>
      <c r="D5766" t="inlineStr">
        <is>
          <t>UPPSALA LÄN</t>
        </is>
      </c>
      <c r="E5766" t="inlineStr">
        <is>
          <t>HEBY</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32117-2024</t>
        </is>
      </c>
      <c r="B5767" s="1" t="n">
        <v>45511</v>
      </c>
      <c r="C5767" s="1" t="n">
        <v>45846</v>
      </c>
      <c r="D5767" t="inlineStr">
        <is>
          <t>UPPSALA LÄN</t>
        </is>
      </c>
      <c r="E5767" t="inlineStr">
        <is>
          <t>UPPSALA</t>
        </is>
      </c>
      <c r="F5767" t="inlineStr">
        <is>
          <t>Allmännings- och besparingsskogar</t>
        </is>
      </c>
      <c r="G5767" t="n">
        <v>7.4</v>
      </c>
      <c r="H5767" t="n">
        <v>0</v>
      </c>
      <c r="I5767" t="n">
        <v>0</v>
      </c>
      <c r="J5767" t="n">
        <v>0</v>
      </c>
      <c r="K5767" t="n">
        <v>0</v>
      </c>
      <c r="L5767" t="n">
        <v>0</v>
      </c>
      <c r="M5767" t="n">
        <v>0</v>
      </c>
      <c r="N5767" t="n">
        <v>0</v>
      </c>
      <c r="O5767" t="n">
        <v>0</v>
      </c>
      <c r="P5767" t="n">
        <v>0</v>
      </c>
      <c r="Q5767" t="n">
        <v>0</v>
      </c>
      <c r="R5767" s="2" t="inlineStr"/>
    </row>
    <row r="5768" ht="15" customHeight="1">
      <c r="A5768" t="inlineStr">
        <is>
          <t>A 32085-2024</t>
        </is>
      </c>
      <c r="B5768" s="1" t="n">
        <v>45511</v>
      </c>
      <c r="C5768" s="1" t="n">
        <v>45846</v>
      </c>
      <c r="D5768" t="inlineStr">
        <is>
          <t>UPPSALA LÄN</t>
        </is>
      </c>
      <c r="E5768" t="inlineStr">
        <is>
          <t>ENKÖPING</t>
        </is>
      </c>
      <c r="G5768" t="n">
        <v>7.1</v>
      </c>
      <c r="H5768" t="n">
        <v>0</v>
      </c>
      <c r="I5768" t="n">
        <v>0</v>
      </c>
      <c r="J5768" t="n">
        <v>0</v>
      </c>
      <c r="K5768" t="n">
        <v>0</v>
      </c>
      <c r="L5768" t="n">
        <v>0</v>
      </c>
      <c r="M5768" t="n">
        <v>0</v>
      </c>
      <c r="N5768" t="n">
        <v>0</v>
      </c>
      <c r="O5768" t="n">
        <v>0</v>
      </c>
      <c r="P5768" t="n">
        <v>0</v>
      </c>
      <c r="Q5768" t="n">
        <v>0</v>
      </c>
      <c r="R5768" s="2" t="inlineStr"/>
    </row>
    <row r="5769" ht="15" customHeight="1">
      <c r="A5769" t="inlineStr">
        <is>
          <t>A 32081-2024</t>
        </is>
      </c>
      <c r="B5769" s="1" t="n">
        <v>45511</v>
      </c>
      <c r="C5769" s="1" t="n">
        <v>45846</v>
      </c>
      <c r="D5769" t="inlineStr">
        <is>
          <t>UPPSALA LÄN</t>
        </is>
      </c>
      <c r="E5769" t="inlineStr">
        <is>
          <t>ENKÖPING</t>
        </is>
      </c>
      <c r="G5769" t="n">
        <v>5.4</v>
      </c>
      <c r="H5769" t="n">
        <v>0</v>
      </c>
      <c r="I5769" t="n">
        <v>0</v>
      </c>
      <c r="J5769" t="n">
        <v>0</v>
      </c>
      <c r="K5769" t="n">
        <v>0</v>
      </c>
      <c r="L5769" t="n">
        <v>0</v>
      </c>
      <c r="M5769" t="n">
        <v>0</v>
      </c>
      <c r="N5769" t="n">
        <v>0</v>
      </c>
      <c r="O5769" t="n">
        <v>0</v>
      </c>
      <c r="P5769" t="n">
        <v>0</v>
      </c>
      <c r="Q5769" t="n">
        <v>0</v>
      </c>
      <c r="R5769" s="2" t="inlineStr"/>
    </row>
    <row r="5770" ht="15" customHeight="1">
      <c r="A5770" t="inlineStr">
        <is>
          <t>A 32292-2024</t>
        </is>
      </c>
      <c r="B5770" s="1" t="n">
        <v>45512</v>
      </c>
      <c r="C5770" s="1" t="n">
        <v>45846</v>
      </c>
      <c r="D5770" t="inlineStr">
        <is>
          <t>UPPSALA LÄN</t>
        </is>
      </c>
      <c r="E5770" t="inlineStr">
        <is>
          <t>HEBY</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32373-2024</t>
        </is>
      </c>
      <c r="B5771" s="1" t="n">
        <v>45512</v>
      </c>
      <c r="C5771" s="1" t="n">
        <v>45846</v>
      </c>
      <c r="D5771" t="inlineStr">
        <is>
          <t>UPPSALA LÄN</t>
        </is>
      </c>
      <c r="E5771" t="inlineStr">
        <is>
          <t>HEBY</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32476-2024</t>
        </is>
      </c>
      <c r="B5772" s="1" t="n">
        <v>45513</v>
      </c>
      <c r="C5772" s="1" t="n">
        <v>45846</v>
      </c>
      <c r="D5772" t="inlineStr">
        <is>
          <t>UPPSALA LÄN</t>
        </is>
      </c>
      <c r="E5772" t="inlineStr">
        <is>
          <t>ÖSTHAMMAR</t>
        </is>
      </c>
      <c r="F5772" t="inlineStr">
        <is>
          <t>Bergvik skog öst AB</t>
        </is>
      </c>
      <c r="G5772" t="n">
        <v>13.2</v>
      </c>
      <c r="H5772" t="n">
        <v>0</v>
      </c>
      <c r="I5772" t="n">
        <v>0</v>
      </c>
      <c r="J5772" t="n">
        <v>0</v>
      </c>
      <c r="K5772" t="n">
        <v>0</v>
      </c>
      <c r="L5772" t="n">
        <v>0</v>
      </c>
      <c r="M5772" t="n">
        <v>0</v>
      </c>
      <c r="N5772" t="n">
        <v>0</v>
      </c>
      <c r="O5772" t="n">
        <v>0</v>
      </c>
      <c r="P5772" t="n">
        <v>0</v>
      </c>
      <c r="Q5772" t="n">
        <v>0</v>
      </c>
      <c r="R5772" s="2" t="inlineStr"/>
    </row>
    <row r="5773" ht="15" customHeight="1">
      <c r="A5773" t="inlineStr">
        <is>
          <t>A 32483-2024</t>
        </is>
      </c>
      <c r="B5773" s="1" t="n">
        <v>45513</v>
      </c>
      <c r="C5773" s="1" t="n">
        <v>45846</v>
      </c>
      <c r="D5773" t="inlineStr">
        <is>
          <t>UPPSALA LÄN</t>
        </is>
      </c>
      <c r="E5773" t="inlineStr">
        <is>
          <t>ÖSTHAMMAR</t>
        </is>
      </c>
      <c r="F5773" t="inlineStr">
        <is>
          <t>Kyrkan</t>
        </is>
      </c>
      <c r="G5773" t="n">
        <v>4.7</v>
      </c>
      <c r="H5773" t="n">
        <v>0</v>
      </c>
      <c r="I5773" t="n">
        <v>0</v>
      </c>
      <c r="J5773" t="n">
        <v>0</v>
      </c>
      <c r="K5773" t="n">
        <v>0</v>
      </c>
      <c r="L5773" t="n">
        <v>0</v>
      </c>
      <c r="M5773" t="n">
        <v>0</v>
      </c>
      <c r="N5773" t="n">
        <v>0</v>
      </c>
      <c r="O5773" t="n">
        <v>0</v>
      </c>
      <c r="P5773" t="n">
        <v>0</v>
      </c>
      <c r="Q5773" t="n">
        <v>0</v>
      </c>
      <c r="R5773" s="2" t="inlineStr"/>
    </row>
    <row r="5774" ht="15" customHeight="1">
      <c r="A5774" t="inlineStr">
        <is>
          <t>A 32554-2024</t>
        </is>
      </c>
      <c r="B5774" s="1" t="n">
        <v>45513</v>
      </c>
      <c r="C5774" s="1" t="n">
        <v>45846</v>
      </c>
      <c r="D5774" t="inlineStr">
        <is>
          <t>UPPSALA LÄN</t>
        </is>
      </c>
      <c r="E5774" t="inlineStr">
        <is>
          <t>UPPSALA</t>
        </is>
      </c>
      <c r="F5774" t="inlineStr">
        <is>
          <t>Bergvik skog öst AB</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32553-2024</t>
        </is>
      </c>
      <c r="B5775" s="1" t="n">
        <v>45513</v>
      </c>
      <c r="C5775" s="1" t="n">
        <v>45846</v>
      </c>
      <c r="D5775" t="inlineStr">
        <is>
          <t>UPPSALA LÄN</t>
        </is>
      </c>
      <c r="E5775" t="inlineStr">
        <is>
          <t>UPPSALA</t>
        </is>
      </c>
      <c r="F5775" t="inlineStr">
        <is>
          <t>Bergvik skog öst AB</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32878-2024</t>
        </is>
      </c>
      <c r="B5776" s="1" t="n">
        <v>45516</v>
      </c>
      <c r="C5776" s="1" t="n">
        <v>45846</v>
      </c>
      <c r="D5776" t="inlineStr">
        <is>
          <t>UPPSALA LÄN</t>
        </is>
      </c>
      <c r="E5776" t="inlineStr">
        <is>
          <t>ÖSTHAMMAR</t>
        </is>
      </c>
      <c r="F5776" t="inlineStr">
        <is>
          <t>Bergvik skog öst AB</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32873-2024</t>
        </is>
      </c>
      <c r="B5777" s="1" t="n">
        <v>45516</v>
      </c>
      <c r="C5777" s="1" t="n">
        <v>45846</v>
      </c>
      <c r="D5777" t="inlineStr">
        <is>
          <t>UPPSALA LÄN</t>
        </is>
      </c>
      <c r="E5777" t="inlineStr">
        <is>
          <t>TIERP</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32815-2024</t>
        </is>
      </c>
      <c r="B5778" s="1" t="n">
        <v>45516</v>
      </c>
      <c r="C5778" s="1" t="n">
        <v>45846</v>
      </c>
      <c r="D5778" t="inlineStr">
        <is>
          <t>UPPSALA LÄN</t>
        </is>
      </c>
      <c r="E5778" t="inlineStr">
        <is>
          <t>ÖSTHAMMAR</t>
        </is>
      </c>
      <c r="F5778" t="inlineStr">
        <is>
          <t>Bergvik skog öst AB</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32884-2024</t>
        </is>
      </c>
      <c r="B5779" s="1" t="n">
        <v>45516</v>
      </c>
      <c r="C5779" s="1" t="n">
        <v>45846</v>
      </c>
      <c r="D5779" t="inlineStr">
        <is>
          <t>UPPSALA LÄN</t>
        </is>
      </c>
      <c r="E5779" t="inlineStr">
        <is>
          <t>ÖSTHAMMAR</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32802-2024</t>
        </is>
      </c>
      <c r="B5780" s="1" t="n">
        <v>45516</v>
      </c>
      <c r="C5780" s="1" t="n">
        <v>45846</v>
      </c>
      <c r="D5780" t="inlineStr">
        <is>
          <t>UPPSALA LÄN</t>
        </is>
      </c>
      <c r="E5780" t="inlineStr">
        <is>
          <t>TIERP</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32871-2024</t>
        </is>
      </c>
      <c r="B5781" s="1" t="n">
        <v>45516</v>
      </c>
      <c r="C5781" s="1" t="n">
        <v>45846</v>
      </c>
      <c r="D5781" t="inlineStr">
        <is>
          <t>UPPSALA LÄN</t>
        </is>
      </c>
      <c r="E5781" t="inlineStr">
        <is>
          <t>TIERP</t>
        </is>
      </c>
      <c r="G5781" t="n">
        <v>4.8</v>
      </c>
      <c r="H5781" t="n">
        <v>0</v>
      </c>
      <c r="I5781" t="n">
        <v>0</v>
      </c>
      <c r="J5781" t="n">
        <v>0</v>
      </c>
      <c r="K5781" t="n">
        <v>0</v>
      </c>
      <c r="L5781" t="n">
        <v>0</v>
      </c>
      <c r="M5781" t="n">
        <v>0</v>
      </c>
      <c r="N5781" t="n">
        <v>0</v>
      </c>
      <c r="O5781" t="n">
        <v>0</v>
      </c>
      <c r="P5781" t="n">
        <v>0</v>
      </c>
      <c r="Q5781" t="n">
        <v>0</v>
      </c>
      <c r="R5781" s="2" t="inlineStr"/>
    </row>
    <row r="5782" ht="15" customHeight="1">
      <c r="A5782" t="inlineStr">
        <is>
          <t>A 32787-2024</t>
        </is>
      </c>
      <c r="B5782" s="1" t="n">
        <v>45516</v>
      </c>
      <c r="C5782" s="1" t="n">
        <v>45846</v>
      </c>
      <c r="D5782" t="inlineStr">
        <is>
          <t>UPPSALA LÄN</t>
        </is>
      </c>
      <c r="E5782" t="inlineStr">
        <is>
          <t>HEBY</t>
        </is>
      </c>
      <c r="G5782" t="n">
        <v>3.2</v>
      </c>
      <c r="H5782" t="n">
        <v>0</v>
      </c>
      <c r="I5782" t="n">
        <v>0</v>
      </c>
      <c r="J5782" t="n">
        <v>0</v>
      </c>
      <c r="K5782" t="n">
        <v>0</v>
      </c>
      <c r="L5782" t="n">
        <v>0</v>
      </c>
      <c r="M5782" t="n">
        <v>0</v>
      </c>
      <c r="N5782" t="n">
        <v>0</v>
      </c>
      <c r="O5782" t="n">
        <v>0</v>
      </c>
      <c r="P5782" t="n">
        <v>0</v>
      </c>
      <c r="Q5782" t="n">
        <v>0</v>
      </c>
      <c r="R5782" s="2" t="inlineStr"/>
    </row>
    <row r="5783" ht="15" customHeight="1">
      <c r="A5783" t="inlineStr">
        <is>
          <t>A 32946-2024</t>
        </is>
      </c>
      <c r="B5783" s="1" t="n">
        <v>45517</v>
      </c>
      <c r="C5783" s="1" t="n">
        <v>45846</v>
      </c>
      <c r="D5783" t="inlineStr">
        <is>
          <t>UPPSALA LÄN</t>
        </is>
      </c>
      <c r="E5783" t="inlineStr">
        <is>
          <t>HEBY</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32928-2024</t>
        </is>
      </c>
      <c r="B5784" s="1" t="n">
        <v>45517</v>
      </c>
      <c r="C5784" s="1" t="n">
        <v>45846</v>
      </c>
      <c r="D5784" t="inlineStr">
        <is>
          <t>UPPSALA LÄN</t>
        </is>
      </c>
      <c r="E5784" t="inlineStr">
        <is>
          <t>ÖSTHAMMAR</t>
        </is>
      </c>
      <c r="F5784" t="inlineStr">
        <is>
          <t>Bergvik skog öst AB</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32949-2024</t>
        </is>
      </c>
      <c r="B5785" s="1" t="n">
        <v>45517</v>
      </c>
      <c r="C5785" s="1" t="n">
        <v>45846</v>
      </c>
      <c r="D5785" t="inlineStr">
        <is>
          <t>UPPSALA LÄN</t>
        </is>
      </c>
      <c r="E5785" t="inlineStr">
        <is>
          <t>HEBY</t>
        </is>
      </c>
      <c r="G5785" t="n">
        <v>17.6</v>
      </c>
      <c r="H5785" t="n">
        <v>0</v>
      </c>
      <c r="I5785" t="n">
        <v>0</v>
      </c>
      <c r="J5785" t="n">
        <v>0</v>
      </c>
      <c r="K5785" t="n">
        <v>0</v>
      </c>
      <c r="L5785" t="n">
        <v>0</v>
      </c>
      <c r="M5785" t="n">
        <v>0</v>
      </c>
      <c r="N5785" t="n">
        <v>0</v>
      </c>
      <c r="O5785" t="n">
        <v>0</v>
      </c>
      <c r="P5785" t="n">
        <v>0</v>
      </c>
      <c r="Q5785" t="n">
        <v>0</v>
      </c>
      <c r="R5785" s="2" t="inlineStr"/>
    </row>
    <row r="5786" ht="15" customHeight="1">
      <c r="A5786" t="inlineStr">
        <is>
          <t>A 32967-2024</t>
        </is>
      </c>
      <c r="B5786" s="1" t="n">
        <v>45517</v>
      </c>
      <c r="C5786" s="1" t="n">
        <v>45846</v>
      </c>
      <c r="D5786" t="inlineStr">
        <is>
          <t>UPPSALA LÄN</t>
        </is>
      </c>
      <c r="E5786" t="inlineStr">
        <is>
          <t>ÖSTHAMMAR</t>
        </is>
      </c>
      <c r="F5786" t="inlineStr">
        <is>
          <t>Kyrkan</t>
        </is>
      </c>
      <c r="G5786" t="n">
        <v>6.5</v>
      </c>
      <c r="H5786" t="n">
        <v>0</v>
      </c>
      <c r="I5786" t="n">
        <v>0</v>
      </c>
      <c r="J5786" t="n">
        <v>0</v>
      </c>
      <c r="K5786" t="n">
        <v>0</v>
      </c>
      <c r="L5786" t="n">
        <v>0</v>
      </c>
      <c r="M5786" t="n">
        <v>0</v>
      </c>
      <c r="N5786" t="n">
        <v>0</v>
      </c>
      <c r="O5786" t="n">
        <v>0</v>
      </c>
      <c r="P5786" t="n">
        <v>0</v>
      </c>
      <c r="Q5786" t="n">
        <v>0</v>
      </c>
      <c r="R5786" s="2" t="inlineStr"/>
    </row>
    <row r="5787" ht="15" customHeight="1">
      <c r="A5787" t="inlineStr">
        <is>
          <t>A 33145-2024</t>
        </is>
      </c>
      <c r="B5787" s="1" t="n">
        <v>45518</v>
      </c>
      <c r="C5787" s="1" t="n">
        <v>45846</v>
      </c>
      <c r="D5787" t="inlineStr">
        <is>
          <t>UPPSALA LÄN</t>
        </is>
      </c>
      <c r="E5787" t="inlineStr">
        <is>
          <t>KNIVSTA</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33130-2024</t>
        </is>
      </c>
      <c r="B5788" s="1" t="n">
        <v>45518</v>
      </c>
      <c r="C5788" s="1" t="n">
        <v>45846</v>
      </c>
      <c r="D5788" t="inlineStr">
        <is>
          <t>UPPSALA LÄN</t>
        </is>
      </c>
      <c r="E5788" t="inlineStr">
        <is>
          <t>KNIVSTA</t>
        </is>
      </c>
      <c r="G5788" t="n">
        <v>9.300000000000001</v>
      </c>
      <c r="H5788" t="n">
        <v>0</v>
      </c>
      <c r="I5788" t="n">
        <v>0</v>
      </c>
      <c r="J5788" t="n">
        <v>0</v>
      </c>
      <c r="K5788" t="n">
        <v>0</v>
      </c>
      <c r="L5788" t="n">
        <v>0</v>
      </c>
      <c r="M5788" t="n">
        <v>0</v>
      </c>
      <c r="N5788" t="n">
        <v>0</v>
      </c>
      <c r="O5788" t="n">
        <v>0</v>
      </c>
      <c r="P5788" t="n">
        <v>0</v>
      </c>
      <c r="Q5788" t="n">
        <v>0</v>
      </c>
      <c r="R5788" s="2" t="inlineStr"/>
    </row>
    <row r="5789" ht="15" customHeight="1">
      <c r="A5789" t="inlineStr">
        <is>
          <t>A 33376-2024</t>
        </is>
      </c>
      <c r="B5789" s="1" t="n">
        <v>45519</v>
      </c>
      <c r="C5789" s="1" t="n">
        <v>45846</v>
      </c>
      <c r="D5789" t="inlineStr">
        <is>
          <t>UPPSALA LÄN</t>
        </is>
      </c>
      <c r="E5789" t="inlineStr">
        <is>
          <t>HEBY</t>
        </is>
      </c>
      <c r="G5789" t="n">
        <v>3.2</v>
      </c>
      <c r="H5789" t="n">
        <v>0</v>
      </c>
      <c r="I5789" t="n">
        <v>0</v>
      </c>
      <c r="J5789" t="n">
        <v>0</v>
      </c>
      <c r="K5789" t="n">
        <v>0</v>
      </c>
      <c r="L5789" t="n">
        <v>0</v>
      </c>
      <c r="M5789" t="n">
        <v>0</v>
      </c>
      <c r="N5789" t="n">
        <v>0</v>
      </c>
      <c r="O5789" t="n">
        <v>0</v>
      </c>
      <c r="P5789" t="n">
        <v>0</v>
      </c>
      <c r="Q5789" t="n">
        <v>0</v>
      </c>
      <c r="R5789" s="2" t="inlineStr"/>
    </row>
    <row r="5790" ht="15" customHeight="1">
      <c r="A5790" t="inlineStr">
        <is>
          <t>A 33350-2024</t>
        </is>
      </c>
      <c r="B5790" s="1" t="n">
        <v>45519</v>
      </c>
      <c r="C5790" s="1" t="n">
        <v>45846</v>
      </c>
      <c r="D5790" t="inlineStr">
        <is>
          <t>UPPSALA LÄN</t>
        </is>
      </c>
      <c r="E5790" t="inlineStr">
        <is>
          <t>HEBY</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33366-2024</t>
        </is>
      </c>
      <c r="B5791" s="1" t="n">
        <v>45519</v>
      </c>
      <c r="C5791" s="1" t="n">
        <v>45846</v>
      </c>
      <c r="D5791" t="inlineStr">
        <is>
          <t>UPPSALA LÄN</t>
        </is>
      </c>
      <c r="E5791" t="inlineStr">
        <is>
          <t>HEBY</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33349-2024</t>
        </is>
      </c>
      <c r="B5792" s="1" t="n">
        <v>45519</v>
      </c>
      <c r="C5792" s="1" t="n">
        <v>45846</v>
      </c>
      <c r="D5792" t="inlineStr">
        <is>
          <t>UPPSALA LÄN</t>
        </is>
      </c>
      <c r="E5792" t="inlineStr">
        <is>
          <t>ENKÖPING</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33381-2024</t>
        </is>
      </c>
      <c r="B5793" s="1" t="n">
        <v>45519</v>
      </c>
      <c r="C5793" s="1" t="n">
        <v>45846</v>
      </c>
      <c r="D5793" t="inlineStr">
        <is>
          <t>UPPSALA LÄN</t>
        </is>
      </c>
      <c r="E5793" t="inlineStr">
        <is>
          <t>HEBY</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33409-2024</t>
        </is>
      </c>
      <c r="B5794" s="1" t="n">
        <v>45519</v>
      </c>
      <c r="C5794" s="1" t="n">
        <v>45846</v>
      </c>
      <c r="D5794" t="inlineStr">
        <is>
          <t>UPPSALA LÄN</t>
        </is>
      </c>
      <c r="E5794" t="inlineStr">
        <is>
          <t>HEBY</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33445-2024</t>
        </is>
      </c>
      <c r="B5795" s="1" t="n">
        <v>45519</v>
      </c>
      <c r="C5795" s="1" t="n">
        <v>45846</v>
      </c>
      <c r="D5795" t="inlineStr">
        <is>
          <t>UPPSALA LÄN</t>
        </is>
      </c>
      <c r="E5795" t="inlineStr">
        <is>
          <t>ÖSTHAMMAR</t>
        </is>
      </c>
      <c r="F5795" t="inlineStr">
        <is>
          <t>Bergvik skog öst AB</t>
        </is>
      </c>
      <c r="G5795" t="n">
        <v>5.6</v>
      </c>
      <c r="H5795" t="n">
        <v>0</v>
      </c>
      <c r="I5795" t="n">
        <v>0</v>
      </c>
      <c r="J5795" t="n">
        <v>0</v>
      </c>
      <c r="K5795" t="n">
        <v>0</v>
      </c>
      <c r="L5795" t="n">
        <v>0</v>
      </c>
      <c r="M5795" t="n">
        <v>0</v>
      </c>
      <c r="N5795" t="n">
        <v>0</v>
      </c>
      <c r="O5795" t="n">
        <v>0</v>
      </c>
      <c r="P5795" t="n">
        <v>0</v>
      </c>
      <c r="Q5795" t="n">
        <v>0</v>
      </c>
      <c r="R5795" s="2" t="inlineStr"/>
    </row>
    <row r="5796" ht="15" customHeight="1">
      <c r="A5796" t="inlineStr">
        <is>
          <t>A 33550-2024</t>
        </is>
      </c>
      <c r="B5796" s="1" t="n">
        <v>45519</v>
      </c>
      <c r="C5796" s="1" t="n">
        <v>45846</v>
      </c>
      <c r="D5796" t="inlineStr">
        <is>
          <t>UPPSALA LÄN</t>
        </is>
      </c>
      <c r="E5796" t="inlineStr">
        <is>
          <t>ÖSTHAMMAR</t>
        </is>
      </c>
      <c r="F5796" t="inlineStr">
        <is>
          <t>Bergvik skog öst AB</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33394-2024</t>
        </is>
      </c>
      <c r="B5797" s="1" t="n">
        <v>45519</v>
      </c>
      <c r="C5797" s="1" t="n">
        <v>45846</v>
      </c>
      <c r="D5797" t="inlineStr">
        <is>
          <t>UPPSALA LÄN</t>
        </is>
      </c>
      <c r="E5797" t="inlineStr">
        <is>
          <t>HEBY</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33540-2024</t>
        </is>
      </c>
      <c r="B5798" s="1" t="n">
        <v>45519</v>
      </c>
      <c r="C5798" s="1" t="n">
        <v>45846</v>
      </c>
      <c r="D5798" t="inlineStr">
        <is>
          <t>UPPSALA LÄN</t>
        </is>
      </c>
      <c r="E5798" t="inlineStr">
        <is>
          <t>KNIVSTA</t>
        </is>
      </c>
      <c r="G5798" t="n">
        <v>8</v>
      </c>
      <c r="H5798" t="n">
        <v>0</v>
      </c>
      <c r="I5798" t="n">
        <v>0</v>
      </c>
      <c r="J5798" t="n">
        <v>0</v>
      </c>
      <c r="K5798" t="n">
        <v>0</v>
      </c>
      <c r="L5798" t="n">
        <v>0</v>
      </c>
      <c r="M5798" t="n">
        <v>0</v>
      </c>
      <c r="N5798" t="n">
        <v>0</v>
      </c>
      <c r="O5798" t="n">
        <v>0</v>
      </c>
      <c r="P5798" t="n">
        <v>0</v>
      </c>
      <c r="Q5798" t="n">
        <v>0</v>
      </c>
      <c r="R5798" s="2" t="inlineStr"/>
    </row>
    <row r="5799" ht="15" customHeight="1">
      <c r="A5799" t="inlineStr">
        <is>
          <t>A 33552-2024</t>
        </is>
      </c>
      <c r="B5799" s="1" t="n">
        <v>45519</v>
      </c>
      <c r="C5799" s="1" t="n">
        <v>45846</v>
      </c>
      <c r="D5799" t="inlineStr">
        <is>
          <t>UPPSALA LÄN</t>
        </is>
      </c>
      <c r="E5799" t="inlineStr">
        <is>
          <t>ÖSTHAMMAR</t>
        </is>
      </c>
      <c r="F5799" t="inlineStr">
        <is>
          <t>Bergvik skog öst AB</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33343-2024</t>
        </is>
      </c>
      <c r="B5800" s="1" t="n">
        <v>45519</v>
      </c>
      <c r="C5800" s="1" t="n">
        <v>45846</v>
      </c>
      <c r="D5800" t="inlineStr">
        <is>
          <t>UPPSALA LÄN</t>
        </is>
      </c>
      <c r="E5800" t="inlineStr">
        <is>
          <t>ENKÖPING</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33444-2024</t>
        </is>
      </c>
      <c r="B5801" s="1" t="n">
        <v>45519</v>
      </c>
      <c r="C5801" s="1" t="n">
        <v>45846</v>
      </c>
      <c r="D5801" t="inlineStr">
        <is>
          <t>UPPSALA LÄN</t>
        </is>
      </c>
      <c r="E5801" t="inlineStr">
        <is>
          <t>TIERP</t>
        </is>
      </c>
      <c r="F5801" t="inlineStr">
        <is>
          <t>Bergvik skog väst AB</t>
        </is>
      </c>
      <c r="G5801" t="n">
        <v>57.7</v>
      </c>
      <c r="H5801" t="n">
        <v>0</v>
      </c>
      <c r="I5801" t="n">
        <v>0</v>
      </c>
      <c r="J5801" t="n">
        <v>0</v>
      </c>
      <c r="K5801" t="n">
        <v>0</v>
      </c>
      <c r="L5801" t="n">
        <v>0</v>
      </c>
      <c r="M5801" t="n">
        <v>0</v>
      </c>
      <c r="N5801" t="n">
        <v>0</v>
      </c>
      <c r="O5801" t="n">
        <v>0</v>
      </c>
      <c r="P5801" t="n">
        <v>0</v>
      </c>
      <c r="Q5801" t="n">
        <v>0</v>
      </c>
      <c r="R5801" s="2" t="inlineStr"/>
    </row>
    <row r="5802" ht="15" customHeight="1">
      <c r="A5802" t="inlineStr">
        <is>
          <t>A 33448-2024</t>
        </is>
      </c>
      <c r="B5802" s="1" t="n">
        <v>45519</v>
      </c>
      <c r="C5802" s="1" t="n">
        <v>45846</v>
      </c>
      <c r="D5802" t="inlineStr">
        <is>
          <t>UPPSALA LÄN</t>
        </is>
      </c>
      <c r="E5802" t="inlineStr">
        <is>
          <t>ENKÖPING</t>
        </is>
      </c>
      <c r="G5802" t="n">
        <v>6.1</v>
      </c>
      <c r="H5802" t="n">
        <v>0</v>
      </c>
      <c r="I5802" t="n">
        <v>0</v>
      </c>
      <c r="J5802" t="n">
        <v>0</v>
      </c>
      <c r="K5802" t="n">
        <v>0</v>
      </c>
      <c r="L5802" t="n">
        <v>0</v>
      </c>
      <c r="M5802" t="n">
        <v>0</v>
      </c>
      <c r="N5802" t="n">
        <v>0</v>
      </c>
      <c r="O5802" t="n">
        <v>0</v>
      </c>
      <c r="P5802" t="n">
        <v>0</v>
      </c>
      <c r="Q5802" t="n">
        <v>0</v>
      </c>
      <c r="R5802" s="2" t="inlineStr"/>
    </row>
    <row r="5803" ht="15" customHeight="1">
      <c r="A5803" t="inlineStr">
        <is>
          <t>A 33492-2024</t>
        </is>
      </c>
      <c r="B5803" s="1" t="n">
        <v>45519</v>
      </c>
      <c r="C5803" s="1" t="n">
        <v>45846</v>
      </c>
      <c r="D5803" t="inlineStr">
        <is>
          <t>UPPSALA LÄN</t>
        </is>
      </c>
      <c r="E5803" t="inlineStr">
        <is>
          <t>TIERP</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33496-2024</t>
        </is>
      </c>
      <c r="B5804" s="1" t="n">
        <v>45519</v>
      </c>
      <c r="C5804" s="1" t="n">
        <v>45846</v>
      </c>
      <c r="D5804" t="inlineStr">
        <is>
          <t>UPPSALA LÄN</t>
        </is>
      </c>
      <c r="E5804" t="inlineStr">
        <is>
          <t>HEBY</t>
        </is>
      </c>
      <c r="F5804" t="inlineStr">
        <is>
          <t>Övriga Aktiebolag</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33553-2024</t>
        </is>
      </c>
      <c r="B5805" s="1" t="n">
        <v>45519</v>
      </c>
      <c r="C5805" s="1" t="n">
        <v>45846</v>
      </c>
      <c r="D5805" t="inlineStr">
        <is>
          <t>UPPSALA LÄN</t>
        </is>
      </c>
      <c r="E5805" t="inlineStr">
        <is>
          <t>ÖSTHAMMAR</t>
        </is>
      </c>
      <c r="F5805" t="inlineStr">
        <is>
          <t>Bergvik skog öst AB</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33599-2024</t>
        </is>
      </c>
      <c r="B5806" s="1" t="n">
        <v>45520</v>
      </c>
      <c r="C5806" s="1" t="n">
        <v>45846</v>
      </c>
      <c r="D5806" t="inlineStr">
        <is>
          <t>UPPSALA LÄN</t>
        </is>
      </c>
      <c r="E5806" t="inlineStr">
        <is>
          <t>ÖSTHAMMAR</t>
        </is>
      </c>
      <c r="F5806" t="inlineStr">
        <is>
          <t>Övriga Aktiebolag</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33603-2024</t>
        </is>
      </c>
      <c r="B5807" s="1" t="n">
        <v>45520</v>
      </c>
      <c r="C5807" s="1" t="n">
        <v>45846</v>
      </c>
      <c r="D5807" t="inlineStr">
        <is>
          <t>UPPSALA LÄN</t>
        </is>
      </c>
      <c r="E5807" t="inlineStr">
        <is>
          <t>ÖSTHAMMAR</t>
        </is>
      </c>
      <c r="F5807" t="inlineStr">
        <is>
          <t>Övriga Aktiebolag</t>
        </is>
      </c>
      <c r="G5807" t="n">
        <v>9.199999999999999</v>
      </c>
      <c r="H5807" t="n">
        <v>0</v>
      </c>
      <c r="I5807" t="n">
        <v>0</v>
      </c>
      <c r="J5807" t="n">
        <v>0</v>
      </c>
      <c r="K5807" t="n">
        <v>0</v>
      </c>
      <c r="L5807" t="n">
        <v>0</v>
      </c>
      <c r="M5807" t="n">
        <v>0</v>
      </c>
      <c r="N5807" t="n">
        <v>0</v>
      </c>
      <c r="O5807" t="n">
        <v>0</v>
      </c>
      <c r="P5807" t="n">
        <v>0</v>
      </c>
      <c r="Q5807" t="n">
        <v>0</v>
      </c>
      <c r="R5807" s="2" t="inlineStr"/>
    </row>
    <row r="5808" ht="15" customHeight="1">
      <c r="A5808" t="inlineStr">
        <is>
          <t>A 33601-2024</t>
        </is>
      </c>
      <c r="B5808" s="1" t="n">
        <v>45520</v>
      </c>
      <c r="C5808" s="1" t="n">
        <v>45846</v>
      </c>
      <c r="D5808" t="inlineStr">
        <is>
          <t>UPPSALA LÄN</t>
        </is>
      </c>
      <c r="E5808" t="inlineStr">
        <is>
          <t>ÖSTHAMMAR</t>
        </is>
      </c>
      <c r="F5808" t="inlineStr">
        <is>
          <t>Övriga Aktiebolag</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33622-2024</t>
        </is>
      </c>
      <c r="B5809" s="1" t="n">
        <v>45520</v>
      </c>
      <c r="C5809" s="1" t="n">
        <v>45846</v>
      </c>
      <c r="D5809" t="inlineStr">
        <is>
          <t>UPPSALA LÄN</t>
        </is>
      </c>
      <c r="E5809" t="inlineStr">
        <is>
          <t>UPPSALA</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33665-2024</t>
        </is>
      </c>
      <c r="B5810" s="1" t="n">
        <v>45520</v>
      </c>
      <c r="C5810" s="1" t="n">
        <v>45846</v>
      </c>
      <c r="D5810" t="inlineStr">
        <is>
          <t>UPPSALA LÄN</t>
        </is>
      </c>
      <c r="E5810" t="inlineStr">
        <is>
          <t>ENKÖPING</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33669-2024</t>
        </is>
      </c>
      <c r="B5811" s="1" t="n">
        <v>45520</v>
      </c>
      <c r="C5811" s="1" t="n">
        <v>45846</v>
      </c>
      <c r="D5811" t="inlineStr">
        <is>
          <t>UPPSALA LÄN</t>
        </is>
      </c>
      <c r="E5811" t="inlineStr">
        <is>
          <t>ENKÖPING</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33663-2024</t>
        </is>
      </c>
      <c r="B5812" s="1" t="n">
        <v>45520</v>
      </c>
      <c r="C5812" s="1" t="n">
        <v>45846</v>
      </c>
      <c r="D5812" t="inlineStr">
        <is>
          <t>UPPSALA LÄN</t>
        </is>
      </c>
      <c r="E5812" t="inlineStr">
        <is>
          <t>ENKÖPING</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33667-2024</t>
        </is>
      </c>
      <c r="B5813" s="1" t="n">
        <v>45520</v>
      </c>
      <c r="C5813" s="1" t="n">
        <v>45846</v>
      </c>
      <c r="D5813" t="inlineStr">
        <is>
          <t>UPPSALA LÄN</t>
        </is>
      </c>
      <c r="E5813" t="inlineStr">
        <is>
          <t>UPPSALA</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33680-2024</t>
        </is>
      </c>
      <c r="B5814" s="1" t="n">
        <v>45520</v>
      </c>
      <c r="C5814" s="1" t="n">
        <v>45846</v>
      </c>
      <c r="D5814" t="inlineStr">
        <is>
          <t>UPPSALA LÄN</t>
        </is>
      </c>
      <c r="E5814" t="inlineStr">
        <is>
          <t>ÖSTHAMMAR</t>
        </is>
      </c>
      <c r="F5814" t="inlineStr">
        <is>
          <t>Bergvik skog öst AB</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33781-2024</t>
        </is>
      </c>
      <c r="B5815" s="1" t="n">
        <v>45520</v>
      </c>
      <c r="C5815" s="1" t="n">
        <v>45846</v>
      </c>
      <c r="D5815" t="inlineStr">
        <is>
          <t>UPPSALA LÄN</t>
        </is>
      </c>
      <c r="E5815" t="inlineStr">
        <is>
          <t>ÄLVKARLEBY</t>
        </is>
      </c>
      <c r="F5815" t="inlineStr">
        <is>
          <t>Bergvik skog väst AB</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33767-2024</t>
        </is>
      </c>
      <c r="B5816" s="1" t="n">
        <v>45520</v>
      </c>
      <c r="C5816" s="1" t="n">
        <v>45846</v>
      </c>
      <c r="D5816" t="inlineStr">
        <is>
          <t>UPPSALA LÄN</t>
        </is>
      </c>
      <c r="E5816" t="inlineStr">
        <is>
          <t>ÖSTHAMMAR</t>
        </is>
      </c>
      <c r="F5816" t="inlineStr">
        <is>
          <t>Övriga Aktiebolag</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33670-2024</t>
        </is>
      </c>
      <c r="B5817" s="1" t="n">
        <v>45520</v>
      </c>
      <c r="C5817" s="1" t="n">
        <v>45846</v>
      </c>
      <c r="D5817" t="inlineStr">
        <is>
          <t>UPPSALA LÄN</t>
        </is>
      </c>
      <c r="E5817" t="inlineStr">
        <is>
          <t>ENKÖPING</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33816-2024</t>
        </is>
      </c>
      <c r="B5818" s="1" t="n">
        <v>45520</v>
      </c>
      <c r="C5818" s="1" t="n">
        <v>45846</v>
      </c>
      <c r="D5818" t="inlineStr">
        <is>
          <t>UPPSALA LÄN</t>
        </is>
      </c>
      <c r="E5818" t="inlineStr">
        <is>
          <t>UPPSALA</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33683-2024</t>
        </is>
      </c>
      <c r="B5819" s="1" t="n">
        <v>45520</v>
      </c>
      <c r="C5819" s="1" t="n">
        <v>45846</v>
      </c>
      <c r="D5819" t="inlineStr">
        <is>
          <t>UPPSALA LÄN</t>
        </is>
      </c>
      <c r="E5819" t="inlineStr">
        <is>
          <t>HEBY</t>
        </is>
      </c>
      <c r="G5819" t="n">
        <v>8</v>
      </c>
      <c r="H5819" t="n">
        <v>0</v>
      </c>
      <c r="I5819" t="n">
        <v>0</v>
      </c>
      <c r="J5819" t="n">
        <v>0</v>
      </c>
      <c r="K5819" t="n">
        <v>0</v>
      </c>
      <c r="L5819" t="n">
        <v>0</v>
      </c>
      <c r="M5819" t="n">
        <v>0</v>
      </c>
      <c r="N5819" t="n">
        <v>0</v>
      </c>
      <c r="O5819" t="n">
        <v>0</v>
      </c>
      <c r="P5819" t="n">
        <v>0</v>
      </c>
      <c r="Q5819" t="n">
        <v>0</v>
      </c>
      <c r="R5819" s="2" t="inlineStr"/>
    </row>
    <row r="5820" ht="15" customHeight="1">
      <c r="A5820" t="inlineStr">
        <is>
          <t>A 33688-2024</t>
        </is>
      </c>
      <c r="B5820" s="1" t="n">
        <v>45520</v>
      </c>
      <c r="C5820" s="1" t="n">
        <v>45846</v>
      </c>
      <c r="D5820" t="inlineStr">
        <is>
          <t>UPPSALA LÄN</t>
        </is>
      </c>
      <c r="E5820" t="inlineStr">
        <is>
          <t>ÖSTHAMMAR</t>
        </is>
      </c>
      <c r="F5820" t="inlineStr">
        <is>
          <t>Bergvik skog öst AB</t>
        </is>
      </c>
      <c r="G5820" t="n">
        <v>5.1</v>
      </c>
      <c r="H5820" t="n">
        <v>0</v>
      </c>
      <c r="I5820" t="n">
        <v>0</v>
      </c>
      <c r="J5820" t="n">
        <v>0</v>
      </c>
      <c r="K5820" t="n">
        <v>0</v>
      </c>
      <c r="L5820" t="n">
        <v>0</v>
      </c>
      <c r="M5820" t="n">
        <v>0</v>
      </c>
      <c r="N5820" t="n">
        <v>0</v>
      </c>
      <c r="O5820" t="n">
        <v>0</v>
      </c>
      <c r="P5820" t="n">
        <v>0</v>
      </c>
      <c r="Q5820" t="n">
        <v>0</v>
      </c>
      <c r="R5820" s="2" t="inlineStr"/>
    </row>
    <row r="5821" ht="15" customHeight="1">
      <c r="A5821" t="inlineStr">
        <is>
          <t>A 33681-2024</t>
        </is>
      </c>
      <c r="B5821" s="1" t="n">
        <v>45520</v>
      </c>
      <c r="C5821" s="1" t="n">
        <v>45846</v>
      </c>
      <c r="D5821" t="inlineStr">
        <is>
          <t>UPPSALA LÄN</t>
        </is>
      </c>
      <c r="E5821" t="inlineStr">
        <is>
          <t>ÖSTHAMMAR</t>
        </is>
      </c>
      <c r="F5821" t="inlineStr">
        <is>
          <t>Bergvik skog öst AB</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33685-2024</t>
        </is>
      </c>
      <c r="B5822" s="1" t="n">
        <v>45520</v>
      </c>
      <c r="C5822" s="1" t="n">
        <v>45846</v>
      </c>
      <c r="D5822" t="inlineStr">
        <is>
          <t>UPPSALA LÄN</t>
        </is>
      </c>
      <c r="E5822" t="inlineStr">
        <is>
          <t>ÖSTHAMMAR</t>
        </is>
      </c>
      <c r="F5822" t="inlineStr">
        <is>
          <t>Bergvik skog öst AB</t>
        </is>
      </c>
      <c r="G5822" t="n">
        <v>3.8</v>
      </c>
      <c r="H5822" t="n">
        <v>0</v>
      </c>
      <c r="I5822" t="n">
        <v>0</v>
      </c>
      <c r="J5822" t="n">
        <v>0</v>
      </c>
      <c r="K5822" t="n">
        <v>0</v>
      </c>
      <c r="L5822" t="n">
        <v>0</v>
      </c>
      <c r="M5822" t="n">
        <v>0</v>
      </c>
      <c r="N5822" t="n">
        <v>0</v>
      </c>
      <c r="O5822" t="n">
        <v>0</v>
      </c>
      <c r="P5822" t="n">
        <v>0</v>
      </c>
      <c r="Q5822" t="n">
        <v>0</v>
      </c>
      <c r="R5822" s="2" t="inlineStr"/>
    </row>
    <row r="5823" ht="15" customHeight="1">
      <c r="A5823" t="inlineStr">
        <is>
          <t>A 33760-2024</t>
        </is>
      </c>
      <c r="B5823" s="1" t="n">
        <v>45520</v>
      </c>
      <c r="C5823" s="1" t="n">
        <v>45846</v>
      </c>
      <c r="D5823" t="inlineStr">
        <is>
          <t>UPPSALA LÄN</t>
        </is>
      </c>
      <c r="E5823" t="inlineStr">
        <is>
          <t>ÖSTHAMMAR</t>
        </is>
      </c>
      <c r="F5823" t="inlineStr">
        <is>
          <t>Övriga Aktiebolag</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33784-2024</t>
        </is>
      </c>
      <c r="B5824" s="1" t="n">
        <v>45520</v>
      </c>
      <c r="C5824" s="1" t="n">
        <v>45846</v>
      </c>
      <c r="D5824" t="inlineStr">
        <is>
          <t>UPPSALA LÄN</t>
        </is>
      </c>
      <c r="E5824" t="inlineStr">
        <is>
          <t>ÖSTHAMMAR</t>
        </is>
      </c>
      <c r="F5824" t="inlineStr">
        <is>
          <t>Naturvårdsverket</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33754-2024</t>
        </is>
      </c>
      <c r="B5825" s="1" t="n">
        <v>45520</v>
      </c>
      <c r="C5825" s="1" t="n">
        <v>45846</v>
      </c>
      <c r="D5825" t="inlineStr">
        <is>
          <t>UPPSALA LÄN</t>
        </is>
      </c>
      <c r="E5825" t="inlineStr">
        <is>
          <t>ÖSTHAMMAR</t>
        </is>
      </c>
      <c r="F5825" t="inlineStr">
        <is>
          <t>Övriga Aktiebolag</t>
        </is>
      </c>
      <c r="G5825" t="n">
        <v>6.9</v>
      </c>
      <c r="H5825" t="n">
        <v>0</v>
      </c>
      <c r="I5825" t="n">
        <v>0</v>
      </c>
      <c r="J5825" t="n">
        <v>0</v>
      </c>
      <c r="K5825" t="n">
        <v>0</v>
      </c>
      <c r="L5825" t="n">
        <v>0</v>
      </c>
      <c r="M5825" t="n">
        <v>0</v>
      </c>
      <c r="N5825" t="n">
        <v>0</v>
      </c>
      <c r="O5825" t="n">
        <v>0</v>
      </c>
      <c r="P5825" t="n">
        <v>0</v>
      </c>
      <c r="Q5825" t="n">
        <v>0</v>
      </c>
      <c r="R5825" s="2" t="inlineStr"/>
    </row>
    <row r="5826" ht="15" customHeight="1">
      <c r="A5826" t="inlineStr">
        <is>
          <t>A 33758-2024</t>
        </is>
      </c>
      <c r="B5826" s="1" t="n">
        <v>45520</v>
      </c>
      <c r="C5826" s="1" t="n">
        <v>45846</v>
      </c>
      <c r="D5826" t="inlineStr">
        <is>
          <t>UPPSALA LÄN</t>
        </is>
      </c>
      <c r="E5826" t="inlineStr">
        <is>
          <t>ÖSTHAMMAR</t>
        </is>
      </c>
      <c r="G5826" t="n">
        <v>6.5</v>
      </c>
      <c r="H5826" t="n">
        <v>0</v>
      </c>
      <c r="I5826" t="n">
        <v>0</v>
      </c>
      <c r="J5826" t="n">
        <v>0</v>
      </c>
      <c r="K5826" t="n">
        <v>0</v>
      </c>
      <c r="L5826" t="n">
        <v>0</v>
      </c>
      <c r="M5826" t="n">
        <v>0</v>
      </c>
      <c r="N5826" t="n">
        <v>0</v>
      </c>
      <c r="O5826" t="n">
        <v>0</v>
      </c>
      <c r="P5826" t="n">
        <v>0</v>
      </c>
      <c r="Q5826" t="n">
        <v>0</v>
      </c>
      <c r="R5826" s="2" t="inlineStr"/>
    </row>
    <row r="5827" ht="15" customHeight="1">
      <c r="A5827" t="inlineStr">
        <is>
          <t>A 33956-2024</t>
        </is>
      </c>
      <c r="B5827" s="1" t="n">
        <v>45523</v>
      </c>
      <c r="C5827" s="1" t="n">
        <v>45846</v>
      </c>
      <c r="D5827" t="inlineStr">
        <is>
          <t>UPPSALA LÄN</t>
        </is>
      </c>
      <c r="E5827" t="inlineStr">
        <is>
          <t>ENKÖPING</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33996-2024</t>
        </is>
      </c>
      <c r="B5828" s="1" t="n">
        <v>45523</v>
      </c>
      <c r="C5828" s="1" t="n">
        <v>45846</v>
      </c>
      <c r="D5828" t="inlineStr">
        <is>
          <t>UPPSALA LÄN</t>
        </is>
      </c>
      <c r="E5828" t="inlineStr">
        <is>
          <t>HEBY</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33939-2024</t>
        </is>
      </c>
      <c r="B5829" s="1" t="n">
        <v>45523</v>
      </c>
      <c r="C5829" s="1" t="n">
        <v>45846</v>
      </c>
      <c r="D5829" t="inlineStr">
        <is>
          <t>UPPSALA LÄN</t>
        </is>
      </c>
      <c r="E5829" t="inlineStr">
        <is>
          <t>UPPSALA</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33951-2024</t>
        </is>
      </c>
      <c r="B5830" s="1" t="n">
        <v>45523</v>
      </c>
      <c r="C5830" s="1" t="n">
        <v>45846</v>
      </c>
      <c r="D5830" t="inlineStr">
        <is>
          <t>UPPSALA LÄN</t>
        </is>
      </c>
      <c r="E5830" t="inlineStr">
        <is>
          <t>ENKÖPING</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33955-2024</t>
        </is>
      </c>
      <c r="B5831" s="1" t="n">
        <v>45523</v>
      </c>
      <c r="C5831" s="1" t="n">
        <v>45846</v>
      </c>
      <c r="D5831" t="inlineStr">
        <is>
          <t>UPPSALA LÄN</t>
        </is>
      </c>
      <c r="E5831" t="inlineStr">
        <is>
          <t>ENKÖPING</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34005-2024</t>
        </is>
      </c>
      <c r="B5832" s="1" t="n">
        <v>45523</v>
      </c>
      <c r="C5832" s="1" t="n">
        <v>45846</v>
      </c>
      <c r="D5832" t="inlineStr">
        <is>
          <t>UPPSALA LÄN</t>
        </is>
      </c>
      <c r="E5832" t="inlineStr">
        <is>
          <t>HEBY</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34095-2024</t>
        </is>
      </c>
      <c r="B5833" s="1" t="n">
        <v>45523</v>
      </c>
      <c r="C5833" s="1" t="n">
        <v>45846</v>
      </c>
      <c r="D5833" t="inlineStr">
        <is>
          <t>UPPSALA LÄN</t>
        </is>
      </c>
      <c r="E5833" t="inlineStr">
        <is>
          <t>TIERP</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34060-2024</t>
        </is>
      </c>
      <c r="B5834" s="1" t="n">
        <v>45523</v>
      </c>
      <c r="C5834" s="1" t="n">
        <v>45846</v>
      </c>
      <c r="D5834" t="inlineStr">
        <is>
          <t>UPPSALA LÄN</t>
        </is>
      </c>
      <c r="E5834" t="inlineStr">
        <is>
          <t>ENKÖPING</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34147-2024</t>
        </is>
      </c>
      <c r="B5835" s="1" t="n">
        <v>45524</v>
      </c>
      <c r="C5835" s="1" t="n">
        <v>45846</v>
      </c>
      <c r="D5835" t="inlineStr">
        <is>
          <t>UPPSALA LÄN</t>
        </is>
      </c>
      <c r="E5835" t="inlineStr">
        <is>
          <t>UPPSALA</t>
        </is>
      </c>
      <c r="F5835" t="inlineStr">
        <is>
          <t>Allmännings- och besparingsskogar</t>
        </is>
      </c>
      <c r="G5835" t="n">
        <v>0.2</v>
      </c>
      <c r="H5835" t="n">
        <v>0</v>
      </c>
      <c r="I5835" t="n">
        <v>0</v>
      </c>
      <c r="J5835" t="n">
        <v>0</v>
      </c>
      <c r="K5835" t="n">
        <v>0</v>
      </c>
      <c r="L5835" t="n">
        <v>0</v>
      </c>
      <c r="M5835" t="n">
        <v>0</v>
      </c>
      <c r="N5835" t="n">
        <v>0</v>
      </c>
      <c r="O5835" t="n">
        <v>0</v>
      </c>
      <c r="P5835" t="n">
        <v>0</v>
      </c>
      <c r="Q5835" t="n">
        <v>0</v>
      </c>
      <c r="R5835" s="2" t="inlineStr"/>
    </row>
    <row r="5836" ht="15" customHeight="1">
      <c r="A5836" t="inlineStr">
        <is>
          <t>A 34185-2024</t>
        </is>
      </c>
      <c r="B5836" s="1" t="n">
        <v>45524</v>
      </c>
      <c r="C5836" s="1" t="n">
        <v>45846</v>
      </c>
      <c r="D5836" t="inlineStr">
        <is>
          <t>UPPSALA LÄN</t>
        </is>
      </c>
      <c r="E5836" t="inlineStr">
        <is>
          <t>ÖSTHAMMAR</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34189-2024</t>
        </is>
      </c>
      <c r="B5837" s="1" t="n">
        <v>45524</v>
      </c>
      <c r="C5837" s="1" t="n">
        <v>45846</v>
      </c>
      <c r="D5837" t="inlineStr">
        <is>
          <t>UPPSALA LÄN</t>
        </is>
      </c>
      <c r="E5837" t="inlineStr">
        <is>
          <t>ÖSTHAMMAR</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34114-2024</t>
        </is>
      </c>
      <c r="B5838" s="1" t="n">
        <v>45524</v>
      </c>
      <c r="C5838" s="1" t="n">
        <v>45846</v>
      </c>
      <c r="D5838" t="inlineStr">
        <is>
          <t>UPPSALA LÄN</t>
        </is>
      </c>
      <c r="E5838" t="inlineStr">
        <is>
          <t>UPPSALA</t>
        </is>
      </c>
      <c r="F5838" t="inlineStr">
        <is>
          <t>Allmännings- och besparingsskogar</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34178-2024</t>
        </is>
      </c>
      <c r="B5839" s="1" t="n">
        <v>45524</v>
      </c>
      <c r="C5839" s="1" t="n">
        <v>45846</v>
      </c>
      <c r="D5839" t="inlineStr">
        <is>
          <t>UPPSALA LÄN</t>
        </is>
      </c>
      <c r="E5839" t="inlineStr">
        <is>
          <t>ÖSTHAMMAR</t>
        </is>
      </c>
      <c r="G5839" t="n">
        <v>3.8</v>
      </c>
      <c r="H5839" t="n">
        <v>0</v>
      </c>
      <c r="I5839" t="n">
        <v>0</v>
      </c>
      <c r="J5839" t="n">
        <v>0</v>
      </c>
      <c r="K5839" t="n">
        <v>0</v>
      </c>
      <c r="L5839" t="n">
        <v>0</v>
      </c>
      <c r="M5839" t="n">
        <v>0</v>
      </c>
      <c r="N5839" t="n">
        <v>0</v>
      </c>
      <c r="O5839" t="n">
        <v>0</v>
      </c>
      <c r="P5839" t="n">
        <v>0</v>
      </c>
      <c r="Q5839" t="n">
        <v>0</v>
      </c>
      <c r="R5839" s="2" t="inlineStr"/>
    </row>
    <row r="5840" ht="15" customHeight="1">
      <c r="A5840" t="inlineStr">
        <is>
          <t>A 34182-2024</t>
        </is>
      </c>
      <c r="B5840" s="1" t="n">
        <v>45524</v>
      </c>
      <c r="C5840" s="1" t="n">
        <v>45846</v>
      </c>
      <c r="D5840" t="inlineStr">
        <is>
          <t>UPPSALA LÄN</t>
        </is>
      </c>
      <c r="E5840" t="inlineStr">
        <is>
          <t>ÖSTHAMMAR</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34494-2024</t>
        </is>
      </c>
      <c r="B5841" s="1" t="n">
        <v>45525</v>
      </c>
      <c r="C5841" s="1" t="n">
        <v>45846</v>
      </c>
      <c r="D5841" t="inlineStr">
        <is>
          <t>UPPSALA LÄN</t>
        </is>
      </c>
      <c r="E5841" t="inlineStr">
        <is>
          <t>TIERP</t>
        </is>
      </c>
      <c r="F5841" t="inlineStr">
        <is>
          <t>Bergvik skog öst AB</t>
        </is>
      </c>
      <c r="G5841" t="n">
        <v>11.6</v>
      </c>
      <c r="H5841" t="n">
        <v>0</v>
      </c>
      <c r="I5841" t="n">
        <v>0</v>
      </c>
      <c r="J5841" t="n">
        <v>0</v>
      </c>
      <c r="K5841" t="n">
        <v>0</v>
      </c>
      <c r="L5841" t="n">
        <v>0</v>
      </c>
      <c r="M5841" t="n">
        <v>0</v>
      </c>
      <c r="N5841" t="n">
        <v>0</v>
      </c>
      <c r="O5841" t="n">
        <v>0</v>
      </c>
      <c r="P5841" t="n">
        <v>0</v>
      </c>
      <c r="Q5841" t="n">
        <v>0</v>
      </c>
      <c r="R5841" s="2" t="inlineStr"/>
    </row>
    <row r="5842" ht="15" customHeight="1">
      <c r="A5842" t="inlineStr">
        <is>
          <t>A 34520-2024</t>
        </is>
      </c>
      <c r="B5842" s="1" t="n">
        <v>45525</v>
      </c>
      <c r="C5842" s="1" t="n">
        <v>45846</v>
      </c>
      <c r="D5842" t="inlineStr">
        <is>
          <t>UPPSALA LÄN</t>
        </is>
      </c>
      <c r="E5842" t="inlineStr">
        <is>
          <t>UPPSALA</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34656-2024</t>
        </is>
      </c>
      <c r="B5843" s="1" t="n">
        <v>45526</v>
      </c>
      <c r="C5843" s="1" t="n">
        <v>45846</v>
      </c>
      <c r="D5843" t="inlineStr">
        <is>
          <t>UPPSALA LÄN</t>
        </is>
      </c>
      <c r="E5843" t="inlineStr">
        <is>
          <t>UPPSALA</t>
        </is>
      </c>
      <c r="G5843" t="n">
        <v>8.199999999999999</v>
      </c>
      <c r="H5843" t="n">
        <v>0</v>
      </c>
      <c r="I5843" t="n">
        <v>0</v>
      </c>
      <c r="J5843" t="n">
        <v>0</v>
      </c>
      <c r="K5843" t="n">
        <v>0</v>
      </c>
      <c r="L5843" t="n">
        <v>0</v>
      </c>
      <c r="M5843" t="n">
        <v>0</v>
      </c>
      <c r="N5843" t="n">
        <v>0</v>
      </c>
      <c r="O5843" t="n">
        <v>0</v>
      </c>
      <c r="P5843" t="n">
        <v>0</v>
      </c>
      <c r="Q5843" t="n">
        <v>0</v>
      </c>
      <c r="R5843" s="2" t="inlineStr"/>
    </row>
    <row r="5844" ht="15" customHeight="1">
      <c r="A5844" t="inlineStr">
        <is>
          <t>A 34805-2024</t>
        </is>
      </c>
      <c r="B5844" s="1" t="n">
        <v>45526</v>
      </c>
      <c r="C5844" s="1" t="n">
        <v>45846</v>
      </c>
      <c r="D5844" t="inlineStr">
        <is>
          <t>UPPSALA LÄN</t>
        </is>
      </c>
      <c r="E5844" t="inlineStr">
        <is>
          <t>ENKÖPING</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34623-2024</t>
        </is>
      </c>
      <c r="B5845" s="1" t="n">
        <v>45526</v>
      </c>
      <c r="C5845" s="1" t="n">
        <v>45846</v>
      </c>
      <c r="D5845" t="inlineStr">
        <is>
          <t>UPPSALA LÄN</t>
        </is>
      </c>
      <c r="E5845" t="inlineStr">
        <is>
          <t>UPPSALA</t>
        </is>
      </c>
      <c r="G5845" t="n">
        <v>21.5</v>
      </c>
      <c r="H5845" t="n">
        <v>0</v>
      </c>
      <c r="I5845" t="n">
        <v>0</v>
      </c>
      <c r="J5845" t="n">
        <v>0</v>
      </c>
      <c r="K5845" t="n">
        <v>0</v>
      </c>
      <c r="L5845" t="n">
        <v>0</v>
      </c>
      <c r="M5845" t="n">
        <v>0</v>
      </c>
      <c r="N5845" t="n">
        <v>0</v>
      </c>
      <c r="O5845" t="n">
        <v>0</v>
      </c>
      <c r="P5845" t="n">
        <v>0</v>
      </c>
      <c r="Q5845" t="n">
        <v>0</v>
      </c>
      <c r="R5845" s="2" t="inlineStr"/>
    </row>
    <row r="5846" ht="15" customHeight="1">
      <c r="A5846" t="inlineStr">
        <is>
          <t>A 34627-2024</t>
        </is>
      </c>
      <c r="B5846" s="1" t="n">
        <v>45526</v>
      </c>
      <c r="C5846" s="1" t="n">
        <v>45846</v>
      </c>
      <c r="D5846" t="inlineStr">
        <is>
          <t>UPPSALA LÄN</t>
        </is>
      </c>
      <c r="E5846" t="inlineStr">
        <is>
          <t>HEBY</t>
        </is>
      </c>
      <c r="G5846" t="n">
        <v>16.1</v>
      </c>
      <c r="H5846" t="n">
        <v>0</v>
      </c>
      <c r="I5846" t="n">
        <v>0</v>
      </c>
      <c r="J5846" t="n">
        <v>0</v>
      </c>
      <c r="K5846" t="n">
        <v>0</v>
      </c>
      <c r="L5846" t="n">
        <v>0</v>
      </c>
      <c r="M5846" t="n">
        <v>0</v>
      </c>
      <c r="N5846" t="n">
        <v>0</v>
      </c>
      <c r="O5846" t="n">
        <v>0</v>
      </c>
      <c r="P5846" t="n">
        <v>0</v>
      </c>
      <c r="Q5846" t="n">
        <v>0</v>
      </c>
      <c r="R5846" s="2" t="inlineStr"/>
    </row>
    <row r="5847" ht="15" customHeight="1">
      <c r="A5847" t="inlineStr">
        <is>
          <t>A 34835-2024</t>
        </is>
      </c>
      <c r="B5847" s="1" t="n">
        <v>45526</v>
      </c>
      <c r="C5847" s="1" t="n">
        <v>45846</v>
      </c>
      <c r="D5847" t="inlineStr">
        <is>
          <t>UPPSALA LÄN</t>
        </is>
      </c>
      <c r="E5847" t="inlineStr">
        <is>
          <t>TIERP</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34838-2024</t>
        </is>
      </c>
      <c r="B5848" s="1" t="n">
        <v>45526</v>
      </c>
      <c r="C5848" s="1" t="n">
        <v>45846</v>
      </c>
      <c r="D5848" t="inlineStr">
        <is>
          <t>UPPSALA LÄN</t>
        </is>
      </c>
      <c r="E5848" t="inlineStr">
        <is>
          <t>TIERP</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34837-2024</t>
        </is>
      </c>
      <c r="B5849" s="1" t="n">
        <v>45526</v>
      </c>
      <c r="C5849" s="1" t="n">
        <v>45846</v>
      </c>
      <c r="D5849" t="inlineStr">
        <is>
          <t>UPPSALA LÄN</t>
        </is>
      </c>
      <c r="E5849" t="inlineStr">
        <is>
          <t>TIERP</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35004-2024</t>
        </is>
      </c>
      <c r="B5850" s="1" t="n">
        <v>45527</v>
      </c>
      <c r="C5850" s="1" t="n">
        <v>45846</v>
      </c>
      <c r="D5850" t="inlineStr">
        <is>
          <t>UPPSALA LÄN</t>
        </is>
      </c>
      <c r="E5850" t="inlineStr">
        <is>
          <t>TIERP</t>
        </is>
      </c>
      <c r="F5850" t="inlineStr">
        <is>
          <t>Bergvik skog väst AB</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35020-2024</t>
        </is>
      </c>
      <c r="B5851" s="1" t="n">
        <v>45527</v>
      </c>
      <c r="C5851" s="1" t="n">
        <v>45846</v>
      </c>
      <c r="D5851" t="inlineStr">
        <is>
          <t>UPPSALA LÄN</t>
        </is>
      </c>
      <c r="E5851" t="inlineStr">
        <is>
          <t>TIERP</t>
        </is>
      </c>
      <c r="F5851" t="inlineStr">
        <is>
          <t>Bergvik skog väst AB</t>
        </is>
      </c>
      <c r="G5851" t="n">
        <v>19.8</v>
      </c>
      <c r="H5851" t="n">
        <v>0</v>
      </c>
      <c r="I5851" t="n">
        <v>0</v>
      </c>
      <c r="J5851" t="n">
        <v>0</v>
      </c>
      <c r="K5851" t="n">
        <v>0</v>
      </c>
      <c r="L5851" t="n">
        <v>0</v>
      </c>
      <c r="M5851" t="n">
        <v>0</v>
      </c>
      <c r="N5851" t="n">
        <v>0</v>
      </c>
      <c r="O5851" t="n">
        <v>0</v>
      </c>
      <c r="P5851" t="n">
        <v>0</v>
      </c>
      <c r="Q5851" t="n">
        <v>0</v>
      </c>
      <c r="R5851" s="2" t="inlineStr"/>
    </row>
    <row r="5852" ht="15" customHeight="1">
      <c r="A5852" t="inlineStr">
        <is>
          <t>A 35052-2024</t>
        </is>
      </c>
      <c r="B5852" s="1" t="n">
        <v>45527</v>
      </c>
      <c r="C5852" s="1" t="n">
        <v>45846</v>
      </c>
      <c r="D5852" t="inlineStr">
        <is>
          <t>UPPSALA LÄN</t>
        </is>
      </c>
      <c r="E5852" t="inlineStr">
        <is>
          <t>ENKÖPING</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35056-2024</t>
        </is>
      </c>
      <c r="B5853" s="1" t="n">
        <v>45527</v>
      </c>
      <c r="C5853" s="1" t="n">
        <v>45846</v>
      </c>
      <c r="D5853" t="inlineStr">
        <is>
          <t>UPPSALA LÄN</t>
        </is>
      </c>
      <c r="E5853" t="inlineStr">
        <is>
          <t>ENKÖPING</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35064-2024</t>
        </is>
      </c>
      <c r="B5854" s="1" t="n">
        <v>45527</v>
      </c>
      <c r="C5854" s="1" t="n">
        <v>45846</v>
      </c>
      <c r="D5854" t="inlineStr">
        <is>
          <t>UPPSALA LÄN</t>
        </is>
      </c>
      <c r="E5854" t="inlineStr">
        <is>
          <t>ENKÖPING</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35072-2024</t>
        </is>
      </c>
      <c r="B5855" s="1" t="n">
        <v>45527</v>
      </c>
      <c r="C5855" s="1" t="n">
        <v>45846</v>
      </c>
      <c r="D5855" t="inlineStr">
        <is>
          <t>UPPSALA LÄN</t>
        </is>
      </c>
      <c r="E5855" t="inlineStr">
        <is>
          <t>ENKÖPING</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35067-2024</t>
        </is>
      </c>
      <c r="B5856" s="1" t="n">
        <v>45527</v>
      </c>
      <c r="C5856" s="1" t="n">
        <v>45846</v>
      </c>
      <c r="D5856" t="inlineStr">
        <is>
          <t>UPPSALA LÄN</t>
        </is>
      </c>
      <c r="E5856" t="inlineStr">
        <is>
          <t>ENKÖPING</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35079-2024</t>
        </is>
      </c>
      <c r="B5857" s="1" t="n">
        <v>45527</v>
      </c>
      <c r="C5857" s="1" t="n">
        <v>45846</v>
      </c>
      <c r="D5857" t="inlineStr">
        <is>
          <t>UPPSALA LÄN</t>
        </is>
      </c>
      <c r="E5857" t="inlineStr">
        <is>
          <t>ENKÖPING</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34980-2024</t>
        </is>
      </c>
      <c r="B5858" s="1" t="n">
        <v>45527</v>
      </c>
      <c r="C5858" s="1" t="n">
        <v>45846</v>
      </c>
      <c r="D5858" t="inlineStr">
        <is>
          <t>UPPSALA LÄN</t>
        </is>
      </c>
      <c r="E5858" t="inlineStr">
        <is>
          <t>TIERP</t>
        </is>
      </c>
      <c r="G5858" t="n">
        <v>4.6</v>
      </c>
      <c r="H5858" t="n">
        <v>0</v>
      </c>
      <c r="I5858" t="n">
        <v>0</v>
      </c>
      <c r="J5858" t="n">
        <v>0</v>
      </c>
      <c r="K5858" t="n">
        <v>0</v>
      </c>
      <c r="L5858" t="n">
        <v>0</v>
      </c>
      <c r="M5858" t="n">
        <v>0</v>
      </c>
      <c r="N5858" t="n">
        <v>0</v>
      </c>
      <c r="O5858" t="n">
        <v>0</v>
      </c>
      <c r="P5858" t="n">
        <v>0</v>
      </c>
      <c r="Q5858" t="n">
        <v>0</v>
      </c>
      <c r="R5858" s="2" t="inlineStr"/>
    </row>
    <row r="5859" ht="15" customHeight="1">
      <c r="A5859" t="inlineStr">
        <is>
          <t>A 35001-2024</t>
        </is>
      </c>
      <c r="B5859" s="1" t="n">
        <v>45527</v>
      </c>
      <c r="C5859" s="1" t="n">
        <v>45846</v>
      </c>
      <c r="D5859" t="inlineStr">
        <is>
          <t>UPPSALA LÄN</t>
        </is>
      </c>
      <c r="E5859" t="inlineStr">
        <is>
          <t>TIERP</t>
        </is>
      </c>
      <c r="F5859" t="inlineStr">
        <is>
          <t>Bergvik skog väst AB</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34963-2024</t>
        </is>
      </c>
      <c r="B5860" s="1" t="n">
        <v>45527</v>
      </c>
      <c r="C5860" s="1" t="n">
        <v>45846</v>
      </c>
      <c r="D5860" t="inlineStr">
        <is>
          <t>UPPSALA LÄN</t>
        </is>
      </c>
      <c r="E5860" t="inlineStr">
        <is>
          <t>ÄLVKARLEBY</t>
        </is>
      </c>
      <c r="F5860" t="inlineStr">
        <is>
          <t>Bergvik skog väst AB</t>
        </is>
      </c>
      <c r="G5860" t="n">
        <v>8.1</v>
      </c>
      <c r="H5860" t="n">
        <v>0</v>
      </c>
      <c r="I5860" t="n">
        <v>0</v>
      </c>
      <c r="J5860" t="n">
        <v>0</v>
      </c>
      <c r="K5860" t="n">
        <v>0</v>
      </c>
      <c r="L5860" t="n">
        <v>0</v>
      </c>
      <c r="M5860" t="n">
        <v>0</v>
      </c>
      <c r="N5860" t="n">
        <v>0</v>
      </c>
      <c r="O5860" t="n">
        <v>0</v>
      </c>
      <c r="P5860" t="n">
        <v>0</v>
      </c>
      <c r="Q5860" t="n">
        <v>0</v>
      </c>
      <c r="R5860" s="2" t="inlineStr"/>
    </row>
    <row r="5861" ht="15" customHeight="1">
      <c r="A5861" t="inlineStr">
        <is>
          <t>A 34855-2024</t>
        </is>
      </c>
      <c r="B5861" s="1" t="n">
        <v>45527</v>
      </c>
      <c r="C5861" s="1" t="n">
        <v>45846</v>
      </c>
      <c r="D5861" t="inlineStr">
        <is>
          <t>UPPSALA LÄN</t>
        </is>
      </c>
      <c r="E5861" t="inlineStr">
        <is>
          <t>TIERP</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35183-2024</t>
        </is>
      </c>
      <c r="B5862" s="1" t="n">
        <v>45530</v>
      </c>
      <c r="C5862" s="1" t="n">
        <v>45846</v>
      </c>
      <c r="D5862" t="inlineStr">
        <is>
          <t>UPPSALA LÄN</t>
        </is>
      </c>
      <c r="E5862" t="inlineStr">
        <is>
          <t>TIERP</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35269-2024</t>
        </is>
      </c>
      <c r="B5863" s="1" t="n">
        <v>45530</v>
      </c>
      <c r="C5863" s="1" t="n">
        <v>45846</v>
      </c>
      <c r="D5863" t="inlineStr">
        <is>
          <t>UPPSALA LÄN</t>
        </is>
      </c>
      <c r="E5863" t="inlineStr">
        <is>
          <t>HEBY</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35291-2024</t>
        </is>
      </c>
      <c r="B5864" s="1" t="n">
        <v>45530</v>
      </c>
      <c r="C5864" s="1" t="n">
        <v>45846</v>
      </c>
      <c r="D5864" t="inlineStr">
        <is>
          <t>UPPSALA LÄN</t>
        </is>
      </c>
      <c r="E5864" t="inlineStr">
        <is>
          <t>KNIVSTA</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35293-2024</t>
        </is>
      </c>
      <c r="B5865" s="1" t="n">
        <v>45530</v>
      </c>
      <c r="C5865" s="1" t="n">
        <v>45846</v>
      </c>
      <c r="D5865" t="inlineStr">
        <is>
          <t>UPPSALA LÄN</t>
        </is>
      </c>
      <c r="E5865" t="inlineStr">
        <is>
          <t>TIERP</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35321-2024</t>
        </is>
      </c>
      <c r="B5866" s="1" t="n">
        <v>45530</v>
      </c>
      <c r="C5866" s="1" t="n">
        <v>45846</v>
      </c>
      <c r="D5866" t="inlineStr">
        <is>
          <t>UPPSALA LÄN</t>
        </is>
      </c>
      <c r="E5866" t="inlineStr">
        <is>
          <t>ÖSTHAMMAR</t>
        </is>
      </c>
      <c r="F5866" t="inlineStr">
        <is>
          <t>Bergvik skog öst AB</t>
        </is>
      </c>
      <c r="G5866" t="n">
        <v>6</v>
      </c>
      <c r="H5866" t="n">
        <v>0</v>
      </c>
      <c r="I5866" t="n">
        <v>0</v>
      </c>
      <c r="J5866" t="n">
        <v>0</v>
      </c>
      <c r="K5866" t="n">
        <v>0</v>
      </c>
      <c r="L5866" t="n">
        <v>0</v>
      </c>
      <c r="M5866" t="n">
        <v>0</v>
      </c>
      <c r="N5866" t="n">
        <v>0</v>
      </c>
      <c r="O5866" t="n">
        <v>0</v>
      </c>
      <c r="P5866" t="n">
        <v>0</v>
      </c>
      <c r="Q5866" t="n">
        <v>0</v>
      </c>
      <c r="R5866" s="2" t="inlineStr"/>
    </row>
    <row r="5867" ht="15" customHeight="1">
      <c r="A5867" t="inlineStr">
        <is>
          <t>A 35319-2024</t>
        </is>
      </c>
      <c r="B5867" s="1" t="n">
        <v>45530</v>
      </c>
      <c r="C5867" s="1" t="n">
        <v>45846</v>
      </c>
      <c r="D5867" t="inlineStr">
        <is>
          <t>UPPSALA LÄN</t>
        </is>
      </c>
      <c r="E5867" t="inlineStr">
        <is>
          <t>ÖSTHAMMAR</t>
        </is>
      </c>
      <c r="F5867" t="inlineStr">
        <is>
          <t>Bergvik skog öst AB</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35296-2024</t>
        </is>
      </c>
      <c r="B5868" s="1" t="n">
        <v>45530</v>
      </c>
      <c r="C5868" s="1" t="n">
        <v>45846</v>
      </c>
      <c r="D5868" t="inlineStr">
        <is>
          <t>UPPSALA LÄN</t>
        </is>
      </c>
      <c r="E5868" t="inlineStr">
        <is>
          <t>KNIVSTA</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35300-2024</t>
        </is>
      </c>
      <c r="B5869" s="1" t="n">
        <v>45530</v>
      </c>
      <c r="C5869" s="1" t="n">
        <v>45846</v>
      </c>
      <c r="D5869" t="inlineStr">
        <is>
          <t>UPPSALA LÄN</t>
        </is>
      </c>
      <c r="E5869" t="inlineStr">
        <is>
          <t>ÖSTHAMMAR</t>
        </is>
      </c>
      <c r="F5869" t="inlineStr">
        <is>
          <t>Bergvik skog öst AB</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35312-2024</t>
        </is>
      </c>
      <c r="B5870" s="1" t="n">
        <v>45530</v>
      </c>
      <c r="C5870" s="1" t="n">
        <v>45846</v>
      </c>
      <c r="D5870" t="inlineStr">
        <is>
          <t>UPPSALA LÄN</t>
        </is>
      </c>
      <c r="E5870" t="inlineStr">
        <is>
          <t>ÖSTHAMMAR</t>
        </is>
      </c>
      <c r="F5870" t="inlineStr">
        <is>
          <t>Bergvik skog öst AB</t>
        </is>
      </c>
      <c r="G5870" t="n">
        <v>0.2</v>
      </c>
      <c r="H5870" t="n">
        <v>0</v>
      </c>
      <c r="I5870" t="n">
        <v>0</v>
      </c>
      <c r="J5870" t="n">
        <v>0</v>
      </c>
      <c r="K5870" t="n">
        <v>0</v>
      </c>
      <c r="L5870" t="n">
        <v>0</v>
      </c>
      <c r="M5870" t="n">
        <v>0</v>
      </c>
      <c r="N5870" t="n">
        <v>0</v>
      </c>
      <c r="O5870" t="n">
        <v>0</v>
      </c>
      <c r="P5870" t="n">
        <v>0</v>
      </c>
      <c r="Q5870" t="n">
        <v>0</v>
      </c>
      <c r="R5870" s="2" t="inlineStr"/>
    </row>
    <row r="5871" ht="15" customHeight="1">
      <c r="A5871" t="inlineStr">
        <is>
          <t>A 35316-2024</t>
        </is>
      </c>
      <c r="B5871" s="1" t="n">
        <v>45530</v>
      </c>
      <c r="C5871" s="1" t="n">
        <v>45846</v>
      </c>
      <c r="D5871" t="inlineStr">
        <is>
          <t>UPPSALA LÄN</t>
        </is>
      </c>
      <c r="E5871" t="inlineStr">
        <is>
          <t>ÖSTHAMMAR</t>
        </is>
      </c>
      <c r="F5871" t="inlineStr">
        <is>
          <t>Bergvik skog öst AB</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35268-2024</t>
        </is>
      </c>
      <c r="B5872" s="1" t="n">
        <v>45530</v>
      </c>
      <c r="C5872" s="1" t="n">
        <v>45846</v>
      </c>
      <c r="D5872" t="inlineStr">
        <is>
          <t>UPPSALA LÄN</t>
        </is>
      </c>
      <c r="E5872" t="inlineStr">
        <is>
          <t>HEBY</t>
        </is>
      </c>
      <c r="G5872" t="n">
        <v>4.5</v>
      </c>
      <c r="H5872" t="n">
        <v>0</v>
      </c>
      <c r="I5872" t="n">
        <v>0</v>
      </c>
      <c r="J5872" t="n">
        <v>0</v>
      </c>
      <c r="K5872" t="n">
        <v>0</v>
      </c>
      <c r="L5872" t="n">
        <v>0</v>
      </c>
      <c r="M5872" t="n">
        <v>0</v>
      </c>
      <c r="N5872" t="n">
        <v>0</v>
      </c>
      <c r="O5872" t="n">
        <v>0</v>
      </c>
      <c r="P5872" t="n">
        <v>0</v>
      </c>
      <c r="Q5872" t="n">
        <v>0</v>
      </c>
      <c r="R5872" s="2" t="inlineStr"/>
    </row>
    <row r="5873" ht="15" customHeight="1">
      <c r="A5873" t="inlineStr">
        <is>
          <t>A 35264-2024</t>
        </is>
      </c>
      <c r="B5873" s="1" t="n">
        <v>45530</v>
      </c>
      <c r="C5873" s="1" t="n">
        <v>45846</v>
      </c>
      <c r="D5873" t="inlineStr">
        <is>
          <t>UPPSALA LÄN</t>
        </is>
      </c>
      <c r="E5873" t="inlineStr">
        <is>
          <t>HEBY</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35177-2024</t>
        </is>
      </c>
      <c r="B5874" s="1" t="n">
        <v>45530</v>
      </c>
      <c r="C5874" s="1" t="n">
        <v>45846</v>
      </c>
      <c r="D5874" t="inlineStr">
        <is>
          <t>UPPSALA LÄN</t>
        </is>
      </c>
      <c r="E5874" t="inlineStr">
        <is>
          <t>ÖSTHAMMAR</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35306-2024</t>
        </is>
      </c>
      <c r="B5875" s="1" t="n">
        <v>45530</v>
      </c>
      <c r="C5875" s="1" t="n">
        <v>45846</v>
      </c>
      <c r="D5875" t="inlineStr">
        <is>
          <t>UPPSALA LÄN</t>
        </is>
      </c>
      <c r="E5875" t="inlineStr">
        <is>
          <t>ÖSTHAMMAR</t>
        </is>
      </c>
      <c r="F5875" t="inlineStr">
        <is>
          <t>Bergvik skog öst AB</t>
        </is>
      </c>
      <c r="G5875" t="n">
        <v>0.3</v>
      </c>
      <c r="H5875" t="n">
        <v>0</v>
      </c>
      <c r="I5875" t="n">
        <v>0</v>
      </c>
      <c r="J5875" t="n">
        <v>0</v>
      </c>
      <c r="K5875" t="n">
        <v>0</v>
      </c>
      <c r="L5875" t="n">
        <v>0</v>
      </c>
      <c r="M5875" t="n">
        <v>0</v>
      </c>
      <c r="N5875" t="n">
        <v>0</v>
      </c>
      <c r="O5875" t="n">
        <v>0</v>
      </c>
      <c r="P5875" t="n">
        <v>0</v>
      </c>
      <c r="Q5875" t="n">
        <v>0</v>
      </c>
      <c r="R5875" s="2" t="inlineStr"/>
    </row>
    <row r="5876" ht="15" customHeight="1">
      <c r="A5876" t="inlineStr">
        <is>
          <t>A 35432-2024</t>
        </is>
      </c>
      <c r="B5876" s="1" t="n">
        <v>45531</v>
      </c>
      <c r="C5876" s="1" t="n">
        <v>45846</v>
      </c>
      <c r="D5876" t="inlineStr">
        <is>
          <t>UPPSALA LÄN</t>
        </is>
      </c>
      <c r="E5876" t="inlineStr">
        <is>
          <t>HEBY</t>
        </is>
      </c>
      <c r="G5876" t="n">
        <v>8.9</v>
      </c>
      <c r="H5876" t="n">
        <v>0</v>
      </c>
      <c r="I5876" t="n">
        <v>0</v>
      </c>
      <c r="J5876" t="n">
        <v>0</v>
      </c>
      <c r="K5876" t="n">
        <v>0</v>
      </c>
      <c r="L5876" t="n">
        <v>0</v>
      </c>
      <c r="M5876" t="n">
        <v>0</v>
      </c>
      <c r="N5876" t="n">
        <v>0</v>
      </c>
      <c r="O5876" t="n">
        <v>0</v>
      </c>
      <c r="P5876" t="n">
        <v>0</v>
      </c>
      <c r="Q5876" t="n">
        <v>0</v>
      </c>
      <c r="R5876" s="2" t="inlineStr"/>
    </row>
    <row r="5877" ht="15" customHeight="1">
      <c r="A5877" t="inlineStr">
        <is>
          <t>A 35607-2024</t>
        </is>
      </c>
      <c r="B5877" s="1" t="n">
        <v>45531</v>
      </c>
      <c r="C5877" s="1" t="n">
        <v>45846</v>
      </c>
      <c r="D5877" t="inlineStr">
        <is>
          <t>UPPSALA LÄN</t>
        </is>
      </c>
      <c r="E5877" t="inlineStr">
        <is>
          <t>TIERP</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35644-2024</t>
        </is>
      </c>
      <c r="B5878" s="1" t="n">
        <v>45532</v>
      </c>
      <c r="C5878" s="1" t="n">
        <v>45846</v>
      </c>
      <c r="D5878" t="inlineStr">
        <is>
          <t>UPPSALA LÄN</t>
        </is>
      </c>
      <c r="E5878" t="inlineStr">
        <is>
          <t>HEBY</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35832-2024</t>
        </is>
      </c>
      <c r="B5879" s="1" t="n">
        <v>45532</v>
      </c>
      <c r="C5879" s="1" t="n">
        <v>45846</v>
      </c>
      <c r="D5879" t="inlineStr">
        <is>
          <t>UPPSALA LÄN</t>
        </is>
      </c>
      <c r="E5879" t="inlineStr">
        <is>
          <t>ÄLVKARLEBY</t>
        </is>
      </c>
      <c r="F5879" t="inlineStr">
        <is>
          <t>Bergvik skog väst AB</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35810-2024</t>
        </is>
      </c>
      <c r="B5880" s="1" t="n">
        <v>45532</v>
      </c>
      <c r="C5880" s="1" t="n">
        <v>45846</v>
      </c>
      <c r="D5880" t="inlineStr">
        <is>
          <t>UPPSALA LÄN</t>
        </is>
      </c>
      <c r="E5880" t="inlineStr">
        <is>
          <t>ÖSTHAMMAR</t>
        </is>
      </c>
      <c r="F5880" t="inlineStr">
        <is>
          <t>Övriga Aktiebolag</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35830-2024</t>
        </is>
      </c>
      <c r="B5881" s="1" t="n">
        <v>45532</v>
      </c>
      <c r="C5881" s="1" t="n">
        <v>45846</v>
      </c>
      <c r="D5881" t="inlineStr">
        <is>
          <t>UPPSALA LÄN</t>
        </is>
      </c>
      <c r="E5881" t="inlineStr">
        <is>
          <t>UPPSALA</t>
        </is>
      </c>
      <c r="G5881" t="n">
        <v>7.6</v>
      </c>
      <c r="H5881" t="n">
        <v>0</v>
      </c>
      <c r="I5881" t="n">
        <v>0</v>
      </c>
      <c r="J5881" t="n">
        <v>0</v>
      </c>
      <c r="K5881" t="n">
        <v>0</v>
      </c>
      <c r="L5881" t="n">
        <v>0</v>
      </c>
      <c r="M5881" t="n">
        <v>0</v>
      </c>
      <c r="N5881" t="n">
        <v>0</v>
      </c>
      <c r="O5881" t="n">
        <v>0</v>
      </c>
      <c r="P5881" t="n">
        <v>0</v>
      </c>
      <c r="Q5881" t="n">
        <v>0</v>
      </c>
      <c r="R5881" s="2" t="inlineStr"/>
    </row>
    <row r="5882" ht="15" customHeight="1">
      <c r="A5882" t="inlineStr">
        <is>
          <t>A 35680-2024</t>
        </is>
      </c>
      <c r="B5882" s="1" t="n">
        <v>45532</v>
      </c>
      <c r="C5882" s="1" t="n">
        <v>45846</v>
      </c>
      <c r="D5882" t="inlineStr">
        <is>
          <t>UPPSALA LÄN</t>
        </is>
      </c>
      <c r="E5882" t="inlineStr">
        <is>
          <t>ENKÖPING</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35909-2024</t>
        </is>
      </c>
      <c r="B5883" s="1" t="n">
        <v>45533</v>
      </c>
      <c r="C5883" s="1" t="n">
        <v>45846</v>
      </c>
      <c r="D5883" t="inlineStr">
        <is>
          <t>UPPSALA LÄN</t>
        </is>
      </c>
      <c r="E5883" t="inlineStr">
        <is>
          <t>HEBY</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35929-2024</t>
        </is>
      </c>
      <c r="B5884" s="1" t="n">
        <v>45533</v>
      </c>
      <c r="C5884" s="1" t="n">
        <v>45846</v>
      </c>
      <c r="D5884" t="inlineStr">
        <is>
          <t>UPPSALA LÄN</t>
        </is>
      </c>
      <c r="E5884" t="inlineStr">
        <is>
          <t>ÖSTHAMMAR</t>
        </is>
      </c>
      <c r="F5884" t="inlineStr">
        <is>
          <t>Övriga Aktiebolag</t>
        </is>
      </c>
      <c r="G5884" t="n">
        <v>15.5</v>
      </c>
      <c r="H5884" t="n">
        <v>0</v>
      </c>
      <c r="I5884" t="n">
        <v>0</v>
      </c>
      <c r="J5884" t="n">
        <v>0</v>
      </c>
      <c r="K5884" t="n">
        <v>0</v>
      </c>
      <c r="L5884" t="n">
        <v>0</v>
      </c>
      <c r="M5884" t="n">
        <v>0</v>
      </c>
      <c r="N5884" t="n">
        <v>0</v>
      </c>
      <c r="O5884" t="n">
        <v>0</v>
      </c>
      <c r="P5884" t="n">
        <v>0</v>
      </c>
      <c r="Q5884" t="n">
        <v>0</v>
      </c>
      <c r="R5884" s="2" t="inlineStr"/>
    </row>
    <row r="5885" ht="15" customHeight="1">
      <c r="A5885" t="inlineStr">
        <is>
          <t>A 35914-2024</t>
        </is>
      </c>
      <c r="B5885" s="1" t="n">
        <v>45533</v>
      </c>
      <c r="C5885" s="1" t="n">
        <v>45846</v>
      </c>
      <c r="D5885" t="inlineStr">
        <is>
          <t>UPPSALA LÄN</t>
        </is>
      </c>
      <c r="E5885" t="inlineStr">
        <is>
          <t>TIERP</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36007-2024</t>
        </is>
      </c>
      <c r="B5886" s="1" t="n">
        <v>45533</v>
      </c>
      <c r="C5886" s="1" t="n">
        <v>45846</v>
      </c>
      <c r="D5886" t="inlineStr">
        <is>
          <t>UPPSALA LÄN</t>
        </is>
      </c>
      <c r="E5886" t="inlineStr">
        <is>
          <t>ENKÖPING</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36015-2024</t>
        </is>
      </c>
      <c r="B5887" s="1" t="n">
        <v>45533</v>
      </c>
      <c r="C5887" s="1" t="n">
        <v>45846</v>
      </c>
      <c r="D5887" t="inlineStr">
        <is>
          <t>UPPSALA LÄN</t>
        </is>
      </c>
      <c r="E5887" t="inlineStr">
        <is>
          <t>UPPSALA</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35936-2024</t>
        </is>
      </c>
      <c r="B5888" s="1" t="n">
        <v>45533</v>
      </c>
      <c r="C5888" s="1" t="n">
        <v>45846</v>
      </c>
      <c r="D5888" t="inlineStr">
        <is>
          <t>UPPSALA LÄN</t>
        </is>
      </c>
      <c r="E5888" t="inlineStr">
        <is>
          <t>ÖSTHAMMAR</t>
        </is>
      </c>
      <c r="F5888" t="inlineStr">
        <is>
          <t>Övriga Aktiebolag</t>
        </is>
      </c>
      <c r="G5888" t="n">
        <v>5.8</v>
      </c>
      <c r="H5888" t="n">
        <v>0</v>
      </c>
      <c r="I5888" t="n">
        <v>0</v>
      </c>
      <c r="J5888" t="n">
        <v>0</v>
      </c>
      <c r="K5888" t="n">
        <v>0</v>
      </c>
      <c r="L5888" t="n">
        <v>0</v>
      </c>
      <c r="M5888" t="n">
        <v>0</v>
      </c>
      <c r="N5888" t="n">
        <v>0</v>
      </c>
      <c r="O5888" t="n">
        <v>0</v>
      </c>
      <c r="P5888" t="n">
        <v>0</v>
      </c>
      <c r="Q5888" t="n">
        <v>0</v>
      </c>
      <c r="R5888" s="2" t="inlineStr"/>
    </row>
    <row r="5889" ht="15" customHeight="1">
      <c r="A5889" t="inlineStr">
        <is>
          <t>A 35933-2024</t>
        </is>
      </c>
      <c r="B5889" s="1" t="n">
        <v>45533</v>
      </c>
      <c r="C5889" s="1" t="n">
        <v>45846</v>
      </c>
      <c r="D5889" t="inlineStr">
        <is>
          <t>UPPSALA LÄN</t>
        </is>
      </c>
      <c r="E5889" t="inlineStr">
        <is>
          <t>ÖSTHAMMAR</t>
        </is>
      </c>
      <c r="F5889" t="inlineStr">
        <is>
          <t>Övriga Aktiebolag</t>
        </is>
      </c>
      <c r="G5889" t="n">
        <v>9.699999999999999</v>
      </c>
      <c r="H5889" t="n">
        <v>0</v>
      </c>
      <c r="I5889" t="n">
        <v>0</v>
      </c>
      <c r="J5889" t="n">
        <v>0</v>
      </c>
      <c r="K5889" t="n">
        <v>0</v>
      </c>
      <c r="L5889" t="n">
        <v>0</v>
      </c>
      <c r="M5889" t="n">
        <v>0</v>
      </c>
      <c r="N5889" t="n">
        <v>0</v>
      </c>
      <c r="O5889" t="n">
        <v>0</v>
      </c>
      <c r="P5889" t="n">
        <v>0</v>
      </c>
      <c r="Q5889" t="n">
        <v>0</v>
      </c>
      <c r="R5889" s="2" t="inlineStr"/>
    </row>
    <row r="5890" ht="15" customHeight="1">
      <c r="A5890" t="inlineStr">
        <is>
          <t>A 36029-2024</t>
        </is>
      </c>
      <c r="B5890" s="1" t="n">
        <v>45533</v>
      </c>
      <c r="C5890" s="1" t="n">
        <v>45846</v>
      </c>
      <c r="D5890" t="inlineStr">
        <is>
          <t>UPPSALA LÄN</t>
        </is>
      </c>
      <c r="E5890" t="inlineStr">
        <is>
          <t>UPPSALA</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36041-2024</t>
        </is>
      </c>
      <c r="B5891" s="1" t="n">
        <v>45533</v>
      </c>
      <c r="C5891" s="1" t="n">
        <v>45846</v>
      </c>
      <c r="D5891" t="inlineStr">
        <is>
          <t>UPPSALA LÄN</t>
        </is>
      </c>
      <c r="E5891" t="inlineStr">
        <is>
          <t>UPPSALA</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36092-2024</t>
        </is>
      </c>
      <c r="B5892" s="1" t="n">
        <v>45533</v>
      </c>
      <c r="C5892" s="1" t="n">
        <v>45846</v>
      </c>
      <c r="D5892" t="inlineStr">
        <is>
          <t>UPPSALA LÄN</t>
        </is>
      </c>
      <c r="E5892" t="inlineStr">
        <is>
          <t>TIERP</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36189-2024</t>
        </is>
      </c>
      <c r="B5893" s="1" t="n">
        <v>45534</v>
      </c>
      <c r="C5893" s="1" t="n">
        <v>45846</v>
      </c>
      <c r="D5893" t="inlineStr">
        <is>
          <t>UPPSALA LÄN</t>
        </is>
      </c>
      <c r="E5893" t="inlineStr">
        <is>
          <t>TIERP</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36171-2024</t>
        </is>
      </c>
      <c r="B5894" s="1" t="n">
        <v>45534</v>
      </c>
      <c r="C5894" s="1" t="n">
        <v>45846</v>
      </c>
      <c r="D5894" t="inlineStr">
        <is>
          <t>UPPSALA LÄN</t>
        </is>
      </c>
      <c r="E5894" t="inlineStr">
        <is>
          <t>ÖSTHAMMAR</t>
        </is>
      </c>
      <c r="F5894" t="inlineStr">
        <is>
          <t>Kyrkan</t>
        </is>
      </c>
      <c r="G5894" t="n">
        <v>8.199999999999999</v>
      </c>
      <c r="H5894" t="n">
        <v>0</v>
      </c>
      <c r="I5894" t="n">
        <v>0</v>
      </c>
      <c r="J5894" t="n">
        <v>0</v>
      </c>
      <c r="K5894" t="n">
        <v>0</v>
      </c>
      <c r="L5894" t="n">
        <v>0</v>
      </c>
      <c r="M5894" t="n">
        <v>0</v>
      </c>
      <c r="N5894" t="n">
        <v>0</v>
      </c>
      <c r="O5894" t="n">
        <v>0</v>
      </c>
      <c r="P5894" t="n">
        <v>0</v>
      </c>
      <c r="Q5894" t="n">
        <v>0</v>
      </c>
      <c r="R5894" s="2" t="inlineStr"/>
    </row>
    <row r="5895" ht="15" customHeight="1">
      <c r="A5895" t="inlineStr">
        <is>
          <t>A 36516-2024</t>
        </is>
      </c>
      <c r="B5895" s="1" t="n">
        <v>45537</v>
      </c>
      <c r="C5895" s="1" t="n">
        <v>45846</v>
      </c>
      <c r="D5895" t="inlineStr">
        <is>
          <t>UPPSALA LÄN</t>
        </is>
      </c>
      <c r="E5895" t="inlineStr">
        <is>
          <t>TIERP</t>
        </is>
      </c>
      <c r="G5895" t="n">
        <v>4.6</v>
      </c>
      <c r="H5895" t="n">
        <v>0</v>
      </c>
      <c r="I5895" t="n">
        <v>0</v>
      </c>
      <c r="J5895" t="n">
        <v>0</v>
      </c>
      <c r="K5895" t="n">
        <v>0</v>
      </c>
      <c r="L5895" t="n">
        <v>0</v>
      </c>
      <c r="M5895" t="n">
        <v>0</v>
      </c>
      <c r="N5895" t="n">
        <v>0</v>
      </c>
      <c r="O5895" t="n">
        <v>0</v>
      </c>
      <c r="P5895" t="n">
        <v>0</v>
      </c>
      <c r="Q5895" t="n">
        <v>0</v>
      </c>
      <c r="R5895" s="2" t="inlineStr"/>
    </row>
    <row r="5896" ht="15" customHeight="1">
      <c r="A5896" t="inlineStr">
        <is>
          <t>A 36521-2024</t>
        </is>
      </c>
      <c r="B5896" s="1" t="n">
        <v>45537</v>
      </c>
      <c r="C5896" s="1" t="n">
        <v>45846</v>
      </c>
      <c r="D5896" t="inlineStr">
        <is>
          <t>UPPSALA LÄN</t>
        </is>
      </c>
      <c r="E5896" t="inlineStr">
        <is>
          <t>TIERP</t>
        </is>
      </c>
      <c r="G5896" t="n">
        <v>5.4</v>
      </c>
      <c r="H5896" t="n">
        <v>0</v>
      </c>
      <c r="I5896" t="n">
        <v>0</v>
      </c>
      <c r="J5896" t="n">
        <v>0</v>
      </c>
      <c r="K5896" t="n">
        <v>0</v>
      </c>
      <c r="L5896" t="n">
        <v>0</v>
      </c>
      <c r="M5896" t="n">
        <v>0</v>
      </c>
      <c r="N5896" t="n">
        <v>0</v>
      </c>
      <c r="O5896" t="n">
        <v>0</v>
      </c>
      <c r="P5896" t="n">
        <v>0</v>
      </c>
      <c r="Q5896" t="n">
        <v>0</v>
      </c>
      <c r="R5896" s="2" t="inlineStr"/>
    </row>
    <row r="5897" ht="15" customHeight="1">
      <c r="A5897" t="inlineStr">
        <is>
          <t>A 36483-2024</t>
        </is>
      </c>
      <c r="B5897" s="1" t="n">
        <v>45537</v>
      </c>
      <c r="C5897" s="1" t="n">
        <v>45846</v>
      </c>
      <c r="D5897" t="inlineStr">
        <is>
          <t>UPPSALA LÄN</t>
        </is>
      </c>
      <c r="E5897" t="inlineStr">
        <is>
          <t>HEBY</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36523-2024</t>
        </is>
      </c>
      <c r="B5898" s="1" t="n">
        <v>45537</v>
      </c>
      <c r="C5898" s="1" t="n">
        <v>45846</v>
      </c>
      <c r="D5898" t="inlineStr">
        <is>
          <t>UPPSALA LÄN</t>
        </is>
      </c>
      <c r="E5898" t="inlineStr">
        <is>
          <t>TIERP</t>
        </is>
      </c>
      <c r="G5898" t="n">
        <v>5.6</v>
      </c>
      <c r="H5898" t="n">
        <v>0</v>
      </c>
      <c r="I5898" t="n">
        <v>0</v>
      </c>
      <c r="J5898" t="n">
        <v>0</v>
      </c>
      <c r="K5898" t="n">
        <v>0</v>
      </c>
      <c r="L5898" t="n">
        <v>0</v>
      </c>
      <c r="M5898" t="n">
        <v>0</v>
      </c>
      <c r="N5898" t="n">
        <v>0</v>
      </c>
      <c r="O5898" t="n">
        <v>0</v>
      </c>
      <c r="P5898" t="n">
        <v>0</v>
      </c>
      <c r="Q5898" t="n">
        <v>0</v>
      </c>
      <c r="R5898" s="2" t="inlineStr"/>
    </row>
    <row r="5899" ht="15" customHeight="1">
      <c r="A5899" t="inlineStr">
        <is>
          <t>A 36830-2024</t>
        </is>
      </c>
      <c r="B5899" s="1" t="n">
        <v>45538</v>
      </c>
      <c r="C5899" s="1" t="n">
        <v>45846</v>
      </c>
      <c r="D5899" t="inlineStr">
        <is>
          <t>UPPSALA LÄN</t>
        </is>
      </c>
      <c r="E5899" t="inlineStr">
        <is>
          <t>TIERP</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36866-2024</t>
        </is>
      </c>
      <c r="B5900" s="1" t="n">
        <v>45538</v>
      </c>
      <c r="C5900" s="1" t="n">
        <v>45846</v>
      </c>
      <c r="D5900" t="inlineStr">
        <is>
          <t>UPPSALA LÄN</t>
        </is>
      </c>
      <c r="E5900" t="inlineStr">
        <is>
          <t>ÖSTHAMMAR</t>
        </is>
      </c>
      <c r="F5900" t="inlineStr">
        <is>
          <t>Bergvik skog öst AB</t>
        </is>
      </c>
      <c r="G5900" t="n">
        <v>5.5</v>
      </c>
      <c r="H5900" t="n">
        <v>0</v>
      </c>
      <c r="I5900" t="n">
        <v>0</v>
      </c>
      <c r="J5900" t="n">
        <v>0</v>
      </c>
      <c r="K5900" t="n">
        <v>0</v>
      </c>
      <c r="L5900" t="n">
        <v>0</v>
      </c>
      <c r="M5900" t="n">
        <v>0</v>
      </c>
      <c r="N5900" t="n">
        <v>0</v>
      </c>
      <c r="O5900" t="n">
        <v>0</v>
      </c>
      <c r="P5900" t="n">
        <v>0</v>
      </c>
      <c r="Q5900" t="n">
        <v>0</v>
      </c>
      <c r="R5900" s="2" t="inlineStr"/>
    </row>
    <row r="5901" ht="15" customHeight="1">
      <c r="A5901" t="inlineStr">
        <is>
          <t>A 36847-2024</t>
        </is>
      </c>
      <c r="B5901" s="1" t="n">
        <v>45538</v>
      </c>
      <c r="C5901" s="1" t="n">
        <v>45846</v>
      </c>
      <c r="D5901" t="inlineStr">
        <is>
          <t>UPPSALA LÄN</t>
        </is>
      </c>
      <c r="E5901" t="inlineStr">
        <is>
          <t>ÖSTHAMMAR</t>
        </is>
      </c>
      <c r="F5901" t="inlineStr">
        <is>
          <t>Bergvik skog öst AB</t>
        </is>
      </c>
      <c r="G5901" t="n">
        <v>6.4</v>
      </c>
      <c r="H5901" t="n">
        <v>0</v>
      </c>
      <c r="I5901" t="n">
        <v>0</v>
      </c>
      <c r="J5901" t="n">
        <v>0</v>
      </c>
      <c r="K5901" t="n">
        <v>0</v>
      </c>
      <c r="L5901" t="n">
        <v>0</v>
      </c>
      <c r="M5901" t="n">
        <v>0</v>
      </c>
      <c r="N5901" t="n">
        <v>0</v>
      </c>
      <c r="O5901" t="n">
        <v>0</v>
      </c>
      <c r="P5901" t="n">
        <v>0</v>
      </c>
      <c r="Q5901" t="n">
        <v>0</v>
      </c>
      <c r="R5901" s="2" t="inlineStr"/>
    </row>
    <row r="5902" ht="15" customHeight="1">
      <c r="A5902" t="inlineStr">
        <is>
          <t>A 36869-2024</t>
        </is>
      </c>
      <c r="B5902" s="1" t="n">
        <v>45538</v>
      </c>
      <c r="C5902" s="1" t="n">
        <v>45846</v>
      </c>
      <c r="D5902" t="inlineStr">
        <is>
          <t>UPPSALA LÄN</t>
        </is>
      </c>
      <c r="E5902" t="inlineStr">
        <is>
          <t>ÖSTHAMMAR</t>
        </is>
      </c>
      <c r="F5902" t="inlineStr">
        <is>
          <t>Bergvik skog öst AB</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36863-2024</t>
        </is>
      </c>
      <c r="B5903" s="1" t="n">
        <v>45538</v>
      </c>
      <c r="C5903" s="1" t="n">
        <v>45846</v>
      </c>
      <c r="D5903" t="inlineStr">
        <is>
          <t>UPPSALA LÄN</t>
        </is>
      </c>
      <c r="E5903" t="inlineStr">
        <is>
          <t>ÖSTHAMMAR</t>
        </is>
      </c>
      <c r="F5903" t="inlineStr">
        <is>
          <t>Bergvik skog öst AB</t>
        </is>
      </c>
      <c r="G5903" t="n">
        <v>5.5</v>
      </c>
      <c r="H5903" t="n">
        <v>0</v>
      </c>
      <c r="I5903" t="n">
        <v>0</v>
      </c>
      <c r="J5903" t="n">
        <v>0</v>
      </c>
      <c r="K5903" t="n">
        <v>0</v>
      </c>
      <c r="L5903" t="n">
        <v>0</v>
      </c>
      <c r="M5903" t="n">
        <v>0</v>
      </c>
      <c r="N5903" t="n">
        <v>0</v>
      </c>
      <c r="O5903" t="n">
        <v>0</v>
      </c>
      <c r="P5903" t="n">
        <v>0</v>
      </c>
      <c r="Q5903" t="n">
        <v>0</v>
      </c>
      <c r="R5903" s="2" t="inlineStr"/>
    </row>
    <row r="5904" ht="15" customHeight="1">
      <c r="A5904" t="inlineStr">
        <is>
          <t>A 36897-2024</t>
        </is>
      </c>
      <c r="B5904" s="1" t="n">
        <v>45538</v>
      </c>
      <c r="C5904" s="1" t="n">
        <v>45846</v>
      </c>
      <c r="D5904" t="inlineStr">
        <is>
          <t>UPPSALA LÄN</t>
        </is>
      </c>
      <c r="E5904" t="inlineStr">
        <is>
          <t>ÖSTHAMMAR</t>
        </is>
      </c>
      <c r="F5904" t="inlineStr">
        <is>
          <t>Bergvik skog öst AB</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36846-2024</t>
        </is>
      </c>
      <c r="B5905" s="1" t="n">
        <v>45538</v>
      </c>
      <c r="C5905" s="1" t="n">
        <v>45846</v>
      </c>
      <c r="D5905" t="inlineStr">
        <is>
          <t>UPPSALA LÄN</t>
        </is>
      </c>
      <c r="E5905" t="inlineStr">
        <is>
          <t>ÖSTHAMMAR</t>
        </is>
      </c>
      <c r="F5905" t="inlineStr">
        <is>
          <t>Bergvik skog öst AB</t>
        </is>
      </c>
      <c r="G5905" t="n">
        <v>6.4</v>
      </c>
      <c r="H5905" t="n">
        <v>0</v>
      </c>
      <c r="I5905" t="n">
        <v>0</v>
      </c>
      <c r="J5905" t="n">
        <v>0</v>
      </c>
      <c r="K5905" t="n">
        <v>0</v>
      </c>
      <c r="L5905" t="n">
        <v>0</v>
      </c>
      <c r="M5905" t="n">
        <v>0</v>
      </c>
      <c r="N5905" t="n">
        <v>0</v>
      </c>
      <c r="O5905" t="n">
        <v>0</v>
      </c>
      <c r="P5905" t="n">
        <v>0</v>
      </c>
      <c r="Q5905" t="n">
        <v>0</v>
      </c>
      <c r="R5905" s="2" t="inlineStr"/>
    </row>
    <row r="5906" ht="15" customHeight="1">
      <c r="A5906" t="inlineStr">
        <is>
          <t>A 36868-2024</t>
        </is>
      </c>
      <c r="B5906" s="1" t="n">
        <v>45538</v>
      </c>
      <c r="C5906" s="1" t="n">
        <v>45846</v>
      </c>
      <c r="D5906" t="inlineStr">
        <is>
          <t>UPPSALA LÄN</t>
        </is>
      </c>
      <c r="E5906" t="inlineStr">
        <is>
          <t>ÖSTHAMMAR</t>
        </is>
      </c>
      <c r="F5906" t="inlineStr">
        <is>
          <t>Bergvik skog öst AB</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36898-2024</t>
        </is>
      </c>
      <c r="B5907" s="1" t="n">
        <v>45538</v>
      </c>
      <c r="C5907" s="1" t="n">
        <v>45846</v>
      </c>
      <c r="D5907" t="inlineStr">
        <is>
          <t>UPPSALA LÄN</t>
        </is>
      </c>
      <c r="E5907" t="inlineStr">
        <is>
          <t>ÖSTHAMMAR</t>
        </is>
      </c>
      <c r="F5907" t="inlineStr">
        <is>
          <t>Bergvik skog öst AB</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36902-2024</t>
        </is>
      </c>
      <c r="B5908" s="1" t="n">
        <v>45538</v>
      </c>
      <c r="C5908" s="1" t="n">
        <v>45846</v>
      </c>
      <c r="D5908" t="inlineStr">
        <is>
          <t>UPPSALA LÄN</t>
        </is>
      </c>
      <c r="E5908" t="inlineStr">
        <is>
          <t>TIERP</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36951-2024</t>
        </is>
      </c>
      <c r="B5909" s="1" t="n">
        <v>45538</v>
      </c>
      <c r="C5909" s="1" t="n">
        <v>45846</v>
      </c>
      <c r="D5909" t="inlineStr">
        <is>
          <t>UPPSALA LÄN</t>
        </is>
      </c>
      <c r="E5909" t="inlineStr">
        <is>
          <t>ÖSTHAMMAR</t>
        </is>
      </c>
      <c r="F5909" t="inlineStr">
        <is>
          <t>Bergvik skog öst AB</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36950-2024</t>
        </is>
      </c>
      <c r="B5910" s="1" t="n">
        <v>45538</v>
      </c>
      <c r="C5910" s="1" t="n">
        <v>45846</v>
      </c>
      <c r="D5910" t="inlineStr">
        <is>
          <t>UPPSALA LÄN</t>
        </is>
      </c>
      <c r="E5910" t="inlineStr">
        <is>
          <t>ÖSTHAMMAR</t>
        </is>
      </c>
      <c r="F5910" t="inlineStr">
        <is>
          <t>Bergvik skog öst AB</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36954-2024</t>
        </is>
      </c>
      <c r="B5911" s="1" t="n">
        <v>45538</v>
      </c>
      <c r="C5911" s="1" t="n">
        <v>45846</v>
      </c>
      <c r="D5911" t="inlineStr">
        <is>
          <t>UPPSALA LÄN</t>
        </is>
      </c>
      <c r="E5911" t="inlineStr">
        <is>
          <t>ÖSTHAMMAR</t>
        </is>
      </c>
      <c r="F5911" t="inlineStr">
        <is>
          <t>Bergvik skog öst AB</t>
        </is>
      </c>
      <c r="G5911" t="n">
        <v>5.1</v>
      </c>
      <c r="H5911" t="n">
        <v>0</v>
      </c>
      <c r="I5911" t="n">
        <v>0</v>
      </c>
      <c r="J5911" t="n">
        <v>0</v>
      </c>
      <c r="K5911" t="n">
        <v>0</v>
      </c>
      <c r="L5911" t="n">
        <v>0</v>
      </c>
      <c r="M5911" t="n">
        <v>0</v>
      </c>
      <c r="N5911" t="n">
        <v>0</v>
      </c>
      <c r="O5911" t="n">
        <v>0</v>
      </c>
      <c r="P5911" t="n">
        <v>0</v>
      </c>
      <c r="Q5911" t="n">
        <v>0</v>
      </c>
      <c r="R5911" s="2" t="inlineStr"/>
    </row>
    <row r="5912" ht="15" customHeight="1">
      <c r="A5912" t="inlineStr">
        <is>
          <t>A 36936-2024</t>
        </is>
      </c>
      <c r="B5912" s="1" t="n">
        <v>45538</v>
      </c>
      <c r="C5912" s="1" t="n">
        <v>45846</v>
      </c>
      <c r="D5912" t="inlineStr">
        <is>
          <t>UPPSALA LÄN</t>
        </is>
      </c>
      <c r="E5912" t="inlineStr">
        <is>
          <t>TIERP</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36940-2024</t>
        </is>
      </c>
      <c r="B5913" s="1" t="n">
        <v>45538</v>
      </c>
      <c r="C5913" s="1" t="n">
        <v>45846</v>
      </c>
      <c r="D5913" t="inlineStr">
        <is>
          <t>UPPSALA LÄN</t>
        </is>
      </c>
      <c r="E5913" t="inlineStr">
        <is>
          <t>ÖSTHAMMAR</t>
        </is>
      </c>
      <c r="F5913" t="inlineStr">
        <is>
          <t>Bergvik skog öst AB</t>
        </is>
      </c>
      <c r="G5913" t="n">
        <v>8.4</v>
      </c>
      <c r="H5913" t="n">
        <v>0</v>
      </c>
      <c r="I5913" t="n">
        <v>0</v>
      </c>
      <c r="J5913" t="n">
        <v>0</v>
      </c>
      <c r="K5913" t="n">
        <v>0</v>
      </c>
      <c r="L5913" t="n">
        <v>0</v>
      </c>
      <c r="M5913" t="n">
        <v>0</v>
      </c>
      <c r="N5913" t="n">
        <v>0</v>
      </c>
      <c r="O5913" t="n">
        <v>0</v>
      </c>
      <c r="P5913" t="n">
        <v>0</v>
      </c>
      <c r="Q5913" t="n">
        <v>0</v>
      </c>
      <c r="R5913" s="2" t="inlineStr"/>
    </row>
    <row r="5914" ht="15" customHeight="1">
      <c r="A5914" t="inlineStr">
        <is>
          <t>A 36948-2024</t>
        </is>
      </c>
      <c r="B5914" s="1" t="n">
        <v>45538</v>
      </c>
      <c r="C5914" s="1" t="n">
        <v>45846</v>
      </c>
      <c r="D5914" t="inlineStr">
        <is>
          <t>UPPSALA LÄN</t>
        </is>
      </c>
      <c r="E5914" t="inlineStr">
        <is>
          <t>ÖSTHAMMAR</t>
        </is>
      </c>
      <c r="F5914" t="inlineStr">
        <is>
          <t>Bergvik skog öst AB</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36952-2024</t>
        </is>
      </c>
      <c r="B5915" s="1" t="n">
        <v>45538</v>
      </c>
      <c r="C5915" s="1" t="n">
        <v>45846</v>
      </c>
      <c r="D5915" t="inlineStr">
        <is>
          <t>UPPSALA LÄN</t>
        </is>
      </c>
      <c r="E5915" t="inlineStr">
        <is>
          <t>ÖSTHAMMAR</t>
        </is>
      </c>
      <c r="F5915" t="inlineStr">
        <is>
          <t>Bergvik skog öst AB</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36956-2024</t>
        </is>
      </c>
      <c r="B5916" s="1" t="n">
        <v>45538</v>
      </c>
      <c r="C5916" s="1" t="n">
        <v>45846</v>
      </c>
      <c r="D5916" t="inlineStr">
        <is>
          <t>UPPSALA LÄN</t>
        </is>
      </c>
      <c r="E5916" t="inlineStr">
        <is>
          <t>ÖSTHAMMAR</t>
        </is>
      </c>
      <c r="F5916" t="inlineStr">
        <is>
          <t>Bergvik skog öst AB</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36937-2024</t>
        </is>
      </c>
      <c r="B5917" s="1" t="n">
        <v>45538</v>
      </c>
      <c r="C5917" s="1" t="n">
        <v>45846</v>
      </c>
      <c r="D5917" t="inlineStr">
        <is>
          <t>UPPSALA LÄN</t>
        </is>
      </c>
      <c r="E5917" t="inlineStr">
        <is>
          <t>ÖSTHAMMAR</t>
        </is>
      </c>
      <c r="F5917" t="inlineStr">
        <is>
          <t>Bergvik skog öst AB</t>
        </is>
      </c>
      <c r="G5917" t="n">
        <v>8.4</v>
      </c>
      <c r="H5917" t="n">
        <v>0</v>
      </c>
      <c r="I5917" t="n">
        <v>0</v>
      </c>
      <c r="J5917" t="n">
        <v>0</v>
      </c>
      <c r="K5917" t="n">
        <v>0</v>
      </c>
      <c r="L5917" t="n">
        <v>0</v>
      </c>
      <c r="M5917" t="n">
        <v>0</v>
      </c>
      <c r="N5917" t="n">
        <v>0</v>
      </c>
      <c r="O5917" t="n">
        <v>0</v>
      </c>
      <c r="P5917" t="n">
        <v>0</v>
      </c>
      <c r="Q5917" t="n">
        <v>0</v>
      </c>
      <c r="R5917" s="2" t="inlineStr"/>
    </row>
    <row r="5918" ht="15" customHeight="1">
      <c r="A5918" t="inlineStr">
        <is>
          <t>A 36953-2024</t>
        </is>
      </c>
      <c r="B5918" s="1" t="n">
        <v>45538</v>
      </c>
      <c r="C5918" s="1" t="n">
        <v>45846</v>
      </c>
      <c r="D5918" t="inlineStr">
        <is>
          <t>UPPSALA LÄN</t>
        </is>
      </c>
      <c r="E5918" t="inlineStr">
        <is>
          <t>ÖSTHAMMAR</t>
        </is>
      </c>
      <c r="F5918" t="inlineStr">
        <is>
          <t>Bergvik skog öst AB</t>
        </is>
      </c>
      <c r="G5918" t="n">
        <v>5.1</v>
      </c>
      <c r="H5918" t="n">
        <v>0</v>
      </c>
      <c r="I5918" t="n">
        <v>0</v>
      </c>
      <c r="J5918" t="n">
        <v>0</v>
      </c>
      <c r="K5918" t="n">
        <v>0</v>
      </c>
      <c r="L5918" t="n">
        <v>0</v>
      </c>
      <c r="M5918" t="n">
        <v>0</v>
      </c>
      <c r="N5918" t="n">
        <v>0</v>
      </c>
      <c r="O5918" t="n">
        <v>0</v>
      </c>
      <c r="P5918" t="n">
        <v>0</v>
      </c>
      <c r="Q5918" t="n">
        <v>0</v>
      </c>
      <c r="R5918" s="2" t="inlineStr"/>
    </row>
    <row r="5919" ht="15" customHeight="1">
      <c r="A5919" t="inlineStr">
        <is>
          <t>A 36958-2024</t>
        </is>
      </c>
      <c r="B5919" s="1" t="n">
        <v>45538</v>
      </c>
      <c r="C5919" s="1" t="n">
        <v>45846</v>
      </c>
      <c r="D5919" t="inlineStr">
        <is>
          <t>UPPSALA LÄN</t>
        </is>
      </c>
      <c r="E5919" t="inlineStr">
        <is>
          <t>ÖSTHAMMAR</t>
        </is>
      </c>
      <c r="F5919" t="inlineStr">
        <is>
          <t>Bergvik skog öst AB</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37111-2024</t>
        </is>
      </c>
      <c r="B5920" s="1" t="n">
        <v>45539</v>
      </c>
      <c r="C5920" s="1" t="n">
        <v>45846</v>
      </c>
      <c r="D5920" t="inlineStr">
        <is>
          <t>UPPSALA LÄN</t>
        </is>
      </c>
      <c r="E5920" t="inlineStr">
        <is>
          <t>HEBY</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37115-2024</t>
        </is>
      </c>
      <c r="B5921" s="1" t="n">
        <v>45539</v>
      </c>
      <c r="C5921" s="1" t="n">
        <v>45846</v>
      </c>
      <c r="D5921" t="inlineStr">
        <is>
          <t>UPPSALA LÄN</t>
        </is>
      </c>
      <c r="E5921" t="inlineStr">
        <is>
          <t>ENKÖPING</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37032-2024</t>
        </is>
      </c>
      <c r="B5922" s="1" t="n">
        <v>45539</v>
      </c>
      <c r="C5922" s="1" t="n">
        <v>45846</v>
      </c>
      <c r="D5922" t="inlineStr">
        <is>
          <t>UPPSALA LÄN</t>
        </is>
      </c>
      <c r="E5922" t="inlineStr">
        <is>
          <t>UPPSALA</t>
        </is>
      </c>
      <c r="G5922" t="n">
        <v>7.2</v>
      </c>
      <c r="H5922" t="n">
        <v>0</v>
      </c>
      <c r="I5922" t="n">
        <v>0</v>
      </c>
      <c r="J5922" t="n">
        <v>0</v>
      </c>
      <c r="K5922" t="n">
        <v>0</v>
      </c>
      <c r="L5922" t="n">
        <v>0</v>
      </c>
      <c r="M5922" t="n">
        <v>0</v>
      </c>
      <c r="N5922" t="n">
        <v>0</v>
      </c>
      <c r="O5922" t="n">
        <v>0</v>
      </c>
      <c r="P5922" t="n">
        <v>0</v>
      </c>
      <c r="Q5922" t="n">
        <v>0</v>
      </c>
      <c r="R5922" s="2" t="inlineStr"/>
    </row>
    <row r="5923" ht="15" customHeight="1">
      <c r="A5923" t="inlineStr">
        <is>
          <t>A 37053-2024</t>
        </is>
      </c>
      <c r="B5923" s="1" t="n">
        <v>45539</v>
      </c>
      <c r="C5923" s="1" t="n">
        <v>45846</v>
      </c>
      <c r="D5923" t="inlineStr">
        <is>
          <t>UPPSALA LÄN</t>
        </is>
      </c>
      <c r="E5923" t="inlineStr">
        <is>
          <t>TIERP</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37073-2024</t>
        </is>
      </c>
      <c r="B5924" s="1" t="n">
        <v>45539</v>
      </c>
      <c r="C5924" s="1" t="n">
        <v>45846</v>
      </c>
      <c r="D5924" t="inlineStr">
        <is>
          <t>UPPSALA LÄN</t>
        </is>
      </c>
      <c r="E5924" t="inlineStr">
        <is>
          <t>HEBY</t>
        </is>
      </c>
      <c r="G5924" t="n">
        <v>5.3</v>
      </c>
      <c r="H5924" t="n">
        <v>0</v>
      </c>
      <c r="I5924" t="n">
        <v>0</v>
      </c>
      <c r="J5924" t="n">
        <v>0</v>
      </c>
      <c r="K5924" t="n">
        <v>0</v>
      </c>
      <c r="L5924" t="n">
        <v>0</v>
      </c>
      <c r="M5924" t="n">
        <v>0</v>
      </c>
      <c r="N5924" t="n">
        <v>0</v>
      </c>
      <c r="O5924" t="n">
        <v>0</v>
      </c>
      <c r="P5924" t="n">
        <v>0</v>
      </c>
      <c r="Q5924" t="n">
        <v>0</v>
      </c>
      <c r="R5924" s="2" t="inlineStr"/>
    </row>
    <row r="5925" ht="15" customHeight="1">
      <c r="A5925" t="inlineStr">
        <is>
          <t>A 37033-2024</t>
        </is>
      </c>
      <c r="B5925" s="1" t="n">
        <v>45539</v>
      </c>
      <c r="C5925" s="1" t="n">
        <v>45846</v>
      </c>
      <c r="D5925" t="inlineStr">
        <is>
          <t>UPPSALA LÄN</t>
        </is>
      </c>
      <c r="E5925" t="inlineStr">
        <is>
          <t>UPPSALA</t>
        </is>
      </c>
      <c r="G5925" t="n">
        <v>10.2</v>
      </c>
      <c r="H5925" t="n">
        <v>0</v>
      </c>
      <c r="I5925" t="n">
        <v>0</v>
      </c>
      <c r="J5925" t="n">
        <v>0</v>
      </c>
      <c r="K5925" t="n">
        <v>0</v>
      </c>
      <c r="L5925" t="n">
        <v>0</v>
      </c>
      <c r="M5925" t="n">
        <v>0</v>
      </c>
      <c r="N5925" t="n">
        <v>0</v>
      </c>
      <c r="O5925" t="n">
        <v>0</v>
      </c>
      <c r="P5925" t="n">
        <v>0</v>
      </c>
      <c r="Q5925" t="n">
        <v>0</v>
      </c>
      <c r="R5925" s="2" t="inlineStr"/>
    </row>
    <row r="5926" ht="15" customHeight="1">
      <c r="A5926" t="inlineStr">
        <is>
          <t>A 37103-2024</t>
        </is>
      </c>
      <c r="B5926" s="1" t="n">
        <v>45539</v>
      </c>
      <c r="C5926" s="1" t="n">
        <v>45846</v>
      </c>
      <c r="D5926" t="inlineStr">
        <is>
          <t>UPPSALA LÄN</t>
        </is>
      </c>
      <c r="E5926" t="inlineStr">
        <is>
          <t>HEBY</t>
        </is>
      </c>
      <c r="G5926" t="n">
        <v>4.4</v>
      </c>
      <c r="H5926" t="n">
        <v>0</v>
      </c>
      <c r="I5926" t="n">
        <v>0</v>
      </c>
      <c r="J5926" t="n">
        <v>0</v>
      </c>
      <c r="K5926" t="n">
        <v>0</v>
      </c>
      <c r="L5926" t="n">
        <v>0</v>
      </c>
      <c r="M5926" t="n">
        <v>0</v>
      </c>
      <c r="N5926" t="n">
        <v>0</v>
      </c>
      <c r="O5926" t="n">
        <v>0</v>
      </c>
      <c r="P5926" t="n">
        <v>0</v>
      </c>
      <c r="Q5926" t="n">
        <v>0</v>
      </c>
      <c r="R5926" s="2" t="inlineStr"/>
    </row>
    <row r="5927" ht="15" customHeight="1">
      <c r="A5927" t="inlineStr">
        <is>
          <t>A 37295-2024</t>
        </is>
      </c>
      <c r="B5927" s="1" t="n">
        <v>45540</v>
      </c>
      <c r="C5927" s="1" t="n">
        <v>45846</v>
      </c>
      <c r="D5927" t="inlineStr">
        <is>
          <t>UPPSALA LÄN</t>
        </is>
      </c>
      <c r="E5927" t="inlineStr">
        <is>
          <t>TIERP</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37307-2024</t>
        </is>
      </c>
      <c r="B5928" s="1" t="n">
        <v>45540</v>
      </c>
      <c r="C5928" s="1" t="n">
        <v>45846</v>
      </c>
      <c r="D5928" t="inlineStr">
        <is>
          <t>UPPSALA LÄN</t>
        </is>
      </c>
      <c r="E5928" t="inlineStr">
        <is>
          <t>UPPSALA</t>
        </is>
      </c>
      <c r="G5928" t="n">
        <v>6.4</v>
      </c>
      <c r="H5928" t="n">
        <v>0</v>
      </c>
      <c r="I5928" t="n">
        <v>0</v>
      </c>
      <c r="J5928" t="n">
        <v>0</v>
      </c>
      <c r="K5928" t="n">
        <v>0</v>
      </c>
      <c r="L5928" t="n">
        <v>0</v>
      </c>
      <c r="M5928" t="n">
        <v>0</v>
      </c>
      <c r="N5928" t="n">
        <v>0</v>
      </c>
      <c r="O5928" t="n">
        <v>0</v>
      </c>
      <c r="P5928" t="n">
        <v>0</v>
      </c>
      <c r="Q5928" t="n">
        <v>0</v>
      </c>
      <c r="R5928" s="2" t="inlineStr"/>
    </row>
    <row r="5929" ht="15" customHeight="1">
      <c r="A5929" t="inlineStr">
        <is>
          <t>A 37457-2024</t>
        </is>
      </c>
      <c r="B5929" s="1" t="n">
        <v>45540</v>
      </c>
      <c r="C5929" s="1" t="n">
        <v>45846</v>
      </c>
      <c r="D5929" t="inlineStr">
        <is>
          <t>UPPSALA LÄN</t>
        </is>
      </c>
      <c r="E5929" t="inlineStr">
        <is>
          <t>TIERP</t>
        </is>
      </c>
      <c r="F5929" t="inlineStr">
        <is>
          <t>Bergvik skog väst AB</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37465-2024</t>
        </is>
      </c>
      <c r="B5930" s="1" t="n">
        <v>45540</v>
      </c>
      <c r="C5930" s="1" t="n">
        <v>45846</v>
      </c>
      <c r="D5930" t="inlineStr">
        <is>
          <t>UPPSALA LÄN</t>
        </is>
      </c>
      <c r="E5930" t="inlineStr">
        <is>
          <t>ENKÖPING</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37466-2024</t>
        </is>
      </c>
      <c r="B5931" s="1" t="n">
        <v>45540</v>
      </c>
      <c r="C5931" s="1" t="n">
        <v>45846</v>
      </c>
      <c r="D5931" t="inlineStr">
        <is>
          <t>UPPSALA LÄN</t>
        </is>
      </c>
      <c r="E5931" t="inlineStr">
        <is>
          <t>ENKÖPING</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37475-2024</t>
        </is>
      </c>
      <c r="B5932" s="1" t="n">
        <v>45541</v>
      </c>
      <c r="C5932" s="1" t="n">
        <v>45846</v>
      </c>
      <c r="D5932" t="inlineStr">
        <is>
          <t>UPPSALA LÄN</t>
        </is>
      </c>
      <c r="E5932" t="inlineStr">
        <is>
          <t>TIERP</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37476-2024</t>
        </is>
      </c>
      <c r="B5933" s="1" t="n">
        <v>45541</v>
      </c>
      <c r="C5933" s="1" t="n">
        <v>45846</v>
      </c>
      <c r="D5933" t="inlineStr">
        <is>
          <t>UPPSALA LÄN</t>
        </is>
      </c>
      <c r="E5933" t="inlineStr">
        <is>
          <t>TIERP</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37568-2024</t>
        </is>
      </c>
      <c r="B5934" s="1" t="n">
        <v>45541</v>
      </c>
      <c r="C5934" s="1" t="n">
        <v>45846</v>
      </c>
      <c r="D5934" t="inlineStr">
        <is>
          <t>UPPSALA LÄN</t>
        </is>
      </c>
      <c r="E5934" t="inlineStr">
        <is>
          <t>UPPSALA</t>
        </is>
      </c>
      <c r="G5934" t="n">
        <v>5.9</v>
      </c>
      <c r="H5934" t="n">
        <v>0</v>
      </c>
      <c r="I5934" t="n">
        <v>0</v>
      </c>
      <c r="J5934" t="n">
        <v>0</v>
      </c>
      <c r="K5934" t="n">
        <v>0</v>
      </c>
      <c r="L5934" t="n">
        <v>0</v>
      </c>
      <c r="M5934" t="n">
        <v>0</v>
      </c>
      <c r="N5934" t="n">
        <v>0</v>
      </c>
      <c r="O5934" t="n">
        <v>0</v>
      </c>
      <c r="P5934" t="n">
        <v>0</v>
      </c>
      <c r="Q5934" t="n">
        <v>0</v>
      </c>
      <c r="R5934" s="2" t="inlineStr"/>
    </row>
    <row r="5935" ht="15" customHeight="1">
      <c r="A5935" t="inlineStr">
        <is>
          <t>A 37666-2024</t>
        </is>
      </c>
      <c r="B5935" s="1" t="n">
        <v>45541</v>
      </c>
      <c r="C5935" s="1" t="n">
        <v>45846</v>
      </c>
      <c r="D5935" t="inlineStr">
        <is>
          <t>UPPSALA LÄN</t>
        </is>
      </c>
      <c r="E5935" t="inlineStr">
        <is>
          <t>UPPSALA</t>
        </is>
      </c>
      <c r="F5935" t="inlineStr">
        <is>
          <t>Övriga Aktiebolag</t>
        </is>
      </c>
      <c r="G5935" t="n">
        <v>6.4</v>
      </c>
      <c r="H5935" t="n">
        <v>0</v>
      </c>
      <c r="I5935" t="n">
        <v>0</v>
      </c>
      <c r="J5935" t="n">
        <v>0</v>
      </c>
      <c r="K5935" t="n">
        <v>0</v>
      </c>
      <c r="L5935" t="n">
        <v>0</v>
      </c>
      <c r="M5935" t="n">
        <v>0</v>
      </c>
      <c r="N5935" t="n">
        <v>0</v>
      </c>
      <c r="O5935" t="n">
        <v>0</v>
      </c>
      <c r="P5935" t="n">
        <v>0</v>
      </c>
      <c r="Q5935" t="n">
        <v>0</v>
      </c>
      <c r="R5935" s="2" t="inlineStr"/>
    </row>
    <row r="5936" ht="15" customHeight="1">
      <c r="A5936" t="inlineStr">
        <is>
          <t>A 37704-2024</t>
        </is>
      </c>
      <c r="B5936" s="1" t="n">
        <v>45541</v>
      </c>
      <c r="C5936" s="1" t="n">
        <v>45846</v>
      </c>
      <c r="D5936" t="inlineStr">
        <is>
          <t>UPPSALA LÄN</t>
        </is>
      </c>
      <c r="E5936" t="inlineStr">
        <is>
          <t>ENKÖPING</t>
        </is>
      </c>
      <c r="G5936" t="n">
        <v>4.7</v>
      </c>
      <c r="H5936" t="n">
        <v>0</v>
      </c>
      <c r="I5936" t="n">
        <v>0</v>
      </c>
      <c r="J5936" t="n">
        <v>0</v>
      </c>
      <c r="K5936" t="n">
        <v>0</v>
      </c>
      <c r="L5936" t="n">
        <v>0</v>
      </c>
      <c r="M5936" t="n">
        <v>0</v>
      </c>
      <c r="N5936" t="n">
        <v>0</v>
      </c>
      <c r="O5936" t="n">
        <v>0</v>
      </c>
      <c r="P5936" t="n">
        <v>0</v>
      </c>
      <c r="Q5936" t="n">
        <v>0</v>
      </c>
      <c r="R5936" s="2" t="inlineStr"/>
    </row>
    <row r="5937" ht="15" customHeight="1">
      <c r="A5937" t="inlineStr">
        <is>
          <t>A 37579-2024</t>
        </is>
      </c>
      <c r="B5937" s="1" t="n">
        <v>45541</v>
      </c>
      <c r="C5937" s="1" t="n">
        <v>45846</v>
      </c>
      <c r="D5937" t="inlineStr">
        <is>
          <t>UPPSALA LÄN</t>
        </is>
      </c>
      <c r="E5937" t="inlineStr">
        <is>
          <t>UPPSALA</t>
        </is>
      </c>
      <c r="G5937" t="n">
        <v>22.8</v>
      </c>
      <c r="H5937" t="n">
        <v>0</v>
      </c>
      <c r="I5937" t="n">
        <v>0</v>
      </c>
      <c r="J5937" t="n">
        <v>0</v>
      </c>
      <c r="K5937" t="n">
        <v>0</v>
      </c>
      <c r="L5937" t="n">
        <v>0</v>
      </c>
      <c r="M5937" t="n">
        <v>0</v>
      </c>
      <c r="N5937" t="n">
        <v>0</v>
      </c>
      <c r="O5937" t="n">
        <v>0</v>
      </c>
      <c r="P5937" t="n">
        <v>0</v>
      </c>
      <c r="Q5937" t="n">
        <v>0</v>
      </c>
      <c r="R5937" s="2" t="inlineStr"/>
    </row>
    <row r="5938" ht="15" customHeight="1">
      <c r="A5938" t="inlineStr">
        <is>
          <t>A 37596-2024</t>
        </is>
      </c>
      <c r="B5938" s="1" t="n">
        <v>45541</v>
      </c>
      <c r="C5938" s="1" t="n">
        <v>45846</v>
      </c>
      <c r="D5938" t="inlineStr">
        <is>
          <t>UPPSALA LÄN</t>
        </is>
      </c>
      <c r="E5938" t="inlineStr">
        <is>
          <t>HEBY</t>
        </is>
      </c>
      <c r="G5938" t="n">
        <v>6</v>
      </c>
      <c r="H5938" t="n">
        <v>0</v>
      </c>
      <c r="I5938" t="n">
        <v>0</v>
      </c>
      <c r="J5938" t="n">
        <v>0</v>
      </c>
      <c r="K5938" t="n">
        <v>0</v>
      </c>
      <c r="L5938" t="n">
        <v>0</v>
      </c>
      <c r="M5938" t="n">
        <v>0</v>
      </c>
      <c r="N5938" t="n">
        <v>0</v>
      </c>
      <c r="O5938" t="n">
        <v>0</v>
      </c>
      <c r="P5938" t="n">
        <v>0</v>
      </c>
      <c r="Q5938" t="n">
        <v>0</v>
      </c>
      <c r="R5938" s="2" t="inlineStr"/>
    </row>
    <row r="5939" ht="15" customHeight="1">
      <c r="A5939" t="inlineStr">
        <is>
          <t>A 37671-2024</t>
        </is>
      </c>
      <c r="B5939" s="1" t="n">
        <v>45541</v>
      </c>
      <c r="C5939" s="1" t="n">
        <v>45846</v>
      </c>
      <c r="D5939" t="inlineStr">
        <is>
          <t>UPPSALA LÄN</t>
        </is>
      </c>
      <c r="E5939" t="inlineStr">
        <is>
          <t>UPPSALA</t>
        </is>
      </c>
      <c r="F5939" t="inlineStr">
        <is>
          <t>Övriga Aktiebolag</t>
        </is>
      </c>
      <c r="G5939" t="n">
        <v>10.7</v>
      </c>
      <c r="H5939" t="n">
        <v>0</v>
      </c>
      <c r="I5939" t="n">
        <v>0</v>
      </c>
      <c r="J5939" t="n">
        <v>0</v>
      </c>
      <c r="K5939" t="n">
        <v>0</v>
      </c>
      <c r="L5939" t="n">
        <v>0</v>
      </c>
      <c r="M5939" t="n">
        <v>0</v>
      </c>
      <c r="N5939" t="n">
        <v>0</v>
      </c>
      <c r="O5939" t="n">
        <v>0</v>
      </c>
      <c r="P5939" t="n">
        <v>0</v>
      </c>
      <c r="Q5939" t="n">
        <v>0</v>
      </c>
      <c r="R5939" s="2" t="inlineStr"/>
    </row>
    <row r="5940" ht="15" customHeight="1">
      <c r="A5940" t="inlineStr">
        <is>
          <t>A 37833-2024</t>
        </is>
      </c>
      <c r="B5940" s="1" t="n">
        <v>45544</v>
      </c>
      <c r="C5940" s="1" t="n">
        <v>45846</v>
      </c>
      <c r="D5940" t="inlineStr">
        <is>
          <t>UPPSALA LÄN</t>
        </is>
      </c>
      <c r="E5940" t="inlineStr">
        <is>
          <t>HEBY</t>
        </is>
      </c>
      <c r="F5940" t="inlineStr">
        <is>
          <t>Bergvik skog öst AB</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37834-2024</t>
        </is>
      </c>
      <c r="B5941" s="1" t="n">
        <v>45544</v>
      </c>
      <c r="C5941" s="1" t="n">
        <v>45846</v>
      </c>
      <c r="D5941" t="inlineStr">
        <is>
          <t>UPPSALA LÄN</t>
        </is>
      </c>
      <c r="E5941" t="inlineStr">
        <is>
          <t>HEBY</t>
        </is>
      </c>
      <c r="F5941" t="inlineStr">
        <is>
          <t>Bergvik skog öst AB</t>
        </is>
      </c>
      <c r="G5941" t="n">
        <v>3.9</v>
      </c>
      <c r="H5941" t="n">
        <v>0</v>
      </c>
      <c r="I5941" t="n">
        <v>0</v>
      </c>
      <c r="J5941" t="n">
        <v>0</v>
      </c>
      <c r="K5941" t="n">
        <v>0</v>
      </c>
      <c r="L5941" t="n">
        <v>0</v>
      </c>
      <c r="M5941" t="n">
        <v>0</v>
      </c>
      <c r="N5941" t="n">
        <v>0</v>
      </c>
      <c r="O5941" t="n">
        <v>0</v>
      </c>
      <c r="P5941" t="n">
        <v>0</v>
      </c>
      <c r="Q5941" t="n">
        <v>0</v>
      </c>
      <c r="R5941" s="2" t="inlineStr"/>
    </row>
    <row r="5942" ht="15" customHeight="1">
      <c r="A5942" t="inlineStr">
        <is>
          <t>A 37995-2024</t>
        </is>
      </c>
      <c r="B5942" s="1" t="n">
        <v>45544</v>
      </c>
      <c r="C5942" s="1" t="n">
        <v>45846</v>
      </c>
      <c r="D5942" t="inlineStr">
        <is>
          <t>UPPSALA LÄN</t>
        </is>
      </c>
      <c r="E5942" t="inlineStr">
        <is>
          <t>ÖSTHAMMAR</t>
        </is>
      </c>
      <c r="F5942" t="inlineStr">
        <is>
          <t>Naturvårdsverket</t>
        </is>
      </c>
      <c r="G5942" t="n">
        <v>9.699999999999999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38003-2024</t>
        </is>
      </c>
      <c r="B5943" s="1" t="n">
        <v>45544</v>
      </c>
      <c r="C5943" s="1" t="n">
        <v>45846</v>
      </c>
      <c r="D5943" t="inlineStr">
        <is>
          <t>UPPSALA LÄN</t>
        </is>
      </c>
      <c r="E5943" t="inlineStr">
        <is>
          <t>ÖSTHAMMAR</t>
        </is>
      </c>
      <c r="F5943" t="inlineStr">
        <is>
          <t>Naturvårdsverket</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38195-2024</t>
        </is>
      </c>
      <c r="B5944" s="1" t="n">
        <v>45545</v>
      </c>
      <c r="C5944" s="1" t="n">
        <v>45846</v>
      </c>
      <c r="D5944" t="inlineStr">
        <is>
          <t>UPPSALA LÄN</t>
        </is>
      </c>
      <c r="E5944" t="inlineStr">
        <is>
          <t>ÄLVKARLEBY</t>
        </is>
      </c>
      <c r="F5944" t="inlineStr">
        <is>
          <t>Bergvik skog väst AB</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38199-2024</t>
        </is>
      </c>
      <c r="B5945" s="1" t="n">
        <v>45545</v>
      </c>
      <c r="C5945" s="1" t="n">
        <v>45846</v>
      </c>
      <c r="D5945" t="inlineStr">
        <is>
          <t>UPPSALA LÄN</t>
        </is>
      </c>
      <c r="E5945" t="inlineStr">
        <is>
          <t>ÄLVKARLEBY</t>
        </is>
      </c>
      <c r="F5945" t="inlineStr">
        <is>
          <t>Bergvik skog väst AB</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38119-2024</t>
        </is>
      </c>
      <c r="B5946" s="1" t="n">
        <v>45545</v>
      </c>
      <c r="C5946" s="1" t="n">
        <v>45846</v>
      </c>
      <c r="D5946" t="inlineStr">
        <is>
          <t>UPPSALA LÄN</t>
        </is>
      </c>
      <c r="E5946" t="inlineStr">
        <is>
          <t>UPPSALA</t>
        </is>
      </c>
      <c r="F5946" t="inlineStr">
        <is>
          <t>Övriga Aktiebolag</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38217-2024</t>
        </is>
      </c>
      <c r="B5947" s="1" t="n">
        <v>45545</v>
      </c>
      <c r="C5947" s="1" t="n">
        <v>45846</v>
      </c>
      <c r="D5947" t="inlineStr">
        <is>
          <t>UPPSALA LÄN</t>
        </is>
      </c>
      <c r="E5947" t="inlineStr">
        <is>
          <t>ÄLVKARLEBY</t>
        </is>
      </c>
      <c r="F5947" t="inlineStr">
        <is>
          <t>Bergvik skog väst AB</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38233-2024</t>
        </is>
      </c>
      <c r="B5948" s="1" t="n">
        <v>45545</v>
      </c>
      <c r="C5948" s="1" t="n">
        <v>45846</v>
      </c>
      <c r="D5948" t="inlineStr">
        <is>
          <t>UPPSALA LÄN</t>
        </is>
      </c>
      <c r="E5948" t="inlineStr">
        <is>
          <t>ÖSTHAMMAR</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38325-2024</t>
        </is>
      </c>
      <c r="B5949" s="1" t="n">
        <v>45545</v>
      </c>
      <c r="C5949" s="1" t="n">
        <v>45846</v>
      </c>
      <c r="D5949" t="inlineStr">
        <is>
          <t>UPPSALA LÄN</t>
        </is>
      </c>
      <c r="E5949" t="inlineStr">
        <is>
          <t>TIERP</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38572-2024</t>
        </is>
      </c>
      <c r="B5950" s="1" t="n">
        <v>45546</v>
      </c>
      <c r="C5950" s="1" t="n">
        <v>45846</v>
      </c>
      <c r="D5950" t="inlineStr">
        <is>
          <t>UPPSALA LÄN</t>
        </is>
      </c>
      <c r="E5950" t="inlineStr">
        <is>
          <t>ÖSTHAMMAR</t>
        </is>
      </c>
      <c r="F5950" t="inlineStr">
        <is>
          <t>Bergvik skog öst AB</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38575-2024</t>
        </is>
      </c>
      <c r="B5951" s="1" t="n">
        <v>45546</v>
      </c>
      <c r="C5951" s="1" t="n">
        <v>45846</v>
      </c>
      <c r="D5951" t="inlineStr">
        <is>
          <t>UPPSALA LÄN</t>
        </is>
      </c>
      <c r="E5951" t="inlineStr">
        <is>
          <t>ÖSTHAMMAR</t>
        </is>
      </c>
      <c r="F5951" t="inlineStr">
        <is>
          <t>Bergvik skog öst AB</t>
        </is>
      </c>
      <c r="G5951" t="n">
        <v>5.1</v>
      </c>
      <c r="H5951" t="n">
        <v>0</v>
      </c>
      <c r="I5951" t="n">
        <v>0</v>
      </c>
      <c r="J5951" t="n">
        <v>0</v>
      </c>
      <c r="K5951" t="n">
        <v>0</v>
      </c>
      <c r="L5951" t="n">
        <v>0</v>
      </c>
      <c r="M5951" t="n">
        <v>0</v>
      </c>
      <c r="N5951" t="n">
        <v>0</v>
      </c>
      <c r="O5951" t="n">
        <v>0</v>
      </c>
      <c r="P5951" t="n">
        <v>0</v>
      </c>
      <c r="Q5951" t="n">
        <v>0</v>
      </c>
      <c r="R5951" s="2" t="inlineStr"/>
    </row>
    <row r="5952" ht="15" customHeight="1">
      <c r="A5952" t="inlineStr">
        <is>
          <t>A 38670-2024</t>
        </is>
      </c>
      <c r="B5952" s="1" t="n">
        <v>45547</v>
      </c>
      <c r="C5952" s="1" t="n">
        <v>45846</v>
      </c>
      <c r="D5952" t="inlineStr">
        <is>
          <t>UPPSALA LÄN</t>
        </is>
      </c>
      <c r="E5952" t="inlineStr">
        <is>
          <t>HEBY</t>
        </is>
      </c>
      <c r="G5952" t="n">
        <v>5.7</v>
      </c>
      <c r="H5952" t="n">
        <v>0</v>
      </c>
      <c r="I5952" t="n">
        <v>0</v>
      </c>
      <c r="J5952" t="n">
        <v>0</v>
      </c>
      <c r="K5952" t="n">
        <v>0</v>
      </c>
      <c r="L5952" t="n">
        <v>0</v>
      </c>
      <c r="M5952" t="n">
        <v>0</v>
      </c>
      <c r="N5952" t="n">
        <v>0</v>
      </c>
      <c r="O5952" t="n">
        <v>0</v>
      </c>
      <c r="P5952" t="n">
        <v>0</v>
      </c>
      <c r="Q5952" t="n">
        <v>0</v>
      </c>
      <c r="R5952" s="2" t="inlineStr"/>
    </row>
    <row r="5953" ht="15" customHeight="1">
      <c r="A5953" t="inlineStr">
        <is>
          <t>A 38740-2024</t>
        </is>
      </c>
      <c r="B5953" s="1" t="n">
        <v>45547</v>
      </c>
      <c r="C5953" s="1" t="n">
        <v>45846</v>
      </c>
      <c r="D5953" t="inlineStr">
        <is>
          <t>UPPSALA LÄN</t>
        </is>
      </c>
      <c r="E5953" t="inlineStr">
        <is>
          <t>HEBY</t>
        </is>
      </c>
      <c r="G5953" t="n">
        <v>5.7</v>
      </c>
      <c r="H5953" t="n">
        <v>0</v>
      </c>
      <c r="I5953" t="n">
        <v>0</v>
      </c>
      <c r="J5953" t="n">
        <v>0</v>
      </c>
      <c r="K5953" t="n">
        <v>0</v>
      </c>
      <c r="L5953" t="n">
        <v>0</v>
      </c>
      <c r="M5953" t="n">
        <v>0</v>
      </c>
      <c r="N5953" t="n">
        <v>0</v>
      </c>
      <c r="O5953" t="n">
        <v>0</v>
      </c>
      <c r="P5953" t="n">
        <v>0</v>
      </c>
      <c r="Q5953" t="n">
        <v>0</v>
      </c>
      <c r="R5953" s="2" t="inlineStr"/>
    </row>
    <row r="5954" ht="15" customHeight="1">
      <c r="A5954" t="inlineStr">
        <is>
          <t>A 38831-2024</t>
        </is>
      </c>
      <c r="B5954" s="1" t="n">
        <v>45547</v>
      </c>
      <c r="C5954" s="1" t="n">
        <v>45846</v>
      </c>
      <c r="D5954" t="inlineStr">
        <is>
          <t>UPPSALA LÄN</t>
        </is>
      </c>
      <c r="E5954" t="inlineStr">
        <is>
          <t>HEBY</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38897-2024</t>
        </is>
      </c>
      <c r="B5955" s="1" t="n">
        <v>45547</v>
      </c>
      <c r="C5955" s="1" t="n">
        <v>45846</v>
      </c>
      <c r="D5955" t="inlineStr">
        <is>
          <t>UPPSALA LÄN</t>
        </is>
      </c>
      <c r="E5955" t="inlineStr">
        <is>
          <t>TIERP</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39007-2024</t>
        </is>
      </c>
      <c r="B5956" s="1" t="n">
        <v>45548</v>
      </c>
      <c r="C5956" s="1" t="n">
        <v>45846</v>
      </c>
      <c r="D5956" t="inlineStr">
        <is>
          <t>UPPSALA LÄN</t>
        </is>
      </c>
      <c r="E5956" t="inlineStr">
        <is>
          <t>UPPSALA</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39117-2024</t>
        </is>
      </c>
      <c r="B5957" s="1" t="n">
        <v>45548</v>
      </c>
      <c r="C5957" s="1" t="n">
        <v>45846</v>
      </c>
      <c r="D5957" t="inlineStr">
        <is>
          <t>UPPSALA LÄN</t>
        </is>
      </c>
      <c r="E5957" t="inlineStr">
        <is>
          <t>TIERP</t>
        </is>
      </c>
      <c r="F5957" t="inlineStr">
        <is>
          <t>Bergvik skog öst AB</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39009-2024</t>
        </is>
      </c>
      <c r="B5958" s="1" t="n">
        <v>45548</v>
      </c>
      <c r="C5958" s="1" t="n">
        <v>45846</v>
      </c>
      <c r="D5958" t="inlineStr">
        <is>
          <t>UPPSALA LÄN</t>
        </is>
      </c>
      <c r="E5958" t="inlineStr">
        <is>
          <t>ENKÖPING</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39115-2024</t>
        </is>
      </c>
      <c r="B5959" s="1" t="n">
        <v>45548</v>
      </c>
      <c r="C5959" s="1" t="n">
        <v>45846</v>
      </c>
      <c r="D5959" t="inlineStr">
        <is>
          <t>UPPSALA LÄN</t>
        </is>
      </c>
      <c r="E5959" t="inlineStr">
        <is>
          <t>ENKÖPING</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39359-2024</t>
        </is>
      </c>
      <c r="B5960" s="1" t="n">
        <v>45551</v>
      </c>
      <c r="C5960" s="1" t="n">
        <v>45846</v>
      </c>
      <c r="D5960" t="inlineStr">
        <is>
          <t>UPPSALA LÄN</t>
        </is>
      </c>
      <c r="E5960" t="inlineStr">
        <is>
          <t>UPPSALA</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39333-2024</t>
        </is>
      </c>
      <c r="B5961" s="1" t="n">
        <v>45551</v>
      </c>
      <c r="C5961" s="1" t="n">
        <v>45846</v>
      </c>
      <c r="D5961" t="inlineStr">
        <is>
          <t>UPPSALA LÄN</t>
        </is>
      </c>
      <c r="E5961" t="inlineStr">
        <is>
          <t>TIERP</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39341-2024</t>
        </is>
      </c>
      <c r="B5962" s="1" t="n">
        <v>45551</v>
      </c>
      <c r="C5962" s="1" t="n">
        <v>45846</v>
      </c>
      <c r="D5962" t="inlineStr">
        <is>
          <t>UPPSALA LÄN</t>
        </is>
      </c>
      <c r="E5962" t="inlineStr">
        <is>
          <t>ÖSTHAMMAR</t>
        </is>
      </c>
      <c r="F5962" t="inlineStr">
        <is>
          <t>Bergvik skog öst AB</t>
        </is>
      </c>
      <c r="G5962" t="n">
        <v>23.2</v>
      </c>
      <c r="H5962" t="n">
        <v>0</v>
      </c>
      <c r="I5962" t="n">
        <v>0</v>
      </c>
      <c r="J5962" t="n">
        <v>0</v>
      </c>
      <c r="K5962" t="n">
        <v>0</v>
      </c>
      <c r="L5962" t="n">
        <v>0</v>
      </c>
      <c r="M5962" t="n">
        <v>0</v>
      </c>
      <c r="N5962" t="n">
        <v>0</v>
      </c>
      <c r="O5962" t="n">
        <v>0</v>
      </c>
      <c r="P5962" t="n">
        <v>0</v>
      </c>
      <c r="Q5962" t="n">
        <v>0</v>
      </c>
      <c r="R5962" s="2" t="inlineStr"/>
    </row>
    <row r="5963" ht="15" customHeight="1">
      <c r="A5963" t="inlineStr">
        <is>
          <t>A 39357-2024</t>
        </is>
      </c>
      <c r="B5963" s="1" t="n">
        <v>45551</v>
      </c>
      <c r="C5963" s="1" t="n">
        <v>45846</v>
      </c>
      <c r="D5963" t="inlineStr">
        <is>
          <t>UPPSALA LÄN</t>
        </is>
      </c>
      <c r="E5963" t="inlineStr">
        <is>
          <t>ÖSTHAMMAR</t>
        </is>
      </c>
      <c r="F5963" t="inlineStr">
        <is>
          <t>Bergvik skog öst AB</t>
        </is>
      </c>
      <c r="G5963" t="n">
        <v>23.2</v>
      </c>
      <c r="H5963" t="n">
        <v>0</v>
      </c>
      <c r="I5963" t="n">
        <v>0</v>
      </c>
      <c r="J5963" t="n">
        <v>0</v>
      </c>
      <c r="K5963" t="n">
        <v>0</v>
      </c>
      <c r="L5963" t="n">
        <v>0</v>
      </c>
      <c r="M5963" t="n">
        <v>0</v>
      </c>
      <c r="N5963" t="n">
        <v>0</v>
      </c>
      <c r="O5963" t="n">
        <v>0</v>
      </c>
      <c r="P5963" t="n">
        <v>0</v>
      </c>
      <c r="Q5963" t="n">
        <v>0</v>
      </c>
      <c r="R5963" s="2" t="inlineStr"/>
    </row>
    <row r="5964" ht="15" customHeight="1">
      <c r="A5964" t="inlineStr">
        <is>
          <t>A 39477-2024</t>
        </is>
      </c>
      <c r="B5964" s="1" t="n">
        <v>45551</v>
      </c>
      <c r="C5964" s="1" t="n">
        <v>45846</v>
      </c>
      <c r="D5964" t="inlineStr">
        <is>
          <t>UPPSALA LÄN</t>
        </is>
      </c>
      <c r="E5964" t="inlineStr">
        <is>
          <t>TIERP</t>
        </is>
      </c>
      <c r="F5964" t="inlineStr">
        <is>
          <t>Bergvik skog öst AB</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39426-2024</t>
        </is>
      </c>
      <c r="B5965" s="1" t="n">
        <v>45551</v>
      </c>
      <c r="C5965" s="1" t="n">
        <v>45846</v>
      </c>
      <c r="D5965" t="inlineStr">
        <is>
          <t>UPPSALA LÄN</t>
        </is>
      </c>
      <c r="E5965" t="inlineStr">
        <is>
          <t>HEBY</t>
        </is>
      </c>
      <c r="G5965" t="n">
        <v>13.5</v>
      </c>
      <c r="H5965" t="n">
        <v>0</v>
      </c>
      <c r="I5965" t="n">
        <v>0</v>
      </c>
      <c r="J5965" t="n">
        <v>0</v>
      </c>
      <c r="K5965" t="n">
        <v>0</v>
      </c>
      <c r="L5965" t="n">
        <v>0</v>
      </c>
      <c r="M5965" t="n">
        <v>0</v>
      </c>
      <c r="N5965" t="n">
        <v>0</v>
      </c>
      <c r="O5965" t="n">
        <v>0</v>
      </c>
      <c r="P5965" t="n">
        <v>0</v>
      </c>
      <c r="Q5965" t="n">
        <v>0</v>
      </c>
      <c r="R5965" s="2" t="inlineStr"/>
    </row>
    <row r="5966" ht="15" customHeight="1">
      <c r="A5966" t="inlineStr">
        <is>
          <t>A 39481-2024</t>
        </is>
      </c>
      <c r="B5966" s="1" t="n">
        <v>45551</v>
      </c>
      <c r="C5966" s="1" t="n">
        <v>45846</v>
      </c>
      <c r="D5966" t="inlineStr">
        <is>
          <t>UPPSALA LÄN</t>
        </is>
      </c>
      <c r="E5966" t="inlineStr">
        <is>
          <t>TIERP</t>
        </is>
      </c>
      <c r="F5966" t="inlineStr">
        <is>
          <t>Bergvik skog öst AB</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39491-2024</t>
        </is>
      </c>
      <c r="B5967" s="1" t="n">
        <v>45551</v>
      </c>
      <c r="C5967" s="1" t="n">
        <v>45846</v>
      </c>
      <c r="D5967" t="inlineStr">
        <is>
          <t>UPPSALA LÄN</t>
        </is>
      </c>
      <c r="E5967" t="inlineStr">
        <is>
          <t>ÖSTHAMMAR</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39490-2024</t>
        </is>
      </c>
      <c r="B5968" s="1" t="n">
        <v>45551</v>
      </c>
      <c r="C5968" s="1" t="n">
        <v>45846</v>
      </c>
      <c r="D5968" t="inlineStr">
        <is>
          <t>UPPSALA LÄN</t>
        </is>
      </c>
      <c r="E5968" t="inlineStr">
        <is>
          <t>ÖSTHAMMAR</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39536-2024</t>
        </is>
      </c>
      <c r="B5969" s="1" t="n">
        <v>45551</v>
      </c>
      <c r="C5969" s="1" t="n">
        <v>45846</v>
      </c>
      <c r="D5969" t="inlineStr">
        <is>
          <t>UPPSALA LÄN</t>
        </is>
      </c>
      <c r="E5969" t="inlineStr">
        <is>
          <t>HEBY</t>
        </is>
      </c>
      <c r="G5969" t="n">
        <v>4.6</v>
      </c>
      <c r="H5969" t="n">
        <v>0</v>
      </c>
      <c r="I5969" t="n">
        <v>0</v>
      </c>
      <c r="J5969" t="n">
        <v>0</v>
      </c>
      <c r="K5969" t="n">
        <v>0</v>
      </c>
      <c r="L5969" t="n">
        <v>0</v>
      </c>
      <c r="M5969" t="n">
        <v>0</v>
      </c>
      <c r="N5969" t="n">
        <v>0</v>
      </c>
      <c r="O5969" t="n">
        <v>0</v>
      </c>
      <c r="P5969" t="n">
        <v>0</v>
      </c>
      <c r="Q5969" t="n">
        <v>0</v>
      </c>
      <c r="R5969" s="2" t="inlineStr"/>
    </row>
    <row r="5970" ht="15" customHeight="1">
      <c r="A5970" t="inlineStr">
        <is>
          <t>A 39484-2024</t>
        </is>
      </c>
      <c r="B5970" s="1" t="n">
        <v>45551</v>
      </c>
      <c r="C5970" s="1" t="n">
        <v>45846</v>
      </c>
      <c r="D5970" t="inlineStr">
        <is>
          <t>UPPSALA LÄN</t>
        </is>
      </c>
      <c r="E5970" t="inlineStr">
        <is>
          <t>TIERP</t>
        </is>
      </c>
      <c r="F5970" t="inlineStr">
        <is>
          <t>Bergvik skog öst AB</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39633-2024</t>
        </is>
      </c>
      <c r="B5971" s="1" t="n">
        <v>45552</v>
      </c>
      <c r="C5971" s="1" t="n">
        <v>45846</v>
      </c>
      <c r="D5971" t="inlineStr">
        <is>
          <t>UPPSALA LÄN</t>
        </is>
      </c>
      <c r="E5971" t="inlineStr">
        <is>
          <t>ÖSTHAMMAR</t>
        </is>
      </c>
      <c r="F5971" t="inlineStr">
        <is>
          <t>Bergvik skog öst AB</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39759-2024</t>
        </is>
      </c>
      <c r="B5972" s="1" t="n">
        <v>45552</v>
      </c>
      <c r="C5972" s="1" t="n">
        <v>45846</v>
      </c>
      <c r="D5972" t="inlineStr">
        <is>
          <t>UPPSALA LÄN</t>
        </is>
      </c>
      <c r="E5972" t="inlineStr">
        <is>
          <t>ÖSTHAMMAR</t>
        </is>
      </c>
      <c r="F5972" t="inlineStr">
        <is>
          <t>Bergvik skog öst AB</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39632-2024</t>
        </is>
      </c>
      <c r="B5973" s="1" t="n">
        <v>45552</v>
      </c>
      <c r="C5973" s="1" t="n">
        <v>45846</v>
      </c>
      <c r="D5973" t="inlineStr">
        <is>
          <t>UPPSALA LÄN</t>
        </is>
      </c>
      <c r="E5973" t="inlineStr">
        <is>
          <t>ÖSTHAMMAR</t>
        </is>
      </c>
      <c r="F5973" t="inlineStr">
        <is>
          <t>Bergvik skog öst AB</t>
        </is>
      </c>
      <c r="G5973" t="n">
        <v>4</v>
      </c>
      <c r="H5973" t="n">
        <v>0</v>
      </c>
      <c r="I5973" t="n">
        <v>0</v>
      </c>
      <c r="J5973" t="n">
        <v>0</v>
      </c>
      <c r="K5973" t="n">
        <v>0</v>
      </c>
      <c r="L5973" t="n">
        <v>0</v>
      </c>
      <c r="M5973" t="n">
        <v>0</v>
      </c>
      <c r="N5973" t="n">
        <v>0</v>
      </c>
      <c r="O5973" t="n">
        <v>0</v>
      </c>
      <c r="P5973" t="n">
        <v>0</v>
      </c>
      <c r="Q5973" t="n">
        <v>0</v>
      </c>
      <c r="R5973" s="2" t="inlineStr"/>
    </row>
    <row r="5974" ht="15" customHeight="1">
      <c r="A5974" t="inlineStr">
        <is>
          <t>A 39758-2024</t>
        </is>
      </c>
      <c r="B5974" s="1" t="n">
        <v>45552</v>
      </c>
      <c r="C5974" s="1" t="n">
        <v>45846</v>
      </c>
      <c r="D5974" t="inlineStr">
        <is>
          <t>UPPSALA LÄN</t>
        </is>
      </c>
      <c r="E5974" t="inlineStr">
        <is>
          <t>ÖSTHAMMAR</t>
        </is>
      </c>
      <c r="F5974" t="inlineStr">
        <is>
          <t>Bergvik skog öst AB</t>
        </is>
      </c>
      <c r="G5974" t="n">
        <v>6.5</v>
      </c>
      <c r="H5974" t="n">
        <v>0</v>
      </c>
      <c r="I5974" t="n">
        <v>0</v>
      </c>
      <c r="J5974" t="n">
        <v>0</v>
      </c>
      <c r="K5974" t="n">
        <v>0</v>
      </c>
      <c r="L5974" t="n">
        <v>0</v>
      </c>
      <c r="M5974" t="n">
        <v>0</v>
      </c>
      <c r="N5974" t="n">
        <v>0</v>
      </c>
      <c r="O5974" t="n">
        <v>0</v>
      </c>
      <c r="P5974" t="n">
        <v>0</v>
      </c>
      <c r="Q5974" t="n">
        <v>0</v>
      </c>
      <c r="R5974" s="2" t="inlineStr"/>
    </row>
    <row r="5975" ht="15" customHeight="1">
      <c r="A5975" t="inlineStr">
        <is>
          <t>A 39818-2024</t>
        </is>
      </c>
      <c r="B5975" s="1" t="n">
        <v>45552</v>
      </c>
      <c r="C5975" s="1" t="n">
        <v>45846</v>
      </c>
      <c r="D5975" t="inlineStr">
        <is>
          <t>UPPSALA LÄN</t>
        </is>
      </c>
      <c r="E5975" t="inlineStr">
        <is>
          <t>UPPSALA</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39812-2024</t>
        </is>
      </c>
      <c r="B5976" s="1" t="n">
        <v>45552</v>
      </c>
      <c r="C5976" s="1" t="n">
        <v>45846</v>
      </c>
      <c r="D5976" t="inlineStr">
        <is>
          <t>UPPSALA LÄN</t>
        </is>
      </c>
      <c r="E5976" t="inlineStr">
        <is>
          <t>UPPSALA</t>
        </is>
      </c>
      <c r="G5976" t="n">
        <v>7.9</v>
      </c>
      <c r="H5976" t="n">
        <v>0</v>
      </c>
      <c r="I5976" t="n">
        <v>0</v>
      </c>
      <c r="J5976" t="n">
        <v>0</v>
      </c>
      <c r="K5976" t="n">
        <v>0</v>
      </c>
      <c r="L5976" t="n">
        <v>0</v>
      </c>
      <c r="M5976" t="n">
        <v>0</v>
      </c>
      <c r="N5976" t="n">
        <v>0</v>
      </c>
      <c r="O5976" t="n">
        <v>0</v>
      </c>
      <c r="P5976" t="n">
        <v>0</v>
      </c>
      <c r="Q5976" t="n">
        <v>0</v>
      </c>
      <c r="R5976" s="2" t="inlineStr"/>
    </row>
    <row r="5977" ht="15" customHeight="1">
      <c r="A5977" t="inlineStr">
        <is>
          <t>A 39858-2024</t>
        </is>
      </c>
      <c r="B5977" s="1" t="n">
        <v>45553</v>
      </c>
      <c r="C5977" s="1" t="n">
        <v>45846</v>
      </c>
      <c r="D5977" t="inlineStr">
        <is>
          <t>UPPSALA LÄN</t>
        </is>
      </c>
      <c r="E5977" t="inlineStr">
        <is>
          <t>ENKÖPING</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39926-2024</t>
        </is>
      </c>
      <c r="B5978" s="1" t="n">
        <v>45553</v>
      </c>
      <c r="C5978" s="1" t="n">
        <v>45846</v>
      </c>
      <c r="D5978" t="inlineStr">
        <is>
          <t>UPPSALA LÄN</t>
        </is>
      </c>
      <c r="E5978" t="inlineStr">
        <is>
          <t>UPPSALA</t>
        </is>
      </c>
      <c r="G5978" t="n">
        <v>5.9</v>
      </c>
      <c r="H5978" t="n">
        <v>0</v>
      </c>
      <c r="I5978" t="n">
        <v>0</v>
      </c>
      <c r="J5978" t="n">
        <v>0</v>
      </c>
      <c r="K5978" t="n">
        <v>0</v>
      </c>
      <c r="L5978" t="n">
        <v>0</v>
      </c>
      <c r="M5978" t="n">
        <v>0</v>
      </c>
      <c r="N5978" t="n">
        <v>0</v>
      </c>
      <c r="O5978" t="n">
        <v>0</v>
      </c>
      <c r="P5978" t="n">
        <v>0</v>
      </c>
      <c r="Q5978" t="n">
        <v>0</v>
      </c>
      <c r="R5978" s="2" t="inlineStr"/>
    </row>
    <row r="5979" ht="15" customHeight="1">
      <c r="A5979" t="inlineStr">
        <is>
          <t>A 40217-2024</t>
        </is>
      </c>
      <c r="B5979" s="1" t="n">
        <v>45554</v>
      </c>
      <c r="C5979" s="1" t="n">
        <v>45846</v>
      </c>
      <c r="D5979" t="inlineStr">
        <is>
          <t>UPPSALA LÄN</t>
        </is>
      </c>
      <c r="E5979" t="inlineStr">
        <is>
          <t>ENKÖPING</t>
        </is>
      </c>
      <c r="G5979" t="n">
        <v>4</v>
      </c>
      <c r="H5979" t="n">
        <v>0</v>
      </c>
      <c r="I5979" t="n">
        <v>0</v>
      </c>
      <c r="J5979" t="n">
        <v>0</v>
      </c>
      <c r="K5979" t="n">
        <v>0</v>
      </c>
      <c r="L5979" t="n">
        <v>0</v>
      </c>
      <c r="M5979" t="n">
        <v>0</v>
      </c>
      <c r="N5979" t="n">
        <v>0</v>
      </c>
      <c r="O5979" t="n">
        <v>0</v>
      </c>
      <c r="P5979" t="n">
        <v>0</v>
      </c>
      <c r="Q5979" t="n">
        <v>0</v>
      </c>
      <c r="R5979" s="2" t="inlineStr"/>
    </row>
    <row r="5980" ht="15" customHeight="1">
      <c r="A5980" t="inlineStr">
        <is>
          <t>A 40223-2024</t>
        </is>
      </c>
      <c r="B5980" s="1" t="n">
        <v>45554</v>
      </c>
      <c r="C5980" s="1" t="n">
        <v>45846</v>
      </c>
      <c r="D5980" t="inlineStr">
        <is>
          <t>UPPSALA LÄN</t>
        </is>
      </c>
      <c r="E5980" t="inlineStr">
        <is>
          <t>ENKÖPING</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40202-2024</t>
        </is>
      </c>
      <c r="B5981" s="1" t="n">
        <v>45554</v>
      </c>
      <c r="C5981" s="1" t="n">
        <v>45846</v>
      </c>
      <c r="D5981" t="inlineStr">
        <is>
          <t>UPPSALA LÄN</t>
        </is>
      </c>
      <c r="E5981" t="inlineStr">
        <is>
          <t>ENKÖPING</t>
        </is>
      </c>
      <c r="G5981" t="n">
        <v>6.2</v>
      </c>
      <c r="H5981" t="n">
        <v>0</v>
      </c>
      <c r="I5981" t="n">
        <v>0</v>
      </c>
      <c r="J5981" t="n">
        <v>0</v>
      </c>
      <c r="K5981" t="n">
        <v>0</v>
      </c>
      <c r="L5981" t="n">
        <v>0</v>
      </c>
      <c r="M5981" t="n">
        <v>0</v>
      </c>
      <c r="N5981" t="n">
        <v>0</v>
      </c>
      <c r="O5981" t="n">
        <v>0</v>
      </c>
      <c r="P5981" t="n">
        <v>0</v>
      </c>
      <c r="Q5981" t="n">
        <v>0</v>
      </c>
      <c r="R5981" s="2" t="inlineStr"/>
    </row>
    <row r="5982" ht="15" customHeight="1">
      <c r="A5982" t="inlineStr">
        <is>
          <t>A 40111-2024</t>
        </is>
      </c>
      <c r="B5982" s="1" t="n">
        <v>45554</v>
      </c>
      <c r="C5982" s="1" t="n">
        <v>45846</v>
      </c>
      <c r="D5982" t="inlineStr">
        <is>
          <t>UPPSALA LÄN</t>
        </is>
      </c>
      <c r="E5982" t="inlineStr">
        <is>
          <t>UPPSALA</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40326-2024</t>
        </is>
      </c>
      <c r="B5983" s="1" t="n">
        <v>45554</v>
      </c>
      <c r="C5983" s="1" t="n">
        <v>45846</v>
      </c>
      <c r="D5983" t="inlineStr">
        <is>
          <t>UPPSALA LÄN</t>
        </is>
      </c>
      <c r="E5983" t="inlineStr">
        <is>
          <t>UPPSALA</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40377-2024</t>
        </is>
      </c>
      <c r="B5984" s="1" t="n">
        <v>45555</v>
      </c>
      <c r="C5984" s="1" t="n">
        <v>45846</v>
      </c>
      <c r="D5984" t="inlineStr">
        <is>
          <t>UPPSALA LÄN</t>
        </is>
      </c>
      <c r="E5984" t="inlineStr">
        <is>
          <t>HÅBO</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40370-2024</t>
        </is>
      </c>
      <c r="B5985" s="1" t="n">
        <v>45555</v>
      </c>
      <c r="C5985" s="1" t="n">
        <v>45846</v>
      </c>
      <c r="D5985" t="inlineStr">
        <is>
          <t>UPPSALA LÄN</t>
        </is>
      </c>
      <c r="E5985" t="inlineStr">
        <is>
          <t>HÅBO</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40568-2024</t>
        </is>
      </c>
      <c r="B5986" s="1" t="n">
        <v>45555</v>
      </c>
      <c r="C5986" s="1" t="n">
        <v>45846</v>
      </c>
      <c r="D5986" t="inlineStr">
        <is>
          <t>UPPSALA LÄN</t>
        </is>
      </c>
      <c r="E5986" t="inlineStr">
        <is>
          <t>TIERP</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40434-2024</t>
        </is>
      </c>
      <c r="B5987" s="1" t="n">
        <v>45555</v>
      </c>
      <c r="C5987" s="1" t="n">
        <v>45846</v>
      </c>
      <c r="D5987" t="inlineStr">
        <is>
          <t>UPPSALA LÄN</t>
        </is>
      </c>
      <c r="E5987" t="inlineStr">
        <is>
          <t>ÖSTHAMMAR</t>
        </is>
      </c>
      <c r="F5987" t="inlineStr">
        <is>
          <t>Bergvik skog öst AB</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40454-2024</t>
        </is>
      </c>
      <c r="B5988" s="1" t="n">
        <v>45555</v>
      </c>
      <c r="C5988" s="1" t="n">
        <v>45846</v>
      </c>
      <c r="D5988" t="inlineStr">
        <is>
          <t>UPPSALA LÄN</t>
        </is>
      </c>
      <c r="E5988" t="inlineStr">
        <is>
          <t>ÖSTHAMMAR</t>
        </is>
      </c>
      <c r="F5988" t="inlineStr">
        <is>
          <t>Bergvik skog öst AB</t>
        </is>
      </c>
      <c r="G5988" t="n">
        <v>8.1</v>
      </c>
      <c r="H5988" t="n">
        <v>0</v>
      </c>
      <c r="I5988" t="n">
        <v>0</v>
      </c>
      <c r="J5988" t="n">
        <v>0</v>
      </c>
      <c r="K5988" t="n">
        <v>0</v>
      </c>
      <c r="L5988" t="n">
        <v>0</v>
      </c>
      <c r="M5988" t="n">
        <v>0</v>
      </c>
      <c r="N5988" t="n">
        <v>0</v>
      </c>
      <c r="O5988" t="n">
        <v>0</v>
      </c>
      <c r="P5988" t="n">
        <v>0</v>
      </c>
      <c r="Q5988" t="n">
        <v>0</v>
      </c>
      <c r="R5988" s="2" t="inlineStr"/>
    </row>
    <row r="5989" ht="15" customHeight="1">
      <c r="A5989" t="inlineStr">
        <is>
          <t>A 40491-2024</t>
        </is>
      </c>
      <c r="B5989" s="1" t="n">
        <v>45555</v>
      </c>
      <c r="C5989" s="1" t="n">
        <v>45846</v>
      </c>
      <c r="D5989" t="inlineStr">
        <is>
          <t>UPPSALA LÄN</t>
        </is>
      </c>
      <c r="E5989" t="inlineStr">
        <is>
          <t>UPPSALA</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40503-2024</t>
        </is>
      </c>
      <c r="B5990" s="1" t="n">
        <v>45555</v>
      </c>
      <c r="C5990" s="1" t="n">
        <v>45846</v>
      </c>
      <c r="D5990" t="inlineStr">
        <is>
          <t>UPPSALA LÄN</t>
        </is>
      </c>
      <c r="E5990" t="inlineStr">
        <is>
          <t>UPPSALA</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40701-2024</t>
        </is>
      </c>
      <c r="B5991" s="1" t="n">
        <v>45558</v>
      </c>
      <c r="C5991" s="1" t="n">
        <v>45846</v>
      </c>
      <c r="D5991" t="inlineStr">
        <is>
          <t>UPPSALA LÄN</t>
        </is>
      </c>
      <c r="E5991" t="inlineStr">
        <is>
          <t>UPPSALA</t>
        </is>
      </c>
      <c r="G5991" t="n">
        <v>9.699999999999999</v>
      </c>
      <c r="H5991" t="n">
        <v>0</v>
      </c>
      <c r="I5991" t="n">
        <v>0</v>
      </c>
      <c r="J5991" t="n">
        <v>0</v>
      </c>
      <c r="K5991" t="n">
        <v>0</v>
      </c>
      <c r="L5991" t="n">
        <v>0</v>
      </c>
      <c r="M5991" t="n">
        <v>0</v>
      </c>
      <c r="N5991" t="n">
        <v>0</v>
      </c>
      <c r="O5991" t="n">
        <v>0</v>
      </c>
      <c r="P5991" t="n">
        <v>0</v>
      </c>
      <c r="Q5991" t="n">
        <v>0</v>
      </c>
      <c r="R5991" s="2" t="inlineStr"/>
    </row>
    <row r="5992" ht="15" customHeight="1">
      <c r="A5992" t="inlineStr">
        <is>
          <t>A 40753-2024</t>
        </is>
      </c>
      <c r="B5992" s="1" t="n">
        <v>45558</v>
      </c>
      <c r="C5992" s="1" t="n">
        <v>45846</v>
      </c>
      <c r="D5992" t="inlineStr">
        <is>
          <t>UPPSALA LÄN</t>
        </is>
      </c>
      <c r="E5992" t="inlineStr">
        <is>
          <t>UPPSALA</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40748-2024</t>
        </is>
      </c>
      <c r="B5993" s="1" t="n">
        <v>45558</v>
      </c>
      <c r="C5993" s="1" t="n">
        <v>45846</v>
      </c>
      <c r="D5993" t="inlineStr">
        <is>
          <t>UPPSALA LÄN</t>
        </is>
      </c>
      <c r="E5993" t="inlineStr">
        <is>
          <t>TIERP</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41121-2024</t>
        </is>
      </c>
      <c r="B5994" s="1" t="n">
        <v>45559</v>
      </c>
      <c r="C5994" s="1" t="n">
        <v>45846</v>
      </c>
      <c r="D5994" t="inlineStr">
        <is>
          <t>UPPSALA LÄN</t>
        </is>
      </c>
      <c r="E5994" t="inlineStr">
        <is>
          <t>ÄLVKARLEBY</t>
        </is>
      </c>
      <c r="F5994" t="inlineStr">
        <is>
          <t>Bergvik skog väst AB</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41192-2024</t>
        </is>
      </c>
      <c r="B5995" s="1" t="n">
        <v>45559</v>
      </c>
      <c r="C5995" s="1" t="n">
        <v>45846</v>
      </c>
      <c r="D5995" t="inlineStr">
        <is>
          <t>UPPSALA LÄN</t>
        </is>
      </c>
      <c r="E5995" t="inlineStr">
        <is>
          <t>HEBY</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41308-2024</t>
        </is>
      </c>
      <c r="B5996" s="1" t="n">
        <v>45559</v>
      </c>
      <c r="C5996" s="1" t="n">
        <v>45846</v>
      </c>
      <c r="D5996" t="inlineStr">
        <is>
          <t>UPPSALA LÄN</t>
        </is>
      </c>
      <c r="E5996" t="inlineStr">
        <is>
          <t>TIERP</t>
        </is>
      </c>
      <c r="F5996" t="inlineStr">
        <is>
          <t>Bergvik skog väst AB</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41341-2024</t>
        </is>
      </c>
      <c r="B5997" s="1" t="n">
        <v>45559</v>
      </c>
      <c r="C5997" s="1" t="n">
        <v>45846</v>
      </c>
      <c r="D5997" t="inlineStr">
        <is>
          <t>UPPSALA LÄN</t>
        </is>
      </c>
      <c r="E5997" t="inlineStr">
        <is>
          <t>ÖSTHAMMAR</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41303-2024</t>
        </is>
      </c>
      <c r="B5998" s="1" t="n">
        <v>45559</v>
      </c>
      <c r="C5998" s="1" t="n">
        <v>45846</v>
      </c>
      <c r="D5998" t="inlineStr">
        <is>
          <t>UPPSALA LÄN</t>
        </is>
      </c>
      <c r="E5998" t="inlineStr">
        <is>
          <t>HEBY</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41189-2024</t>
        </is>
      </c>
      <c r="B5999" s="1" t="n">
        <v>45559</v>
      </c>
      <c r="C5999" s="1" t="n">
        <v>45846</v>
      </c>
      <c r="D5999" t="inlineStr">
        <is>
          <t>UPPSALA LÄN</t>
        </is>
      </c>
      <c r="E5999" t="inlineStr">
        <is>
          <t>HEBY</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41395-2024</t>
        </is>
      </c>
      <c r="B6000" s="1" t="n">
        <v>45560</v>
      </c>
      <c r="C6000" s="1" t="n">
        <v>45846</v>
      </c>
      <c r="D6000" t="inlineStr">
        <is>
          <t>UPPSALA LÄN</t>
        </is>
      </c>
      <c r="E6000" t="inlineStr">
        <is>
          <t>TIERP</t>
        </is>
      </c>
      <c r="F6000" t="inlineStr">
        <is>
          <t>Bergvik skog öst AB</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41399-2024</t>
        </is>
      </c>
      <c r="B6001" s="1" t="n">
        <v>45560</v>
      </c>
      <c r="C6001" s="1" t="n">
        <v>45846</v>
      </c>
      <c r="D6001" t="inlineStr">
        <is>
          <t>UPPSALA LÄN</t>
        </is>
      </c>
      <c r="E6001" t="inlineStr">
        <is>
          <t>TIERP</t>
        </is>
      </c>
      <c r="F6001" t="inlineStr">
        <is>
          <t>Bergvik skog öst AB</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41470-2024</t>
        </is>
      </c>
      <c r="B6002" s="1" t="n">
        <v>45560</v>
      </c>
      <c r="C6002" s="1" t="n">
        <v>45846</v>
      </c>
      <c r="D6002" t="inlineStr">
        <is>
          <t>UPPSALA LÄN</t>
        </is>
      </c>
      <c r="E6002" t="inlineStr">
        <is>
          <t>HEBY</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41478-2024</t>
        </is>
      </c>
      <c r="B6003" s="1" t="n">
        <v>45560</v>
      </c>
      <c r="C6003" s="1" t="n">
        <v>45846</v>
      </c>
      <c r="D6003" t="inlineStr">
        <is>
          <t>UPPSALA LÄN</t>
        </is>
      </c>
      <c r="E6003" t="inlineStr">
        <is>
          <t>ÖSTHAMMAR</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41393-2024</t>
        </is>
      </c>
      <c r="B6004" s="1" t="n">
        <v>45560</v>
      </c>
      <c r="C6004" s="1" t="n">
        <v>45846</v>
      </c>
      <c r="D6004" t="inlineStr">
        <is>
          <t>UPPSALA LÄN</t>
        </is>
      </c>
      <c r="E6004" t="inlineStr">
        <is>
          <t>TIERP</t>
        </is>
      </c>
      <c r="F6004" t="inlineStr">
        <is>
          <t>Bergvik skog öst AB</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41389-2024</t>
        </is>
      </c>
      <c r="B6005" s="1" t="n">
        <v>45560</v>
      </c>
      <c r="C6005" s="1" t="n">
        <v>45846</v>
      </c>
      <c r="D6005" t="inlineStr">
        <is>
          <t>UPPSALA LÄN</t>
        </is>
      </c>
      <c r="E6005" t="inlineStr">
        <is>
          <t>TIERP</t>
        </is>
      </c>
      <c r="F6005" t="inlineStr">
        <is>
          <t>Bergvik skog öst AB</t>
        </is>
      </c>
      <c r="G6005" t="n">
        <v>0.3</v>
      </c>
      <c r="H6005" t="n">
        <v>0</v>
      </c>
      <c r="I6005" t="n">
        <v>0</v>
      </c>
      <c r="J6005" t="n">
        <v>0</v>
      </c>
      <c r="K6005" t="n">
        <v>0</v>
      </c>
      <c r="L6005" t="n">
        <v>0</v>
      </c>
      <c r="M6005" t="n">
        <v>0</v>
      </c>
      <c r="N6005" t="n">
        <v>0</v>
      </c>
      <c r="O6005" t="n">
        <v>0</v>
      </c>
      <c r="P6005" t="n">
        <v>0</v>
      </c>
      <c r="Q6005" t="n">
        <v>0</v>
      </c>
      <c r="R6005" s="2" t="inlineStr"/>
    </row>
    <row r="6006" ht="15" customHeight="1">
      <c r="A6006" t="inlineStr">
        <is>
          <t>A 41465-2024</t>
        </is>
      </c>
      <c r="B6006" s="1" t="n">
        <v>45560</v>
      </c>
      <c r="C6006" s="1" t="n">
        <v>45846</v>
      </c>
      <c r="D6006" t="inlineStr">
        <is>
          <t>UPPSALA LÄN</t>
        </is>
      </c>
      <c r="E6006" t="inlineStr">
        <is>
          <t>HEBY</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41392-2024</t>
        </is>
      </c>
      <c r="B6007" s="1" t="n">
        <v>45560</v>
      </c>
      <c r="C6007" s="1" t="n">
        <v>45846</v>
      </c>
      <c r="D6007" t="inlineStr">
        <is>
          <t>UPPSALA LÄN</t>
        </is>
      </c>
      <c r="E6007" t="inlineStr">
        <is>
          <t>TIERP</t>
        </is>
      </c>
      <c r="F6007" t="inlineStr">
        <is>
          <t>Bergvik skog öst AB</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41394-2024</t>
        </is>
      </c>
      <c r="B6008" s="1" t="n">
        <v>45560</v>
      </c>
      <c r="C6008" s="1" t="n">
        <v>45846</v>
      </c>
      <c r="D6008" t="inlineStr">
        <is>
          <t>UPPSALA LÄN</t>
        </is>
      </c>
      <c r="E6008" t="inlineStr">
        <is>
          <t>TIERP</t>
        </is>
      </c>
      <c r="F6008" t="inlineStr">
        <is>
          <t>Bergvik skog öst AB</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41828-2024</t>
        </is>
      </c>
      <c r="B6009" s="1" t="n">
        <v>45561</v>
      </c>
      <c r="C6009" s="1" t="n">
        <v>45846</v>
      </c>
      <c r="D6009" t="inlineStr">
        <is>
          <t>UPPSALA LÄN</t>
        </is>
      </c>
      <c r="E6009" t="inlineStr">
        <is>
          <t>ENKÖPING</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41856-2024</t>
        </is>
      </c>
      <c r="B6010" s="1" t="n">
        <v>45561</v>
      </c>
      <c r="C6010" s="1" t="n">
        <v>45846</v>
      </c>
      <c r="D6010" t="inlineStr">
        <is>
          <t>UPPSALA LÄN</t>
        </is>
      </c>
      <c r="E6010" t="inlineStr">
        <is>
          <t>ENKÖPING</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41929-2024</t>
        </is>
      </c>
      <c r="B6011" s="1" t="n">
        <v>45561</v>
      </c>
      <c r="C6011" s="1" t="n">
        <v>45846</v>
      </c>
      <c r="D6011" t="inlineStr">
        <is>
          <t>UPPSALA LÄN</t>
        </is>
      </c>
      <c r="E6011" t="inlineStr">
        <is>
          <t>ÄLVKARLEBY</t>
        </is>
      </c>
      <c r="F6011" t="inlineStr">
        <is>
          <t>Bergvik skog väst AB</t>
        </is>
      </c>
      <c r="G6011" t="n">
        <v>4.9</v>
      </c>
      <c r="H6011" t="n">
        <v>0</v>
      </c>
      <c r="I6011" t="n">
        <v>0</v>
      </c>
      <c r="J6011" t="n">
        <v>0</v>
      </c>
      <c r="K6011" t="n">
        <v>0</v>
      </c>
      <c r="L6011" t="n">
        <v>0</v>
      </c>
      <c r="M6011" t="n">
        <v>0</v>
      </c>
      <c r="N6011" t="n">
        <v>0</v>
      </c>
      <c r="O6011" t="n">
        <v>0</v>
      </c>
      <c r="P6011" t="n">
        <v>0</v>
      </c>
      <c r="Q6011" t="n">
        <v>0</v>
      </c>
      <c r="R6011" s="2" t="inlineStr"/>
    </row>
    <row r="6012" ht="15" customHeight="1">
      <c r="A6012" t="inlineStr">
        <is>
          <t>A 41998-2024</t>
        </is>
      </c>
      <c r="B6012" s="1" t="n">
        <v>45561</v>
      </c>
      <c r="C6012" s="1" t="n">
        <v>45846</v>
      </c>
      <c r="D6012" t="inlineStr">
        <is>
          <t>UPPSALA LÄN</t>
        </is>
      </c>
      <c r="E6012" t="inlineStr">
        <is>
          <t>ÖSTHAMMAR</t>
        </is>
      </c>
      <c r="F6012" t="inlineStr">
        <is>
          <t>Bergvik skog öst AB</t>
        </is>
      </c>
      <c r="G6012" t="n">
        <v>5.7</v>
      </c>
      <c r="H6012" t="n">
        <v>0</v>
      </c>
      <c r="I6012" t="n">
        <v>0</v>
      </c>
      <c r="J6012" t="n">
        <v>0</v>
      </c>
      <c r="K6012" t="n">
        <v>0</v>
      </c>
      <c r="L6012" t="n">
        <v>0</v>
      </c>
      <c r="M6012" t="n">
        <v>0</v>
      </c>
      <c r="N6012" t="n">
        <v>0</v>
      </c>
      <c r="O6012" t="n">
        <v>0</v>
      </c>
      <c r="P6012" t="n">
        <v>0</v>
      </c>
      <c r="Q6012" t="n">
        <v>0</v>
      </c>
      <c r="R6012" s="2" t="inlineStr"/>
    </row>
    <row r="6013" ht="15" customHeight="1">
      <c r="A6013" t="inlineStr">
        <is>
          <t>A 41979-2024</t>
        </is>
      </c>
      <c r="B6013" s="1" t="n">
        <v>45561</v>
      </c>
      <c r="C6013" s="1" t="n">
        <v>45846</v>
      </c>
      <c r="D6013" t="inlineStr">
        <is>
          <t>UPPSALA LÄN</t>
        </is>
      </c>
      <c r="E6013" t="inlineStr">
        <is>
          <t>ÄLVKARLEBY</t>
        </is>
      </c>
      <c r="F6013" t="inlineStr">
        <is>
          <t>Bergvik skog väst AB</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41826-2024</t>
        </is>
      </c>
      <c r="B6014" s="1" t="n">
        <v>45561</v>
      </c>
      <c r="C6014" s="1" t="n">
        <v>45846</v>
      </c>
      <c r="D6014" t="inlineStr">
        <is>
          <t>UPPSALA LÄN</t>
        </is>
      </c>
      <c r="E6014" t="inlineStr">
        <is>
          <t>ENKÖPING</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41850-2024</t>
        </is>
      </c>
      <c r="B6015" s="1" t="n">
        <v>45561</v>
      </c>
      <c r="C6015" s="1" t="n">
        <v>45846</v>
      </c>
      <c r="D6015" t="inlineStr">
        <is>
          <t>UPPSALA LÄN</t>
        </is>
      </c>
      <c r="E6015" t="inlineStr">
        <is>
          <t>ENKÖPING</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41894-2024</t>
        </is>
      </c>
      <c r="B6016" s="1" t="n">
        <v>45561</v>
      </c>
      <c r="C6016" s="1" t="n">
        <v>45846</v>
      </c>
      <c r="D6016" t="inlineStr">
        <is>
          <t>UPPSALA LÄN</t>
        </is>
      </c>
      <c r="E6016" t="inlineStr">
        <is>
          <t>ÄLVKARLEBY</t>
        </is>
      </c>
      <c r="F6016" t="inlineStr">
        <is>
          <t>Bergvik skog väst AB</t>
        </is>
      </c>
      <c r="G6016" t="n">
        <v>5.6</v>
      </c>
      <c r="H6016" t="n">
        <v>0</v>
      </c>
      <c r="I6016" t="n">
        <v>0</v>
      </c>
      <c r="J6016" t="n">
        <v>0</v>
      </c>
      <c r="K6016" t="n">
        <v>0</v>
      </c>
      <c r="L6016" t="n">
        <v>0</v>
      </c>
      <c r="M6016" t="n">
        <v>0</v>
      </c>
      <c r="N6016" t="n">
        <v>0</v>
      </c>
      <c r="O6016" t="n">
        <v>0</v>
      </c>
      <c r="P6016" t="n">
        <v>0</v>
      </c>
      <c r="Q6016" t="n">
        <v>0</v>
      </c>
      <c r="R6016" s="2" t="inlineStr"/>
    </row>
    <row r="6017" ht="15" customHeight="1">
      <c r="A6017" t="inlineStr">
        <is>
          <t>A 41898-2024</t>
        </is>
      </c>
      <c r="B6017" s="1" t="n">
        <v>45561</v>
      </c>
      <c r="C6017" s="1" t="n">
        <v>45846</v>
      </c>
      <c r="D6017" t="inlineStr">
        <is>
          <t>UPPSALA LÄN</t>
        </is>
      </c>
      <c r="E6017" t="inlineStr">
        <is>
          <t>ÄLVKARLEBY</t>
        </is>
      </c>
      <c r="F6017" t="inlineStr">
        <is>
          <t>Bergvik skog väst AB</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41996-2024</t>
        </is>
      </c>
      <c r="B6018" s="1" t="n">
        <v>45561</v>
      </c>
      <c r="C6018" s="1" t="n">
        <v>45846</v>
      </c>
      <c r="D6018" t="inlineStr">
        <is>
          <t>UPPSALA LÄN</t>
        </is>
      </c>
      <c r="E6018" t="inlineStr">
        <is>
          <t>ÖSTHAMMAR</t>
        </is>
      </c>
      <c r="F6018" t="inlineStr">
        <is>
          <t>Bergvik skog öst AB</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42225-2024</t>
        </is>
      </c>
      <c r="B6019" s="1" t="n">
        <v>45562</v>
      </c>
      <c r="C6019" s="1" t="n">
        <v>45846</v>
      </c>
      <c r="D6019" t="inlineStr">
        <is>
          <t>UPPSALA LÄN</t>
        </is>
      </c>
      <c r="E6019" t="inlineStr">
        <is>
          <t>ÖSTHAMMAR</t>
        </is>
      </c>
      <c r="F6019" t="inlineStr">
        <is>
          <t>Bergvik skog öst AB</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42162-2024</t>
        </is>
      </c>
      <c r="B6020" s="1" t="n">
        <v>45562</v>
      </c>
      <c r="C6020" s="1" t="n">
        <v>45846</v>
      </c>
      <c r="D6020" t="inlineStr">
        <is>
          <t>UPPSALA LÄN</t>
        </is>
      </c>
      <c r="E6020" t="inlineStr">
        <is>
          <t>HEBY</t>
        </is>
      </c>
      <c r="G6020" t="n">
        <v>4.6</v>
      </c>
      <c r="H6020" t="n">
        <v>0</v>
      </c>
      <c r="I6020" t="n">
        <v>0</v>
      </c>
      <c r="J6020" t="n">
        <v>0</v>
      </c>
      <c r="K6020" t="n">
        <v>0</v>
      </c>
      <c r="L6020" t="n">
        <v>0</v>
      </c>
      <c r="M6020" t="n">
        <v>0</v>
      </c>
      <c r="N6020" t="n">
        <v>0</v>
      </c>
      <c r="O6020" t="n">
        <v>0</v>
      </c>
      <c r="P6020" t="n">
        <v>0</v>
      </c>
      <c r="Q6020" t="n">
        <v>0</v>
      </c>
      <c r="R6020" s="2" t="inlineStr"/>
    </row>
    <row r="6021" ht="15" customHeight="1">
      <c r="A6021" t="inlineStr">
        <is>
          <t>A 42296-2024</t>
        </is>
      </c>
      <c r="B6021" s="1" t="n">
        <v>45562</v>
      </c>
      <c r="C6021" s="1" t="n">
        <v>45846</v>
      </c>
      <c r="D6021" t="inlineStr">
        <is>
          <t>UPPSALA LÄN</t>
        </is>
      </c>
      <c r="E6021" t="inlineStr">
        <is>
          <t>ÖSTHAMMAR</t>
        </is>
      </c>
      <c r="F6021" t="inlineStr">
        <is>
          <t>Bergvik skog öst AB</t>
        </is>
      </c>
      <c r="G6021" t="n">
        <v>5.9</v>
      </c>
      <c r="H6021" t="n">
        <v>0</v>
      </c>
      <c r="I6021" t="n">
        <v>0</v>
      </c>
      <c r="J6021" t="n">
        <v>0</v>
      </c>
      <c r="K6021" t="n">
        <v>0</v>
      </c>
      <c r="L6021" t="n">
        <v>0</v>
      </c>
      <c r="M6021" t="n">
        <v>0</v>
      </c>
      <c r="N6021" t="n">
        <v>0</v>
      </c>
      <c r="O6021" t="n">
        <v>0</v>
      </c>
      <c r="P6021" t="n">
        <v>0</v>
      </c>
      <c r="Q6021" t="n">
        <v>0</v>
      </c>
      <c r="R6021" s="2" t="inlineStr"/>
    </row>
    <row r="6022" ht="15" customHeight="1">
      <c r="A6022" t="inlineStr">
        <is>
          <t>A 42262-2024</t>
        </is>
      </c>
      <c r="B6022" s="1" t="n">
        <v>45562</v>
      </c>
      <c r="C6022" s="1" t="n">
        <v>45846</v>
      </c>
      <c r="D6022" t="inlineStr">
        <is>
          <t>UPPSALA LÄN</t>
        </is>
      </c>
      <c r="E6022" t="inlineStr">
        <is>
          <t>ÖSTHAMMAR</t>
        </is>
      </c>
      <c r="F6022" t="inlineStr">
        <is>
          <t>Bergvik skog öst AB</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42276-2024</t>
        </is>
      </c>
      <c r="B6023" s="1" t="n">
        <v>45562</v>
      </c>
      <c r="C6023" s="1" t="n">
        <v>45846</v>
      </c>
      <c r="D6023" t="inlineStr">
        <is>
          <t>UPPSALA LÄN</t>
        </is>
      </c>
      <c r="E6023" t="inlineStr">
        <is>
          <t>UPPSALA</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42142-2024</t>
        </is>
      </c>
      <c r="B6024" s="1" t="n">
        <v>45562</v>
      </c>
      <c r="C6024" s="1" t="n">
        <v>45846</v>
      </c>
      <c r="D6024" t="inlineStr">
        <is>
          <t>UPPSALA LÄN</t>
        </is>
      </c>
      <c r="E6024" t="inlineStr">
        <is>
          <t>ÖSTHAMMAR</t>
        </is>
      </c>
      <c r="F6024" t="inlineStr">
        <is>
          <t>Bergvik skog öst AB</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42146-2024</t>
        </is>
      </c>
      <c r="B6025" s="1" t="n">
        <v>45562</v>
      </c>
      <c r="C6025" s="1" t="n">
        <v>45846</v>
      </c>
      <c r="D6025" t="inlineStr">
        <is>
          <t>UPPSALA LÄN</t>
        </is>
      </c>
      <c r="E6025" t="inlineStr">
        <is>
          <t>UPPSALA</t>
        </is>
      </c>
      <c r="G6025" t="n">
        <v>7.3</v>
      </c>
      <c r="H6025" t="n">
        <v>0</v>
      </c>
      <c r="I6025" t="n">
        <v>0</v>
      </c>
      <c r="J6025" t="n">
        <v>0</v>
      </c>
      <c r="K6025" t="n">
        <v>0</v>
      </c>
      <c r="L6025" t="n">
        <v>0</v>
      </c>
      <c r="M6025" t="n">
        <v>0</v>
      </c>
      <c r="N6025" t="n">
        <v>0</v>
      </c>
      <c r="O6025" t="n">
        <v>0</v>
      </c>
      <c r="P6025" t="n">
        <v>0</v>
      </c>
      <c r="Q6025" t="n">
        <v>0</v>
      </c>
      <c r="R6025" s="2" t="inlineStr"/>
    </row>
    <row r="6026" ht="15" customHeight="1">
      <c r="A6026" t="inlineStr">
        <is>
          <t>A 42259-2024</t>
        </is>
      </c>
      <c r="B6026" s="1" t="n">
        <v>45562</v>
      </c>
      <c r="C6026" s="1" t="n">
        <v>45846</v>
      </c>
      <c r="D6026" t="inlineStr">
        <is>
          <t>UPPSALA LÄN</t>
        </is>
      </c>
      <c r="E6026" t="inlineStr">
        <is>
          <t>UPPSALA</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42267-2024</t>
        </is>
      </c>
      <c r="B6027" s="1" t="n">
        <v>45562</v>
      </c>
      <c r="C6027" s="1" t="n">
        <v>45846</v>
      </c>
      <c r="D6027" t="inlineStr">
        <is>
          <t>UPPSALA LÄN</t>
        </is>
      </c>
      <c r="E6027" t="inlineStr">
        <is>
          <t>HEBY</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42277-2024</t>
        </is>
      </c>
      <c r="B6028" s="1" t="n">
        <v>45562</v>
      </c>
      <c r="C6028" s="1" t="n">
        <v>45846</v>
      </c>
      <c r="D6028" t="inlineStr">
        <is>
          <t>UPPSALA LÄN</t>
        </is>
      </c>
      <c r="E6028" t="inlineStr">
        <is>
          <t>HEBY</t>
        </is>
      </c>
      <c r="F6028" t="inlineStr">
        <is>
          <t>Bergvik skog väst AB</t>
        </is>
      </c>
      <c r="G6028" t="n">
        <v>7.1</v>
      </c>
      <c r="H6028" t="n">
        <v>0</v>
      </c>
      <c r="I6028" t="n">
        <v>0</v>
      </c>
      <c r="J6028" t="n">
        <v>0</v>
      </c>
      <c r="K6028" t="n">
        <v>0</v>
      </c>
      <c r="L6028" t="n">
        <v>0</v>
      </c>
      <c r="M6028" t="n">
        <v>0</v>
      </c>
      <c r="N6028" t="n">
        <v>0</v>
      </c>
      <c r="O6028" t="n">
        <v>0</v>
      </c>
      <c r="P6028" t="n">
        <v>0</v>
      </c>
      <c r="Q6028" t="n">
        <v>0</v>
      </c>
      <c r="R6028" s="2" t="inlineStr"/>
    </row>
    <row r="6029" ht="15" customHeight="1">
      <c r="A6029" t="inlineStr">
        <is>
          <t>A 42307-2024</t>
        </is>
      </c>
      <c r="B6029" s="1" t="n">
        <v>45562</v>
      </c>
      <c r="C6029" s="1" t="n">
        <v>45846</v>
      </c>
      <c r="D6029" t="inlineStr">
        <is>
          <t>UPPSALA LÄN</t>
        </is>
      </c>
      <c r="E6029" t="inlineStr">
        <is>
          <t>HEBY</t>
        </is>
      </c>
      <c r="F6029" t="inlineStr">
        <is>
          <t>Bergvik skog väst AB</t>
        </is>
      </c>
      <c r="G6029" t="n">
        <v>15.1</v>
      </c>
      <c r="H6029" t="n">
        <v>0</v>
      </c>
      <c r="I6029" t="n">
        <v>0</v>
      </c>
      <c r="J6029" t="n">
        <v>0</v>
      </c>
      <c r="K6029" t="n">
        <v>0</v>
      </c>
      <c r="L6029" t="n">
        <v>0</v>
      </c>
      <c r="M6029" t="n">
        <v>0</v>
      </c>
      <c r="N6029" t="n">
        <v>0</v>
      </c>
      <c r="O6029" t="n">
        <v>0</v>
      </c>
      <c r="P6029" t="n">
        <v>0</v>
      </c>
      <c r="Q6029" t="n">
        <v>0</v>
      </c>
      <c r="R6029" s="2" t="inlineStr"/>
    </row>
    <row r="6030" ht="15" customHeight="1">
      <c r="A6030" t="inlineStr">
        <is>
          <t>A 42143-2024</t>
        </is>
      </c>
      <c r="B6030" s="1" t="n">
        <v>45562</v>
      </c>
      <c r="C6030" s="1" t="n">
        <v>45846</v>
      </c>
      <c r="D6030" t="inlineStr">
        <is>
          <t>UPPSALA LÄN</t>
        </is>
      </c>
      <c r="E6030" t="inlineStr">
        <is>
          <t>UPPSALA</t>
        </is>
      </c>
      <c r="G6030" t="n">
        <v>6.8</v>
      </c>
      <c r="H6030" t="n">
        <v>0</v>
      </c>
      <c r="I6030" t="n">
        <v>0</v>
      </c>
      <c r="J6030" t="n">
        <v>0</v>
      </c>
      <c r="K6030" t="n">
        <v>0</v>
      </c>
      <c r="L6030" t="n">
        <v>0</v>
      </c>
      <c r="M6030" t="n">
        <v>0</v>
      </c>
      <c r="N6030" t="n">
        <v>0</v>
      </c>
      <c r="O6030" t="n">
        <v>0</v>
      </c>
      <c r="P6030" t="n">
        <v>0</v>
      </c>
      <c r="Q6030" t="n">
        <v>0</v>
      </c>
      <c r="R6030" s="2" t="inlineStr"/>
    </row>
    <row r="6031" ht="15" customHeight="1">
      <c r="A6031" t="inlineStr">
        <is>
          <t>A 42159-2024</t>
        </is>
      </c>
      <c r="B6031" s="1" t="n">
        <v>45562</v>
      </c>
      <c r="C6031" s="1" t="n">
        <v>45846</v>
      </c>
      <c r="D6031" t="inlineStr">
        <is>
          <t>UPPSALA LÄN</t>
        </is>
      </c>
      <c r="E6031" t="inlineStr">
        <is>
          <t>ÖSTHAMMAR</t>
        </is>
      </c>
      <c r="F6031" t="inlineStr">
        <is>
          <t>Bergvik skog öst AB</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42453-2024</t>
        </is>
      </c>
      <c r="B6032" s="1" t="n">
        <v>45565</v>
      </c>
      <c r="C6032" s="1" t="n">
        <v>45846</v>
      </c>
      <c r="D6032" t="inlineStr">
        <is>
          <t>UPPSALA LÄN</t>
        </is>
      </c>
      <c r="E6032" t="inlineStr">
        <is>
          <t>TIERP</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42564-2024</t>
        </is>
      </c>
      <c r="B6033" s="1" t="n">
        <v>45565</v>
      </c>
      <c r="C6033" s="1" t="n">
        <v>45846</v>
      </c>
      <c r="D6033" t="inlineStr">
        <is>
          <t>UPPSALA LÄN</t>
        </is>
      </c>
      <c r="E6033" t="inlineStr">
        <is>
          <t>ENKÖPING</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42459-2024</t>
        </is>
      </c>
      <c r="B6034" s="1" t="n">
        <v>45565</v>
      </c>
      <c r="C6034" s="1" t="n">
        <v>45846</v>
      </c>
      <c r="D6034" t="inlineStr">
        <is>
          <t>UPPSALA LÄN</t>
        </is>
      </c>
      <c r="E6034" t="inlineStr">
        <is>
          <t>ENKÖPING</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42859-2024</t>
        </is>
      </c>
      <c r="B6035" s="1" t="n">
        <v>45566</v>
      </c>
      <c r="C6035" s="1" t="n">
        <v>45846</v>
      </c>
      <c r="D6035" t="inlineStr">
        <is>
          <t>UPPSALA LÄN</t>
        </is>
      </c>
      <c r="E6035" t="inlineStr">
        <is>
          <t>HEBY</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42874-2024</t>
        </is>
      </c>
      <c r="B6036" s="1" t="n">
        <v>45566</v>
      </c>
      <c r="C6036" s="1" t="n">
        <v>45846</v>
      </c>
      <c r="D6036" t="inlineStr">
        <is>
          <t>UPPSALA LÄN</t>
        </is>
      </c>
      <c r="E6036" t="inlineStr">
        <is>
          <t>TIERP</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42872-2024</t>
        </is>
      </c>
      <c r="B6037" s="1" t="n">
        <v>45566</v>
      </c>
      <c r="C6037" s="1" t="n">
        <v>45846</v>
      </c>
      <c r="D6037" t="inlineStr">
        <is>
          <t>UPPSALA LÄN</t>
        </is>
      </c>
      <c r="E6037" t="inlineStr">
        <is>
          <t>TIERP</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43205-2024</t>
        </is>
      </c>
      <c r="B6038" s="1" t="n">
        <v>45567</v>
      </c>
      <c r="C6038" s="1" t="n">
        <v>45846</v>
      </c>
      <c r="D6038" t="inlineStr">
        <is>
          <t>UPPSALA LÄN</t>
        </is>
      </c>
      <c r="E6038" t="inlineStr">
        <is>
          <t>ENKÖPING</t>
        </is>
      </c>
      <c r="G6038" t="n">
        <v>4.8</v>
      </c>
      <c r="H6038" t="n">
        <v>0</v>
      </c>
      <c r="I6038" t="n">
        <v>0</v>
      </c>
      <c r="J6038" t="n">
        <v>0</v>
      </c>
      <c r="K6038" t="n">
        <v>0</v>
      </c>
      <c r="L6038" t="n">
        <v>0</v>
      </c>
      <c r="M6038" t="n">
        <v>0</v>
      </c>
      <c r="N6038" t="n">
        <v>0</v>
      </c>
      <c r="O6038" t="n">
        <v>0</v>
      </c>
      <c r="P6038" t="n">
        <v>0</v>
      </c>
      <c r="Q6038" t="n">
        <v>0</v>
      </c>
      <c r="R6038" s="2" t="inlineStr"/>
    </row>
    <row r="6039" ht="15" customHeight="1">
      <c r="A6039" t="inlineStr">
        <is>
          <t>A 43197-2024</t>
        </is>
      </c>
      <c r="B6039" s="1" t="n">
        <v>45567</v>
      </c>
      <c r="C6039" s="1" t="n">
        <v>45846</v>
      </c>
      <c r="D6039" t="inlineStr">
        <is>
          <t>UPPSALA LÄN</t>
        </is>
      </c>
      <c r="E6039" t="inlineStr">
        <is>
          <t>ÖSTHAMMAR</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43089-2024</t>
        </is>
      </c>
      <c r="B6040" s="1" t="n">
        <v>45567</v>
      </c>
      <c r="C6040" s="1" t="n">
        <v>45846</v>
      </c>
      <c r="D6040" t="inlineStr">
        <is>
          <t>UPPSALA LÄN</t>
        </is>
      </c>
      <c r="E6040" t="inlineStr">
        <is>
          <t>HEBY</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43439-2024</t>
        </is>
      </c>
      <c r="B6041" s="1" t="n">
        <v>45568</v>
      </c>
      <c r="C6041" s="1" t="n">
        <v>45846</v>
      </c>
      <c r="D6041" t="inlineStr">
        <is>
          <t>UPPSALA LÄN</t>
        </is>
      </c>
      <c r="E6041" t="inlineStr">
        <is>
          <t>ÖSTHAMMAR</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43361-2024</t>
        </is>
      </c>
      <c r="B6042" s="1" t="n">
        <v>45568</v>
      </c>
      <c r="C6042" s="1" t="n">
        <v>45846</v>
      </c>
      <c r="D6042" t="inlineStr">
        <is>
          <t>UPPSALA LÄN</t>
        </is>
      </c>
      <c r="E6042" t="inlineStr">
        <is>
          <t>UPPSALA</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43341-2024</t>
        </is>
      </c>
      <c r="B6043" s="1" t="n">
        <v>45568</v>
      </c>
      <c r="C6043" s="1" t="n">
        <v>45846</v>
      </c>
      <c r="D6043" t="inlineStr">
        <is>
          <t>UPPSALA LÄN</t>
        </is>
      </c>
      <c r="E6043" t="inlineStr">
        <is>
          <t>TIERP</t>
        </is>
      </c>
      <c r="G6043" t="n">
        <v>5.1</v>
      </c>
      <c r="H6043" t="n">
        <v>0</v>
      </c>
      <c r="I6043" t="n">
        <v>0</v>
      </c>
      <c r="J6043" t="n">
        <v>0</v>
      </c>
      <c r="K6043" t="n">
        <v>0</v>
      </c>
      <c r="L6043" t="n">
        <v>0</v>
      </c>
      <c r="M6043" t="n">
        <v>0</v>
      </c>
      <c r="N6043" t="n">
        <v>0</v>
      </c>
      <c r="O6043" t="n">
        <v>0</v>
      </c>
      <c r="P6043" t="n">
        <v>0</v>
      </c>
      <c r="Q6043" t="n">
        <v>0</v>
      </c>
      <c r="R6043" s="2" t="inlineStr"/>
    </row>
    <row r="6044" ht="15" customHeight="1">
      <c r="A6044" t="inlineStr">
        <is>
          <t>A 43639-2024</t>
        </is>
      </c>
      <c r="B6044" s="1" t="n">
        <v>45569</v>
      </c>
      <c r="C6044" s="1" t="n">
        <v>45846</v>
      </c>
      <c r="D6044" t="inlineStr">
        <is>
          <t>UPPSALA LÄN</t>
        </is>
      </c>
      <c r="E6044" t="inlineStr">
        <is>
          <t>TIERP</t>
        </is>
      </c>
      <c r="F6044" t="inlineStr">
        <is>
          <t>Bergvik skog öst AB</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43655-2024</t>
        </is>
      </c>
      <c r="B6045" s="1" t="n">
        <v>45569</v>
      </c>
      <c r="C6045" s="1" t="n">
        <v>45846</v>
      </c>
      <c r="D6045" t="inlineStr">
        <is>
          <t>UPPSALA LÄN</t>
        </is>
      </c>
      <c r="E6045" t="inlineStr">
        <is>
          <t>ÖSTHAMMAR</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43676-2024</t>
        </is>
      </c>
      <c r="B6046" s="1" t="n">
        <v>45569</v>
      </c>
      <c r="C6046" s="1" t="n">
        <v>45846</v>
      </c>
      <c r="D6046" t="inlineStr">
        <is>
          <t>UPPSALA LÄN</t>
        </is>
      </c>
      <c r="E6046" t="inlineStr">
        <is>
          <t>ÖSTHAMMAR</t>
        </is>
      </c>
      <c r="G6046" t="n">
        <v>7.4</v>
      </c>
      <c r="H6046" t="n">
        <v>0</v>
      </c>
      <c r="I6046" t="n">
        <v>0</v>
      </c>
      <c r="J6046" t="n">
        <v>0</v>
      </c>
      <c r="K6046" t="n">
        <v>0</v>
      </c>
      <c r="L6046" t="n">
        <v>0</v>
      </c>
      <c r="M6046" t="n">
        <v>0</v>
      </c>
      <c r="N6046" t="n">
        <v>0</v>
      </c>
      <c r="O6046" t="n">
        <v>0</v>
      </c>
      <c r="P6046" t="n">
        <v>0</v>
      </c>
      <c r="Q6046" t="n">
        <v>0</v>
      </c>
      <c r="R6046" s="2" t="inlineStr"/>
    </row>
    <row r="6047" ht="15" customHeight="1">
      <c r="A6047" t="inlineStr">
        <is>
          <t>A 43685-2024</t>
        </is>
      </c>
      <c r="B6047" s="1" t="n">
        <v>45569</v>
      </c>
      <c r="C6047" s="1" t="n">
        <v>45846</v>
      </c>
      <c r="D6047" t="inlineStr">
        <is>
          <t>UPPSALA LÄN</t>
        </is>
      </c>
      <c r="E6047" t="inlineStr">
        <is>
          <t>ÖSTHAMMAR</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43697-2024</t>
        </is>
      </c>
      <c r="B6048" s="1" t="n">
        <v>45569</v>
      </c>
      <c r="C6048" s="1" t="n">
        <v>45846</v>
      </c>
      <c r="D6048" t="inlineStr">
        <is>
          <t>UPPSALA LÄN</t>
        </is>
      </c>
      <c r="E6048" t="inlineStr">
        <is>
          <t>ENKÖPING</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43641-2024</t>
        </is>
      </c>
      <c r="B6049" s="1" t="n">
        <v>45569</v>
      </c>
      <c r="C6049" s="1" t="n">
        <v>45846</v>
      </c>
      <c r="D6049" t="inlineStr">
        <is>
          <t>UPPSALA LÄN</t>
        </is>
      </c>
      <c r="E6049" t="inlineStr">
        <is>
          <t>TIERP</t>
        </is>
      </c>
      <c r="F6049" t="inlineStr">
        <is>
          <t>Bergvik skog öst AB</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43679-2024</t>
        </is>
      </c>
      <c r="B6050" s="1" t="n">
        <v>45569</v>
      </c>
      <c r="C6050" s="1" t="n">
        <v>45846</v>
      </c>
      <c r="D6050" t="inlineStr">
        <is>
          <t>UPPSALA LÄN</t>
        </is>
      </c>
      <c r="E6050" t="inlineStr">
        <is>
          <t>ÖSTHAMMAR</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43666-2024</t>
        </is>
      </c>
      <c r="B6051" s="1" t="n">
        <v>45569</v>
      </c>
      <c r="C6051" s="1" t="n">
        <v>45846</v>
      </c>
      <c r="D6051" t="inlineStr">
        <is>
          <t>UPPSALA LÄN</t>
        </is>
      </c>
      <c r="E6051" t="inlineStr">
        <is>
          <t>ÖSTHAMMAR</t>
        </is>
      </c>
      <c r="G6051" t="n">
        <v>3.3</v>
      </c>
      <c r="H6051" t="n">
        <v>0</v>
      </c>
      <c r="I6051" t="n">
        <v>0</v>
      </c>
      <c r="J6051" t="n">
        <v>0</v>
      </c>
      <c r="K6051" t="n">
        <v>0</v>
      </c>
      <c r="L6051" t="n">
        <v>0</v>
      </c>
      <c r="M6051" t="n">
        <v>0</v>
      </c>
      <c r="N6051" t="n">
        <v>0</v>
      </c>
      <c r="O6051" t="n">
        <v>0</v>
      </c>
      <c r="P6051" t="n">
        <v>0</v>
      </c>
      <c r="Q6051" t="n">
        <v>0</v>
      </c>
      <c r="R6051" s="2" t="inlineStr"/>
    </row>
    <row r="6052" ht="15" customHeight="1">
      <c r="A6052" t="inlineStr">
        <is>
          <t>A 43710-2024</t>
        </is>
      </c>
      <c r="B6052" s="1" t="n">
        <v>45569</v>
      </c>
      <c r="C6052" s="1" t="n">
        <v>45846</v>
      </c>
      <c r="D6052" t="inlineStr">
        <is>
          <t>UPPSALA LÄN</t>
        </is>
      </c>
      <c r="E6052" t="inlineStr">
        <is>
          <t>HEBY</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43892-2024</t>
        </is>
      </c>
      <c r="B6053" s="1" t="n">
        <v>45569</v>
      </c>
      <c r="C6053" s="1" t="n">
        <v>45846</v>
      </c>
      <c r="D6053" t="inlineStr">
        <is>
          <t>UPPSALA LÄN</t>
        </is>
      </c>
      <c r="E6053" t="inlineStr">
        <is>
          <t>TIERP</t>
        </is>
      </c>
      <c r="G6053" t="n">
        <v>20.7</v>
      </c>
      <c r="H6053" t="n">
        <v>0</v>
      </c>
      <c r="I6053" t="n">
        <v>0</v>
      </c>
      <c r="J6053" t="n">
        <v>0</v>
      </c>
      <c r="K6053" t="n">
        <v>0</v>
      </c>
      <c r="L6053" t="n">
        <v>0</v>
      </c>
      <c r="M6053" t="n">
        <v>0</v>
      </c>
      <c r="N6053" t="n">
        <v>0</v>
      </c>
      <c r="O6053" t="n">
        <v>0</v>
      </c>
      <c r="P6053" t="n">
        <v>0</v>
      </c>
      <c r="Q6053" t="n">
        <v>0</v>
      </c>
      <c r="R6053" s="2" t="inlineStr"/>
    </row>
    <row r="6054" ht="15" customHeight="1">
      <c r="A6054" t="inlineStr">
        <is>
          <t>A 43640-2024</t>
        </is>
      </c>
      <c r="B6054" s="1" t="n">
        <v>45569</v>
      </c>
      <c r="C6054" s="1" t="n">
        <v>45846</v>
      </c>
      <c r="D6054" t="inlineStr">
        <is>
          <t>UPPSALA LÄN</t>
        </is>
      </c>
      <c r="E6054" t="inlineStr">
        <is>
          <t>TIERP</t>
        </is>
      </c>
      <c r="F6054" t="inlineStr">
        <is>
          <t>Bergvik skog öst AB</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43683-2024</t>
        </is>
      </c>
      <c r="B6055" s="1" t="n">
        <v>45569</v>
      </c>
      <c r="C6055" s="1" t="n">
        <v>45846</v>
      </c>
      <c r="D6055" t="inlineStr">
        <is>
          <t>UPPSALA LÄN</t>
        </is>
      </c>
      <c r="E6055" t="inlineStr">
        <is>
          <t>ÖSTHAMMAR</t>
        </is>
      </c>
      <c r="G6055" t="n">
        <v>4.7</v>
      </c>
      <c r="H6055" t="n">
        <v>0</v>
      </c>
      <c r="I6055" t="n">
        <v>0</v>
      </c>
      <c r="J6055" t="n">
        <v>0</v>
      </c>
      <c r="K6055" t="n">
        <v>0</v>
      </c>
      <c r="L6055" t="n">
        <v>0</v>
      </c>
      <c r="M6055" t="n">
        <v>0</v>
      </c>
      <c r="N6055" t="n">
        <v>0</v>
      </c>
      <c r="O6055" t="n">
        <v>0</v>
      </c>
      <c r="P6055" t="n">
        <v>0</v>
      </c>
      <c r="Q6055" t="n">
        <v>0</v>
      </c>
      <c r="R6055" s="2" t="inlineStr"/>
    </row>
    <row r="6056" ht="15" customHeight="1">
      <c r="A6056" t="inlineStr">
        <is>
          <t>A 43691-2024</t>
        </is>
      </c>
      <c r="B6056" s="1" t="n">
        <v>45569</v>
      </c>
      <c r="C6056" s="1" t="n">
        <v>45846</v>
      </c>
      <c r="D6056" t="inlineStr">
        <is>
          <t>UPPSALA LÄN</t>
        </is>
      </c>
      <c r="E6056" t="inlineStr">
        <is>
          <t>ENKÖPING</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44027-2024</t>
        </is>
      </c>
      <c r="B6057" s="1" t="n">
        <v>45572</v>
      </c>
      <c r="C6057" s="1" t="n">
        <v>45846</v>
      </c>
      <c r="D6057" t="inlineStr">
        <is>
          <t>UPPSALA LÄN</t>
        </is>
      </c>
      <c r="E6057" t="inlineStr">
        <is>
          <t>ÖSTHAMMAR</t>
        </is>
      </c>
      <c r="G6057" t="n">
        <v>6</v>
      </c>
      <c r="H6057" t="n">
        <v>0</v>
      </c>
      <c r="I6057" t="n">
        <v>0</v>
      </c>
      <c r="J6057" t="n">
        <v>0</v>
      </c>
      <c r="K6057" t="n">
        <v>0</v>
      </c>
      <c r="L6057" t="n">
        <v>0</v>
      </c>
      <c r="M6057" t="n">
        <v>0</v>
      </c>
      <c r="N6057" t="n">
        <v>0</v>
      </c>
      <c r="O6057" t="n">
        <v>0</v>
      </c>
      <c r="P6057" t="n">
        <v>0</v>
      </c>
      <c r="Q6057" t="n">
        <v>0</v>
      </c>
      <c r="R6057" s="2" t="inlineStr"/>
    </row>
    <row r="6058" ht="15" customHeight="1">
      <c r="A6058" t="inlineStr">
        <is>
          <t>A 44031-2024</t>
        </is>
      </c>
      <c r="B6058" s="1" t="n">
        <v>45572</v>
      </c>
      <c r="C6058" s="1" t="n">
        <v>45846</v>
      </c>
      <c r="D6058" t="inlineStr">
        <is>
          <t>UPPSALA LÄN</t>
        </is>
      </c>
      <c r="E6058" t="inlineStr">
        <is>
          <t>ÖSTHAMMAR</t>
        </is>
      </c>
      <c r="G6058" t="n">
        <v>9.1</v>
      </c>
      <c r="H6058" t="n">
        <v>0</v>
      </c>
      <c r="I6058" t="n">
        <v>0</v>
      </c>
      <c r="J6058" t="n">
        <v>0</v>
      </c>
      <c r="K6058" t="n">
        <v>0</v>
      </c>
      <c r="L6058" t="n">
        <v>0</v>
      </c>
      <c r="M6058" t="n">
        <v>0</v>
      </c>
      <c r="N6058" t="n">
        <v>0</v>
      </c>
      <c r="O6058" t="n">
        <v>0</v>
      </c>
      <c r="P6058" t="n">
        <v>0</v>
      </c>
      <c r="Q6058" t="n">
        <v>0</v>
      </c>
      <c r="R6058" s="2" t="inlineStr"/>
    </row>
    <row r="6059" ht="15" customHeight="1">
      <c r="A6059" t="inlineStr">
        <is>
          <t>A 44093-2024</t>
        </is>
      </c>
      <c r="B6059" s="1" t="n">
        <v>45572</v>
      </c>
      <c r="C6059" s="1" t="n">
        <v>45846</v>
      </c>
      <c r="D6059" t="inlineStr">
        <is>
          <t>UPPSALA LÄN</t>
        </is>
      </c>
      <c r="E6059" t="inlineStr">
        <is>
          <t>HEBY</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44117-2024</t>
        </is>
      </c>
      <c r="B6060" s="1" t="n">
        <v>45572</v>
      </c>
      <c r="C6060" s="1" t="n">
        <v>45846</v>
      </c>
      <c r="D6060" t="inlineStr">
        <is>
          <t>UPPSALA LÄN</t>
        </is>
      </c>
      <c r="E6060" t="inlineStr">
        <is>
          <t>HEBY</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43959-2024</t>
        </is>
      </c>
      <c r="B6061" s="1" t="n">
        <v>45572</v>
      </c>
      <c r="C6061" s="1" t="n">
        <v>45846</v>
      </c>
      <c r="D6061" t="inlineStr">
        <is>
          <t>UPPSALA LÄN</t>
        </is>
      </c>
      <c r="E6061" t="inlineStr">
        <is>
          <t>UPPSALA</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44020-2024</t>
        </is>
      </c>
      <c r="B6062" s="1" t="n">
        <v>45572</v>
      </c>
      <c r="C6062" s="1" t="n">
        <v>45846</v>
      </c>
      <c r="D6062" t="inlineStr">
        <is>
          <t>UPPSALA LÄN</t>
        </is>
      </c>
      <c r="E6062" t="inlineStr">
        <is>
          <t>ÖSTHAMMAR</t>
        </is>
      </c>
      <c r="G6062" t="n">
        <v>6.5</v>
      </c>
      <c r="H6062" t="n">
        <v>0</v>
      </c>
      <c r="I6062" t="n">
        <v>0</v>
      </c>
      <c r="J6062" t="n">
        <v>0</v>
      </c>
      <c r="K6062" t="n">
        <v>0</v>
      </c>
      <c r="L6062" t="n">
        <v>0</v>
      </c>
      <c r="M6062" t="n">
        <v>0</v>
      </c>
      <c r="N6062" t="n">
        <v>0</v>
      </c>
      <c r="O6062" t="n">
        <v>0</v>
      </c>
      <c r="P6062" t="n">
        <v>0</v>
      </c>
      <c r="Q6062" t="n">
        <v>0</v>
      </c>
      <c r="R6062" s="2" t="inlineStr"/>
    </row>
    <row r="6063" ht="15" customHeight="1">
      <c r="A6063" t="inlineStr">
        <is>
          <t>A 44024-2024</t>
        </is>
      </c>
      <c r="B6063" s="1" t="n">
        <v>45572</v>
      </c>
      <c r="C6063" s="1" t="n">
        <v>45846</v>
      </c>
      <c r="D6063" t="inlineStr">
        <is>
          <t>UPPSALA LÄN</t>
        </is>
      </c>
      <c r="E6063" t="inlineStr">
        <is>
          <t>ENKÖPING</t>
        </is>
      </c>
      <c r="G6063" t="n">
        <v>9.800000000000001</v>
      </c>
      <c r="H6063" t="n">
        <v>0</v>
      </c>
      <c r="I6063" t="n">
        <v>0</v>
      </c>
      <c r="J6063" t="n">
        <v>0</v>
      </c>
      <c r="K6063" t="n">
        <v>0</v>
      </c>
      <c r="L6063" t="n">
        <v>0</v>
      </c>
      <c r="M6063" t="n">
        <v>0</v>
      </c>
      <c r="N6063" t="n">
        <v>0</v>
      </c>
      <c r="O6063" t="n">
        <v>0</v>
      </c>
      <c r="P6063" t="n">
        <v>0</v>
      </c>
      <c r="Q6063" t="n">
        <v>0</v>
      </c>
      <c r="R6063" s="2" t="inlineStr"/>
    </row>
    <row r="6064" ht="15" customHeight="1">
      <c r="A6064" t="inlineStr">
        <is>
          <t>A 44074-2024</t>
        </is>
      </c>
      <c r="B6064" s="1" t="n">
        <v>45572</v>
      </c>
      <c r="C6064" s="1" t="n">
        <v>45846</v>
      </c>
      <c r="D6064" t="inlineStr">
        <is>
          <t>UPPSALA LÄN</t>
        </is>
      </c>
      <c r="E6064" t="inlineStr">
        <is>
          <t>ENKÖPING</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43993-2024</t>
        </is>
      </c>
      <c r="B6065" s="1" t="n">
        <v>45572</v>
      </c>
      <c r="C6065" s="1" t="n">
        <v>45846</v>
      </c>
      <c r="D6065" t="inlineStr">
        <is>
          <t>UPPSALA LÄN</t>
        </is>
      </c>
      <c r="E6065" t="inlineStr">
        <is>
          <t>ÖSTHAMMAR</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44115-2024</t>
        </is>
      </c>
      <c r="B6066" s="1" t="n">
        <v>45572</v>
      </c>
      <c r="C6066" s="1" t="n">
        <v>45846</v>
      </c>
      <c r="D6066" t="inlineStr">
        <is>
          <t>UPPSALA LÄN</t>
        </is>
      </c>
      <c r="E6066" t="inlineStr">
        <is>
          <t>ENKÖPING</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43960-2024</t>
        </is>
      </c>
      <c r="B6067" s="1" t="n">
        <v>45572</v>
      </c>
      <c r="C6067" s="1" t="n">
        <v>45846</v>
      </c>
      <c r="D6067" t="inlineStr">
        <is>
          <t>UPPSALA LÄN</t>
        </is>
      </c>
      <c r="E6067" t="inlineStr">
        <is>
          <t>UPPSALA</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44090-2024</t>
        </is>
      </c>
      <c r="B6068" s="1" t="n">
        <v>45572</v>
      </c>
      <c r="C6068" s="1" t="n">
        <v>45846</v>
      </c>
      <c r="D6068" t="inlineStr">
        <is>
          <t>UPPSALA LÄN</t>
        </is>
      </c>
      <c r="E6068" t="inlineStr">
        <is>
          <t>TIERP</t>
        </is>
      </c>
      <c r="F6068" t="inlineStr">
        <is>
          <t>Bergvik skog öst AB</t>
        </is>
      </c>
      <c r="G6068" t="n">
        <v>10</v>
      </c>
      <c r="H6068" t="n">
        <v>0</v>
      </c>
      <c r="I6068" t="n">
        <v>0</v>
      </c>
      <c r="J6068" t="n">
        <v>0</v>
      </c>
      <c r="K6068" t="n">
        <v>0</v>
      </c>
      <c r="L6068" t="n">
        <v>0</v>
      </c>
      <c r="M6068" t="n">
        <v>0</v>
      </c>
      <c r="N6068" t="n">
        <v>0</v>
      </c>
      <c r="O6068" t="n">
        <v>0</v>
      </c>
      <c r="P6068" t="n">
        <v>0</v>
      </c>
      <c r="Q6068" t="n">
        <v>0</v>
      </c>
      <c r="R6068" s="2" t="inlineStr"/>
    </row>
    <row r="6069" ht="15" customHeight="1">
      <c r="A6069" t="inlineStr">
        <is>
          <t>A 44184-2024</t>
        </is>
      </c>
      <c r="B6069" s="1" t="n">
        <v>45572</v>
      </c>
      <c r="C6069" s="1" t="n">
        <v>45846</v>
      </c>
      <c r="D6069" t="inlineStr">
        <is>
          <t>UPPSALA LÄN</t>
        </is>
      </c>
      <c r="E6069" t="inlineStr">
        <is>
          <t>ÖSTHAMMAR</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43951-2024</t>
        </is>
      </c>
      <c r="B6070" s="1" t="n">
        <v>45572</v>
      </c>
      <c r="C6070" s="1" t="n">
        <v>45846</v>
      </c>
      <c r="D6070" t="inlineStr">
        <is>
          <t>UPPSALA LÄN</t>
        </is>
      </c>
      <c r="E6070" t="inlineStr">
        <is>
          <t>UPPSALA</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44026-2024</t>
        </is>
      </c>
      <c r="B6071" s="1" t="n">
        <v>45572</v>
      </c>
      <c r="C6071" s="1" t="n">
        <v>45846</v>
      </c>
      <c r="D6071" t="inlineStr">
        <is>
          <t>UPPSALA LÄN</t>
        </is>
      </c>
      <c r="E6071" t="inlineStr">
        <is>
          <t>TIERP</t>
        </is>
      </c>
      <c r="F6071" t="inlineStr">
        <is>
          <t>Bergvik skog öst AB</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44055-2024</t>
        </is>
      </c>
      <c r="B6072" s="1" t="n">
        <v>45572</v>
      </c>
      <c r="C6072" s="1" t="n">
        <v>45846</v>
      </c>
      <c r="D6072" t="inlineStr">
        <is>
          <t>UPPSALA LÄN</t>
        </is>
      </c>
      <c r="E6072" t="inlineStr">
        <is>
          <t>ENKÖPING</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44067-2024</t>
        </is>
      </c>
      <c r="B6073" s="1" t="n">
        <v>45572</v>
      </c>
      <c r="C6073" s="1" t="n">
        <v>45846</v>
      </c>
      <c r="D6073" t="inlineStr">
        <is>
          <t>UPPSALA LÄN</t>
        </is>
      </c>
      <c r="E6073" t="inlineStr">
        <is>
          <t>ENKÖPING</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44084-2024</t>
        </is>
      </c>
      <c r="B6074" s="1" t="n">
        <v>45572</v>
      </c>
      <c r="C6074" s="1" t="n">
        <v>45846</v>
      </c>
      <c r="D6074" t="inlineStr">
        <is>
          <t>UPPSALA LÄN</t>
        </is>
      </c>
      <c r="E6074" t="inlineStr">
        <is>
          <t>ENKÖPING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44124-2024</t>
        </is>
      </c>
      <c r="B6075" s="1" t="n">
        <v>45572</v>
      </c>
      <c r="C6075" s="1" t="n">
        <v>45846</v>
      </c>
      <c r="D6075" t="inlineStr">
        <is>
          <t>UPPSALA LÄN</t>
        </is>
      </c>
      <c r="E6075" t="inlineStr">
        <is>
          <t>ÖSTHAMMAR</t>
        </is>
      </c>
      <c r="F6075" t="inlineStr">
        <is>
          <t>Bergvik skog öst AB</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44152-2024</t>
        </is>
      </c>
      <c r="B6076" s="1" t="n">
        <v>45572</v>
      </c>
      <c r="C6076" s="1" t="n">
        <v>45846</v>
      </c>
      <c r="D6076" t="inlineStr">
        <is>
          <t>UPPSALA LÄN</t>
        </is>
      </c>
      <c r="E6076" t="inlineStr">
        <is>
          <t>ÖSTHAMMAR</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44271-2024</t>
        </is>
      </c>
      <c r="B6077" s="1" t="n">
        <v>45573</v>
      </c>
      <c r="C6077" s="1" t="n">
        <v>45846</v>
      </c>
      <c r="D6077" t="inlineStr">
        <is>
          <t>UPPSALA LÄN</t>
        </is>
      </c>
      <c r="E6077" t="inlineStr">
        <is>
          <t>HEBY</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44382-2024</t>
        </is>
      </c>
      <c r="B6078" s="1" t="n">
        <v>45573</v>
      </c>
      <c r="C6078" s="1" t="n">
        <v>45846</v>
      </c>
      <c r="D6078" t="inlineStr">
        <is>
          <t>UPPSALA LÄN</t>
        </is>
      </c>
      <c r="E6078" t="inlineStr">
        <is>
          <t>TIERP</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44281-2024</t>
        </is>
      </c>
      <c r="B6079" s="1" t="n">
        <v>45573</v>
      </c>
      <c r="C6079" s="1" t="n">
        <v>45846</v>
      </c>
      <c r="D6079" t="inlineStr">
        <is>
          <t>UPPSALA LÄN</t>
        </is>
      </c>
      <c r="E6079" t="inlineStr">
        <is>
          <t>HEBY</t>
        </is>
      </c>
      <c r="G6079" t="n">
        <v>4.8</v>
      </c>
      <c r="H6079" t="n">
        <v>0</v>
      </c>
      <c r="I6079" t="n">
        <v>0</v>
      </c>
      <c r="J6079" t="n">
        <v>0</v>
      </c>
      <c r="K6079" t="n">
        <v>0</v>
      </c>
      <c r="L6079" t="n">
        <v>0</v>
      </c>
      <c r="M6079" t="n">
        <v>0</v>
      </c>
      <c r="N6079" t="n">
        <v>0</v>
      </c>
      <c r="O6079" t="n">
        <v>0</v>
      </c>
      <c r="P6079" t="n">
        <v>0</v>
      </c>
      <c r="Q6079" t="n">
        <v>0</v>
      </c>
      <c r="R6079" s="2" t="inlineStr"/>
    </row>
    <row r="6080" ht="15" customHeight="1">
      <c r="A6080" t="inlineStr">
        <is>
          <t>A 44562-2024</t>
        </is>
      </c>
      <c r="B6080" s="1" t="n">
        <v>45574</v>
      </c>
      <c r="C6080" s="1" t="n">
        <v>45846</v>
      </c>
      <c r="D6080" t="inlineStr">
        <is>
          <t>UPPSALA LÄN</t>
        </is>
      </c>
      <c r="E6080" t="inlineStr">
        <is>
          <t>UPPSALA</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44550-2024</t>
        </is>
      </c>
      <c r="B6081" s="1" t="n">
        <v>45574</v>
      </c>
      <c r="C6081" s="1" t="n">
        <v>45846</v>
      </c>
      <c r="D6081" t="inlineStr">
        <is>
          <t>UPPSALA LÄN</t>
        </is>
      </c>
      <c r="E6081" t="inlineStr">
        <is>
          <t>UPPSALA</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44563-2024</t>
        </is>
      </c>
      <c r="B6082" s="1" t="n">
        <v>45574</v>
      </c>
      <c r="C6082" s="1" t="n">
        <v>45846</v>
      </c>
      <c r="D6082" t="inlineStr">
        <is>
          <t>UPPSALA LÄN</t>
        </is>
      </c>
      <c r="E6082" t="inlineStr">
        <is>
          <t>UPPSALA</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44775-2024</t>
        </is>
      </c>
      <c r="B6083" s="1" t="n">
        <v>45574</v>
      </c>
      <c r="C6083" s="1" t="n">
        <v>45846</v>
      </c>
      <c r="D6083" t="inlineStr">
        <is>
          <t>UPPSALA LÄN</t>
        </is>
      </c>
      <c r="E6083" t="inlineStr">
        <is>
          <t>TIERP</t>
        </is>
      </c>
      <c r="F6083" t="inlineStr">
        <is>
          <t>Bergvik skog öst AB</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44807-2024</t>
        </is>
      </c>
      <c r="B6084" s="1" t="n">
        <v>45574</v>
      </c>
      <c r="C6084" s="1" t="n">
        <v>45846</v>
      </c>
      <c r="D6084" t="inlineStr">
        <is>
          <t>UPPSALA LÄN</t>
        </is>
      </c>
      <c r="E6084" t="inlineStr">
        <is>
          <t>ÖSTHAMMAR</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44762-2024</t>
        </is>
      </c>
      <c r="B6085" s="1" t="n">
        <v>45574</v>
      </c>
      <c r="C6085" s="1" t="n">
        <v>45846</v>
      </c>
      <c r="D6085" t="inlineStr">
        <is>
          <t>UPPSALA LÄN</t>
        </is>
      </c>
      <c r="E6085" t="inlineStr">
        <is>
          <t>TIERP</t>
        </is>
      </c>
      <c r="F6085" t="inlineStr">
        <is>
          <t>Bergvik skog öst AB</t>
        </is>
      </c>
      <c r="G6085" t="n">
        <v>9.800000000000001</v>
      </c>
      <c r="H6085" t="n">
        <v>0</v>
      </c>
      <c r="I6085" t="n">
        <v>0</v>
      </c>
      <c r="J6085" t="n">
        <v>0</v>
      </c>
      <c r="K6085" t="n">
        <v>0</v>
      </c>
      <c r="L6085" t="n">
        <v>0</v>
      </c>
      <c r="M6085" t="n">
        <v>0</v>
      </c>
      <c r="N6085" t="n">
        <v>0</v>
      </c>
      <c r="O6085" t="n">
        <v>0</v>
      </c>
      <c r="P6085" t="n">
        <v>0</v>
      </c>
      <c r="Q6085" t="n">
        <v>0</v>
      </c>
      <c r="R6085" s="2" t="inlineStr"/>
    </row>
    <row r="6086" ht="15" customHeight="1">
      <c r="A6086" t="inlineStr">
        <is>
          <t>A 44774-2024</t>
        </is>
      </c>
      <c r="B6086" s="1" t="n">
        <v>45574</v>
      </c>
      <c r="C6086" s="1" t="n">
        <v>45846</v>
      </c>
      <c r="D6086" t="inlineStr">
        <is>
          <t>UPPSALA LÄN</t>
        </is>
      </c>
      <c r="E6086" t="inlineStr">
        <is>
          <t>TIERP</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44823-2024</t>
        </is>
      </c>
      <c r="B6087" s="1" t="n">
        <v>45574</v>
      </c>
      <c r="C6087" s="1" t="n">
        <v>45846</v>
      </c>
      <c r="D6087" t="inlineStr">
        <is>
          <t>UPPSALA LÄN</t>
        </is>
      </c>
      <c r="E6087" t="inlineStr">
        <is>
          <t>ÖSTHAMMAR</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44832-2024</t>
        </is>
      </c>
      <c r="B6088" s="1" t="n">
        <v>45574</v>
      </c>
      <c r="C6088" s="1" t="n">
        <v>45846</v>
      </c>
      <c r="D6088" t="inlineStr">
        <is>
          <t>UPPSALA LÄN</t>
        </is>
      </c>
      <c r="E6088" t="inlineStr">
        <is>
          <t>ÖSTHAMMAR</t>
        </is>
      </c>
      <c r="G6088" t="n">
        <v>6.6</v>
      </c>
      <c r="H6088" t="n">
        <v>0</v>
      </c>
      <c r="I6088" t="n">
        <v>0</v>
      </c>
      <c r="J6088" t="n">
        <v>0</v>
      </c>
      <c r="K6088" t="n">
        <v>0</v>
      </c>
      <c r="L6088" t="n">
        <v>0</v>
      </c>
      <c r="M6088" t="n">
        <v>0</v>
      </c>
      <c r="N6088" t="n">
        <v>0</v>
      </c>
      <c r="O6088" t="n">
        <v>0</v>
      </c>
      <c r="P6088" t="n">
        <v>0</v>
      </c>
      <c r="Q6088" t="n">
        <v>0</v>
      </c>
      <c r="R6088" s="2" t="inlineStr"/>
    </row>
    <row r="6089" ht="15" customHeight="1">
      <c r="A6089" t="inlineStr">
        <is>
          <t>A 44847-2024</t>
        </is>
      </c>
      <c r="B6089" s="1" t="n">
        <v>45574</v>
      </c>
      <c r="C6089" s="1" t="n">
        <v>45846</v>
      </c>
      <c r="D6089" t="inlineStr">
        <is>
          <t>UPPSALA LÄN</t>
        </is>
      </c>
      <c r="E6089" t="inlineStr">
        <is>
          <t>UPPSALA</t>
        </is>
      </c>
      <c r="G6089" t="n">
        <v>6.3</v>
      </c>
      <c r="H6089" t="n">
        <v>0</v>
      </c>
      <c r="I6089" t="n">
        <v>0</v>
      </c>
      <c r="J6089" t="n">
        <v>0</v>
      </c>
      <c r="K6089" t="n">
        <v>0</v>
      </c>
      <c r="L6089" t="n">
        <v>0</v>
      </c>
      <c r="M6089" t="n">
        <v>0</v>
      </c>
      <c r="N6089" t="n">
        <v>0</v>
      </c>
      <c r="O6089" t="n">
        <v>0</v>
      </c>
      <c r="P6089" t="n">
        <v>0</v>
      </c>
      <c r="Q6089" t="n">
        <v>0</v>
      </c>
      <c r="R6089" s="2" t="inlineStr"/>
    </row>
    <row r="6090" ht="15" customHeight="1">
      <c r="A6090" t="inlineStr">
        <is>
          <t>A 44560-2024</t>
        </is>
      </c>
      <c r="B6090" s="1" t="n">
        <v>45574</v>
      </c>
      <c r="C6090" s="1" t="n">
        <v>45846</v>
      </c>
      <c r="D6090" t="inlineStr">
        <is>
          <t>UPPSALA LÄN</t>
        </is>
      </c>
      <c r="E6090" t="inlineStr">
        <is>
          <t>UPPSALA</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44768-2024</t>
        </is>
      </c>
      <c r="B6091" s="1" t="n">
        <v>45574</v>
      </c>
      <c r="C6091" s="1" t="n">
        <v>45846</v>
      </c>
      <c r="D6091" t="inlineStr">
        <is>
          <t>UPPSALA LÄN</t>
        </is>
      </c>
      <c r="E6091" t="inlineStr">
        <is>
          <t>TIERP</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44784-2024</t>
        </is>
      </c>
      <c r="B6092" s="1" t="n">
        <v>45574</v>
      </c>
      <c r="C6092" s="1" t="n">
        <v>45846</v>
      </c>
      <c r="D6092" t="inlineStr">
        <is>
          <t>UPPSALA LÄN</t>
        </is>
      </c>
      <c r="E6092" t="inlineStr">
        <is>
          <t>TIERP</t>
        </is>
      </c>
      <c r="F6092" t="inlineStr">
        <is>
          <t>Bergvik skog öst AB</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44796-2024</t>
        </is>
      </c>
      <c r="B6093" s="1" t="n">
        <v>45574</v>
      </c>
      <c r="C6093" s="1" t="n">
        <v>45846</v>
      </c>
      <c r="D6093" t="inlineStr">
        <is>
          <t>UPPSALA LÄN</t>
        </is>
      </c>
      <c r="E6093" t="inlineStr">
        <is>
          <t>ÖSTHAMMAR</t>
        </is>
      </c>
      <c r="G6093" t="n">
        <v>4.7</v>
      </c>
      <c r="H6093" t="n">
        <v>0</v>
      </c>
      <c r="I6093" t="n">
        <v>0</v>
      </c>
      <c r="J6093" t="n">
        <v>0</v>
      </c>
      <c r="K6093" t="n">
        <v>0</v>
      </c>
      <c r="L6093" t="n">
        <v>0</v>
      </c>
      <c r="M6093" t="n">
        <v>0</v>
      </c>
      <c r="N6093" t="n">
        <v>0</v>
      </c>
      <c r="O6093" t="n">
        <v>0</v>
      </c>
      <c r="P6093" t="n">
        <v>0</v>
      </c>
      <c r="Q6093" t="n">
        <v>0</v>
      </c>
      <c r="R6093" s="2" t="inlineStr"/>
    </row>
    <row r="6094" ht="15" customHeight="1">
      <c r="A6094" t="inlineStr">
        <is>
          <t>A 44959-2024</t>
        </is>
      </c>
      <c r="B6094" s="1" t="n">
        <v>45575</v>
      </c>
      <c r="C6094" s="1" t="n">
        <v>45846</v>
      </c>
      <c r="D6094" t="inlineStr">
        <is>
          <t>UPPSALA LÄN</t>
        </is>
      </c>
      <c r="E6094" t="inlineStr">
        <is>
          <t>HEBY</t>
        </is>
      </c>
      <c r="F6094" t="inlineStr">
        <is>
          <t>Bergvik skog väst AB</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44935-2024</t>
        </is>
      </c>
      <c r="B6095" s="1" t="n">
        <v>45575</v>
      </c>
      <c r="C6095" s="1" t="n">
        <v>45846</v>
      </c>
      <c r="D6095" t="inlineStr">
        <is>
          <t>UPPSALA LÄN</t>
        </is>
      </c>
      <c r="E6095" t="inlineStr">
        <is>
          <t>TIERP</t>
        </is>
      </c>
      <c r="F6095" t="inlineStr">
        <is>
          <t>Bergvik skog väst AB</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45102-2024</t>
        </is>
      </c>
      <c r="B6096" s="1" t="n">
        <v>45575</v>
      </c>
      <c r="C6096" s="1" t="n">
        <v>45846</v>
      </c>
      <c r="D6096" t="inlineStr">
        <is>
          <t>UPPSALA LÄN</t>
        </is>
      </c>
      <c r="E6096" t="inlineStr">
        <is>
          <t>ÖSTHAMMAR</t>
        </is>
      </c>
      <c r="G6096" t="n">
        <v>8.6</v>
      </c>
      <c r="H6096" t="n">
        <v>0</v>
      </c>
      <c r="I6096" t="n">
        <v>0</v>
      </c>
      <c r="J6096" t="n">
        <v>0</v>
      </c>
      <c r="K6096" t="n">
        <v>0</v>
      </c>
      <c r="L6096" t="n">
        <v>0</v>
      </c>
      <c r="M6096" t="n">
        <v>0</v>
      </c>
      <c r="N6096" t="n">
        <v>0</v>
      </c>
      <c r="O6096" t="n">
        <v>0</v>
      </c>
      <c r="P6096" t="n">
        <v>0</v>
      </c>
      <c r="Q6096" t="n">
        <v>0</v>
      </c>
      <c r="R6096" s="2" t="inlineStr"/>
    </row>
    <row r="6097" ht="15" customHeight="1">
      <c r="A6097" t="inlineStr">
        <is>
          <t>A 45155-2024</t>
        </is>
      </c>
      <c r="B6097" s="1" t="n">
        <v>45575</v>
      </c>
      <c r="C6097" s="1" t="n">
        <v>45846</v>
      </c>
      <c r="D6097" t="inlineStr">
        <is>
          <t>UPPSALA LÄN</t>
        </is>
      </c>
      <c r="E6097" t="inlineStr">
        <is>
          <t>ENKÖPING</t>
        </is>
      </c>
      <c r="G6097" t="n">
        <v>3.9</v>
      </c>
      <c r="H6097" t="n">
        <v>0</v>
      </c>
      <c r="I6097" t="n">
        <v>0</v>
      </c>
      <c r="J6097" t="n">
        <v>0</v>
      </c>
      <c r="K6097" t="n">
        <v>0</v>
      </c>
      <c r="L6097" t="n">
        <v>0</v>
      </c>
      <c r="M6097" t="n">
        <v>0</v>
      </c>
      <c r="N6097" t="n">
        <v>0</v>
      </c>
      <c r="O6097" t="n">
        <v>0</v>
      </c>
      <c r="P6097" t="n">
        <v>0</v>
      </c>
      <c r="Q6097" t="n">
        <v>0</v>
      </c>
      <c r="R6097" s="2" t="inlineStr"/>
    </row>
    <row r="6098" ht="15" customHeight="1">
      <c r="A6098" t="inlineStr">
        <is>
          <t>A 45193-2024</t>
        </is>
      </c>
      <c r="B6098" s="1" t="n">
        <v>45575</v>
      </c>
      <c r="C6098" s="1" t="n">
        <v>45846</v>
      </c>
      <c r="D6098" t="inlineStr">
        <is>
          <t>UPPSALA LÄN</t>
        </is>
      </c>
      <c r="E6098" t="inlineStr">
        <is>
          <t>HEBY</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45064-2024</t>
        </is>
      </c>
      <c r="B6099" s="1" t="n">
        <v>45575</v>
      </c>
      <c r="C6099" s="1" t="n">
        <v>45846</v>
      </c>
      <c r="D6099" t="inlineStr">
        <is>
          <t>UPPSALA LÄN</t>
        </is>
      </c>
      <c r="E6099" t="inlineStr">
        <is>
          <t>ENKÖPING</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45039-2024</t>
        </is>
      </c>
      <c r="B6100" s="1" t="n">
        <v>45575</v>
      </c>
      <c r="C6100" s="1" t="n">
        <v>45846</v>
      </c>
      <c r="D6100" t="inlineStr">
        <is>
          <t>UPPSALA LÄN</t>
        </is>
      </c>
      <c r="E6100" t="inlineStr">
        <is>
          <t>ÄLVKARLEBY</t>
        </is>
      </c>
      <c r="F6100" t="inlineStr">
        <is>
          <t>Bergvik skog väst AB</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45091-2024</t>
        </is>
      </c>
      <c r="B6101" s="1" t="n">
        <v>45575</v>
      </c>
      <c r="C6101" s="1" t="n">
        <v>45846</v>
      </c>
      <c r="D6101" t="inlineStr">
        <is>
          <t>UPPSALA LÄN</t>
        </is>
      </c>
      <c r="E6101" t="inlineStr">
        <is>
          <t>TIERP</t>
        </is>
      </c>
      <c r="G6101" t="n">
        <v>11.7</v>
      </c>
      <c r="H6101" t="n">
        <v>0</v>
      </c>
      <c r="I6101" t="n">
        <v>0</v>
      </c>
      <c r="J6101" t="n">
        <v>0</v>
      </c>
      <c r="K6101" t="n">
        <v>0</v>
      </c>
      <c r="L6101" t="n">
        <v>0</v>
      </c>
      <c r="M6101" t="n">
        <v>0</v>
      </c>
      <c r="N6101" t="n">
        <v>0</v>
      </c>
      <c r="O6101" t="n">
        <v>0</v>
      </c>
      <c r="P6101" t="n">
        <v>0</v>
      </c>
      <c r="Q6101" t="n">
        <v>0</v>
      </c>
      <c r="R6101" s="2" t="inlineStr"/>
    </row>
    <row r="6102" ht="15" customHeight="1">
      <c r="A6102" t="inlineStr">
        <is>
          <t>A 44977-2024</t>
        </is>
      </c>
      <c r="B6102" s="1" t="n">
        <v>45575</v>
      </c>
      <c r="C6102" s="1" t="n">
        <v>45846</v>
      </c>
      <c r="D6102" t="inlineStr">
        <is>
          <t>UPPSALA LÄN</t>
        </is>
      </c>
      <c r="E6102" t="inlineStr">
        <is>
          <t>TIERP</t>
        </is>
      </c>
      <c r="F6102" t="inlineStr">
        <is>
          <t>Bergvik skog väst AB</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44889-2024</t>
        </is>
      </c>
      <c r="B6103" s="1" t="n">
        <v>45575</v>
      </c>
      <c r="C6103" s="1" t="n">
        <v>45846</v>
      </c>
      <c r="D6103" t="inlineStr">
        <is>
          <t>UPPSALA LÄN</t>
        </is>
      </c>
      <c r="E6103" t="inlineStr">
        <is>
          <t>TIERP</t>
        </is>
      </c>
      <c r="F6103" t="inlineStr">
        <is>
          <t>Bergvik skog väst AB</t>
        </is>
      </c>
      <c r="G6103" t="n">
        <v>3.6</v>
      </c>
      <c r="H6103" t="n">
        <v>0</v>
      </c>
      <c r="I6103" t="n">
        <v>0</v>
      </c>
      <c r="J6103" t="n">
        <v>0</v>
      </c>
      <c r="K6103" t="n">
        <v>0</v>
      </c>
      <c r="L6103" t="n">
        <v>0</v>
      </c>
      <c r="M6103" t="n">
        <v>0</v>
      </c>
      <c r="N6103" t="n">
        <v>0</v>
      </c>
      <c r="O6103" t="n">
        <v>0</v>
      </c>
      <c r="P6103" t="n">
        <v>0</v>
      </c>
      <c r="Q6103" t="n">
        <v>0</v>
      </c>
      <c r="R6103" s="2" t="inlineStr"/>
    </row>
    <row r="6104" ht="15" customHeight="1">
      <c r="A6104" t="inlineStr">
        <is>
          <t>A 44958-2024</t>
        </is>
      </c>
      <c r="B6104" s="1" t="n">
        <v>45575</v>
      </c>
      <c r="C6104" s="1" t="n">
        <v>45846</v>
      </c>
      <c r="D6104" t="inlineStr">
        <is>
          <t>UPPSALA LÄN</t>
        </is>
      </c>
      <c r="E6104" t="inlineStr">
        <is>
          <t>HEBY</t>
        </is>
      </c>
      <c r="G6104" t="n">
        <v>3.2</v>
      </c>
      <c r="H6104" t="n">
        <v>0</v>
      </c>
      <c r="I6104" t="n">
        <v>0</v>
      </c>
      <c r="J6104" t="n">
        <v>0</v>
      </c>
      <c r="K6104" t="n">
        <v>0</v>
      </c>
      <c r="L6104" t="n">
        <v>0</v>
      </c>
      <c r="M6104" t="n">
        <v>0</v>
      </c>
      <c r="N6104" t="n">
        <v>0</v>
      </c>
      <c r="O6104" t="n">
        <v>0</v>
      </c>
      <c r="P6104" t="n">
        <v>0</v>
      </c>
      <c r="Q6104" t="n">
        <v>0</v>
      </c>
      <c r="R6104" s="2" t="inlineStr"/>
    </row>
    <row r="6105" ht="15" customHeight="1">
      <c r="A6105" t="inlineStr">
        <is>
          <t>A 44946-2024</t>
        </is>
      </c>
      <c r="B6105" s="1" t="n">
        <v>45575</v>
      </c>
      <c r="C6105" s="1" t="n">
        <v>45846</v>
      </c>
      <c r="D6105" t="inlineStr">
        <is>
          <t>UPPSALA LÄN</t>
        </is>
      </c>
      <c r="E6105" t="inlineStr">
        <is>
          <t>UPPSALA</t>
        </is>
      </c>
      <c r="G6105" t="n">
        <v>7.1</v>
      </c>
      <c r="H6105" t="n">
        <v>0</v>
      </c>
      <c r="I6105" t="n">
        <v>0</v>
      </c>
      <c r="J6105" t="n">
        <v>0</v>
      </c>
      <c r="K6105" t="n">
        <v>0</v>
      </c>
      <c r="L6105" t="n">
        <v>0</v>
      </c>
      <c r="M6105" t="n">
        <v>0</v>
      </c>
      <c r="N6105" t="n">
        <v>0</v>
      </c>
      <c r="O6105" t="n">
        <v>0</v>
      </c>
      <c r="P6105" t="n">
        <v>0</v>
      </c>
      <c r="Q6105" t="n">
        <v>0</v>
      </c>
      <c r="R6105" s="2" t="inlineStr"/>
    </row>
    <row r="6106" ht="15" customHeight="1">
      <c r="A6106" t="inlineStr">
        <is>
          <t>A 45090-2024</t>
        </is>
      </c>
      <c r="B6106" s="1" t="n">
        <v>45575</v>
      </c>
      <c r="C6106" s="1" t="n">
        <v>45846</v>
      </c>
      <c r="D6106" t="inlineStr">
        <is>
          <t>UPPSALA LÄN</t>
        </is>
      </c>
      <c r="E6106" t="inlineStr">
        <is>
          <t>TIERP</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45228-2024</t>
        </is>
      </c>
      <c r="B6107" s="1" t="n">
        <v>45575</v>
      </c>
      <c r="C6107" s="1" t="n">
        <v>45846</v>
      </c>
      <c r="D6107" t="inlineStr">
        <is>
          <t>UPPSALA LÄN</t>
        </is>
      </c>
      <c r="E6107" t="inlineStr">
        <is>
          <t>ÖSTHAMMAR</t>
        </is>
      </c>
      <c r="G6107" t="n">
        <v>3.8</v>
      </c>
      <c r="H6107" t="n">
        <v>0</v>
      </c>
      <c r="I6107" t="n">
        <v>0</v>
      </c>
      <c r="J6107" t="n">
        <v>0</v>
      </c>
      <c r="K6107" t="n">
        <v>0</v>
      </c>
      <c r="L6107" t="n">
        <v>0</v>
      </c>
      <c r="M6107" t="n">
        <v>0</v>
      </c>
      <c r="N6107" t="n">
        <v>0</v>
      </c>
      <c r="O6107" t="n">
        <v>0</v>
      </c>
      <c r="P6107" t="n">
        <v>0</v>
      </c>
      <c r="Q6107" t="n">
        <v>0</v>
      </c>
      <c r="R6107" s="2" t="inlineStr"/>
    </row>
    <row r="6108" ht="15" customHeight="1">
      <c r="A6108" t="inlineStr">
        <is>
          <t>A 44929-2024</t>
        </is>
      </c>
      <c r="B6108" s="1" t="n">
        <v>45575</v>
      </c>
      <c r="C6108" s="1" t="n">
        <v>45846</v>
      </c>
      <c r="D6108" t="inlineStr">
        <is>
          <t>UPPSALA LÄN</t>
        </is>
      </c>
      <c r="E6108" t="inlineStr">
        <is>
          <t>TIERP</t>
        </is>
      </c>
      <c r="G6108" t="n">
        <v>9.199999999999999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45040-2024</t>
        </is>
      </c>
      <c r="B6109" s="1" t="n">
        <v>45575</v>
      </c>
      <c r="C6109" s="1" t="n">
        <v>45846</v>
      </c>
      <c r="D6109" t="inlineStr">
        <is>
          <t>UPPSALA LÄN</t>
        </is>
      </c>
      <c r="E6109" t="inlineStr">
        <is>
          <t>ÄLVKARLEBY</t>
        </is>
      </c>
      <c r="F6109" t="inlineStr">
        <is>
          <t>Bergvik skog väst AB</t>
        </is>
      </c>
      <c r="G6109" t="n">
        <v>4.7</v>
      </c>
      <c r="H6109" t="n">
        <v>0</v>
      </c>
      <c r="I6109" t="n">
        <v>0</v>
      </c>
      <c r="J6109" t="n">
        <v>0</v>
      </c>
      <c r="K6109" t="n">
        <v>0</v>
      </c>
      <c r="L6109" t="n">
        <v>0</v>
      </c>
      <c r="M6109" t="n">
        <v>0</v>
      </c>
      <c r="N6109" t="n">
        <v>0</v>
      </c>
      <c r="O6109" t="n">
        <v>0</v>
      </c>
      <c r="P6109" t="n">
        <v>0</v>
      </c>
      <c r="Q6109" t="n">
        <v>0</v>
      </c>
      <c r="R6109" s="2" t="inlineStr"/>
    </row>
    <row r="6110" ht="15" customHeight="1">
      <c r="A6110" t="inlineStr">
        <is>
          <t>A 45371-2024</t>
        </is>
      </c>
      <c r="B6110" s="1" t="n">
        <v>45576</v>
      </c>
      <c r="C6110" s="1" t="n">
        <v>45846</v>
      </c>
      <c r="D6110" t="inlineStr">
        <is>
          <t>UPPSALA LÄN</t>
        </is>
      </c>
      <c r="E6110" t="inlineStr">
        <is>
          <t>ÄLVKARLEBY</t>
        </is>
      </c>
      <c r="F6110" t="inlineStr">
        <is>
          <t>Bergvik skog väst AB</t>
        </is>
      </c>
      <c r="G6110" t="n">
        <v>4.7</v>
      </c>
      <c r="H6110" t="n">
        <v>0</v>
      </c>
      <c r="I6110" t="n">
        <v>0</v>
      </c>
      <c r="J6110" t="n">
        <v>0</v>
      </c>
      <c r="K6110" t="n">
        <v>0</v>
      </c>
      <c r="L6110" t="n">
        <v>0</v>
      </c>
      <c r="M6110" t="n">
        <v>0</v>
      </c>
      <c r="N6110" t="n">
        <v>0</v>
      </c>
      <c r="O6110" t="n">
        <v>0</v>
      </c>
      <c r="P6110" t="n">
        <v>0</v>
      </c>
      <c r="Q6110" t="n">
        <v>0</v>
      </c>
      <c r="R6110" s="2" t="inlineStr"/>
    </row>
    <row r="6111" ht="15" customHeight="1">
      <c r="A6111" t="inlineStr">
        <is>
          <t>A 45372-2024</t>
        </is>
      </c>
      <c r="B6111" s="1" t="n">
        <v>45576</v>
      </c>
      <c r="C6111" s="1" t="n">
        <v>45846</v>
      </c>
      <c r="D6111" t="inlineStr">
        <is>
          <t>UPPSALA LÄN</t>
        </is>
      </c>
      <c r="E6111" t="inlineStr">
        <is>
          <t>ÄLVKARLEBY</t>
        </is>
      </c>
      <c r="F6111" t="inlineStr">
        <is>
          <t>Bergvik skog väst AB</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45615-2024</t>
        </is>
      </c>
      <c r="B6112" s="1" t="n">
        <v>45579</v>
      </c>
      <c r="C6112" s="1" t="n">
        <v>45846</v>
      </c>
      <c r="D6112" t="inlineStr">
        <is>
          <t>UPPSALA LÄN</t>
        </is>
      </c>
      <c r="E6112" t="inlineStr">
        <is>
          <t>ENKÖPING</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45878-2024</t>
        </is>
      </c>
      <c r="B6113" s="1" t="n">
        <v>45580</v>
      </c>
      <c r="C6113" s="1" t="n">
        <v>45846</v>
      </c>
      <c r="D6113" t="inlineStr">
        <is>
          <t>UPPSALA LÄN</t>
        </is>
      </c>
      <c r="E6113" t="inlineStr">
        <is>
          <t>UPPSALA</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45915-2024</t>
        </is>
      </c>
      <c r="B6114" s="1" t="n">
        <v>45580</v>
      </c>
      <c r="C6114" s="1" t="n">
        <v>45846</v>
      </c>
      <c r="D6114" t="inlineStr">
        <is>
          <t>UPPSALA LÄN</t>
        </is>
      </c>
      <c r="E6114" t="inlineStr">
        <is>
          <t>TIERP</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45848-2024</t>
        </is>
      </c>
      <c r="B6115" s="1" t="n">
        <v>45580</v>
      </c>
      <c r="C6115" s="1" t="n">
        <v>45846</v>
      </c>
      <c r="D6115" t="inlineStr">
        <is>
          <t>UPPSALA LÄN</t>
        </is>
      </c>
      <c r="E6115" t="inlineStr">
        <is>
          <t>TIERP</t>
        </is>
      </c>
      <c r="G6115" t="n">
        <v>6.4</v>
      </c>
      <c r="H6115" t="n">
        <v>0</v>
      </c>
      <c r="I6115" t="n">
        <v>0</v>
      </c>
      <c r="J6115" t="n">
        <v>0</v>
      </c>
      <c r="K6115" t="n">
        <v>0</v>
      </c>
      <c r="L6115" t="n">
        <v>0</v>
      </c>
      <c r="M6115" t="n">
        <v>0</v>
      </c>
      <c r="N6115" t="n">
        <v>0</v>
      </c>
      <c r="O6115" t="n">
        <v>0</v>
      </c>
      <c r="P6115" t="n">
        <v>0</v>
      </c>
      <c r="Q6115" t="n">
        <v>0</v>
      </c>
      <c r="R6115" s="2" t="inlineStr"/>
    </row>
    <row r="6116" ht="15" customHeight="1">
      <c r="A6116" t="inlineStr">
        <is>
          <t>A 45996-2024</t>
        </is>
      </c>
      <c r="B6116" s="1" t="n">
        <v>45580</v>
      </c>
      <c r="C6116" s="1" t="n">
        <v>45846</v>
      </c>
      <c r="D6116" t="inlineStr">
        <is>
          <t>UPPSALA LÄN</t>
        </is>
      </c>
      <c r="E6116" t="inlineStr">
        <is>
          <t>ENKÖPING</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45961-2024</t>
        </is>
      </c>
      <c r="B6117" s="1" t="n">
        <v>45580</v>
      </c>
      <c r="C6117" s="1" t="n">
        <v>45846</v>
      </c>
      <c r="D6117" t="inlineStr">
        <is>
          <t>UPPSALA LÄN</t>
        </is>
      </c>
      <c r="E6117" t="inlineStr">
        <is>
          <t>TIERP</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46046-2024</t>
        </is>
      </c>
      <c r="B6118" s="1" t="n">
        <v>45580</v>
      </c>
      <c r="C6118" s="1" t="n">
        <v>45846</v>
      </c>
      <c r="D6118" t="inlineStr">
        <is>
          <t>UPPSALA LÄN</t>
        </is>
      </c>
      <c r="E6118" t="inlineStr">
        <is>
          <t>TIERP</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45956-2024</t>
        </is>
      </c>
      <c r="B6119" s="1" t="n">
        <v>45580</v>
      </c>
      <c r="C6119" s="1" t="n">
        <v>45846</v>
      </c>
      <c r="D6119" t="inlineStr">
        <is>
          <t>UPPSALA LÄN</t>
        </is>
      </c>
      <c r="E6119" t="inlineStr">
        <is>
          <t>ENKÖPING</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46252-2024</t>
        </is>
      </c>
      <c r="B6120" s="1" t="n">
        <v>45581</v>
      </c>
      <c r="C6120" s="1" t="n">
        <v>45846</v>
      </c>
      <c r="D6120" t="inlineStr">
        <is>
          <t>UPPSALA LÄN</t>
        </is>
      </c>
      <c r="E6120" t="inlineStr">
        <is>
          <t>TIERP</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46303-2024</t>
        </is>
      </c>
      <c r="B6121" s="1" t="n">
        <v>45581</v>
      </c>
      <c r="C6121" s="1" t="n">
        <v>45846</v>
      </c>
      <c r="D6121" t="inlineStr">
        <is>
          <t>UPPSALA LÄN</t>
        </is>
      </c>
      <c r="E6121" t="inlineStr">
        <is>
          <t>HEBY</t>
        </is>
      </c>
      <c r="F6121" t="inlineStr">
        <is>
          <t>Bergvik skog väst AB</t>
        </is>
      </c>
      <c r="G6121" t="n">
        <v>8.4</v>
      </c>
      <c r="H6121" t="n">
        <v>0</v>
      </c>
      <c r="I6121" t="n">
        <v>0</v>
      </c>
      <c r="J6121" t="n">
        <v>0</v>
      </c>
      <c r="K6121" t="n">
        <v>0</v>
      </c>
      <c r="L6121" t="n">
        <v>0</v>
      </c>
      <c r="M6121" t="n">
        <v>0</v>
      </c>
      <c r="N6121" t="n">
        <v>0</v>
      </c>
      <c r="O6121" t="n">
        <v>0</v>
      </c>
      <c r="P6121" t="n">
        <v>0</v>
      </c>
      <c r="Q6121" t="n">
        <v>0</v>
      </c>
      <c r="R6121" s="2" t="inlineStr"/>
    </row>
    <row r="6122" ht="15" customHeight="1">
      <c r="A6122" t="inlineStr">
        <is>
          <t>A 46488-2024</t>
        </is>
      </c>
      <c r="B6122" s="1" t="n">
        <v>45582</v>
      </c>
      <c r="C6122" s="1" t="n">
        <v>45846</v>
      </c>
      <c r="D6122" t="inlineStr">
        <is>
          <t>UPPSALA LÄN</t>
        </is>
      </c>
      <c r="E6122" t="inlineStr">
        <is>
          <t>ÖSTHAMMAR</t>
        </is>
      </c>
      <c r="F6122" t="inlineStr">
        <is>
          <t>Bergvik skog väst AB</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46496-2024</t>
        </is>
      </c>
      <c r="B6123" s="1" t="n">
        <v>45582</v>
      </c>
      <c r="C6123" s="1" t="n">
        <v>45846</v>
      </c>
      <c r="D6123" t="inlineStr">
        <is>
          <t>UPPSALA LÄN</t>
        </is>
      </c>
      <c r="E6123" t="inlineStr">
        <is>
          <t>ÖSTHAMMAR</t>
        </is>
      </c>
      <c r="F6123" t="inlineStr">
        <is>
          <t>Bergvik skog väst AB</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46500-2024</t>
        </is>
      </c>
      <c r="B6124" s="1" t="n">
        <v>45582</v>
      </c>
      <c r="C6124" s="1" t="n">
        <v>45846</v>
      </c>
      <c r="D6124" t="inlineStr">
        <is>
          <t>UPPSALA LÄN</t>
        </is>
      </c>
      <c r="E6124" t="inlineStr">
        <is>
          <t>ÖSTHAMMAR</t>
        </is>
      </c>
      <c r="F6124" t="inlineStr">
        <is>
          <t>Bergvik skog väst AB</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46504-2024</t>
        </is>
      </c>
      <c r="B6125" s="1" t="n">
        <v>45582</v>
      </c>
      <c r="C6125" s="1" t="n">
        <v>45846</v>
      </c>
      <c r="D6125" t="inlineStr">
        <is>
          <t>UPPSALA LÄN</t>
        </is>
      </c>
      <c r="E6125" t="inlineStr">
        <is>
          <t>ÖSTHAMMAR</t>
        </is>
      </c>
      <c r="F6125" t="inlineStr">
        <is>
          <t>Bergvik skog väst AB</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46512-2024</t>
        </is>
      </c>
      <c r="B6126" s="1" t="n">
        <v>45582</v>
      </c>
      <c r="C6126" s="1" t="n">
        <v>45846</v>
      </c>
      <c r="D6126" t="inlineStr">
        <is>
          <t>UPPSALA LÄN</t>
        </is>
      </c>
      <c r="E6126" t="inlineStr">
        <is>
          <t>TIERP</t>
        </is>
      </c>
      <c r="G6126" t="n">
        <v>6.3</v>
      </c>
      <c r="H6126" t="n">
        <v>0</v>
      </c>
      <c r="I6126" t="n">
        <v>0</v>
      </c>
      <c r="J6126" t="n">
        <v>0</v>
      </c>
      <c r="K6126" t="n">
        <v>0</v>
      </c>
      <c r="L6126" t="n">
        <v>0</v>
      </c>
      <c r="M6126" t="n">
        <v>0</v>
      </c>
      <c r="N6126" t="n">
        <v>0</v>
      </c>
      <c r="O6126" t="n">
        <v>0</v>
      </c>
      <c r="P6126" t="n">
        <v>0</v>
      </c>
      <c r="Q6126" t="n">
        <v>0</v>
      </c>
      <c r="R6126" s="2" t="inlineStr"/>
    </row>
    <row r="6127" ht="15" customHeight="1">
      <c r="A6127" t="inlineStr">
        <is>
          <t>A 46552-2024</t>
        </is>
      </c>
      <c r="B6127" s="1" t="n">
        <v>45582</v>
      </c>
      <c r="C6127" s="1" t="n">
        <v>45846</v>
      </c>
      <c r="D6127" t="inlineStr">
        <is>
          <t>UPPSALA LÄN</t>
        </is>
      </c>
      <c r="E6127" t="inlineStr">
        <is>
          <t>TIERP</t>
        </is>
      </c>
      <c r="F6127" t="inlineStr">
        <is>
          <t>Bergvik skog öst AB</t>
        </is>
      </c>
      <c r="G6127" t="n">
        <v>21.4</v>
      </c>
      <c r="H6127" t="n">
        <v>0</v>
      </c>
      <c r="I6127" t="n">
        <v>0</v>
      </c>
      <c r="J6127" t="n">
        <v>0</v>
      </c>
      <c r="K6127" t="n">
        <v>0</v>
      </c>
      <c r="L6127" t="n">
        <v>0</v>
      </c>
      <c r="M6127" t="n">
        <v>0</v>
      </c>
      <c r="N6127" t="n">
        <v>0</v>
      </c>
      <c r="O6127" t="n">
        <v>0</v>
      </c>
      <c r="P6127" t="n">
        <v>0</v>
      </c>
      <c r="Q6127" t="n">
        <v>0</v>
      </c>
      <c r="R6127" s="2" t="inlineStr"/>
    </row>
    <row r="6128" ht="15" customHeight="1">
      <c r="A6128" t="inlineStr">
        <is>
          <t>A 46462-2024</t>
        </is>
      </c>
      <c r="B6128" s="1" t="n">
        <v>45582</v>
      </c>
      <c r="C6128" s="1" t="n">
        <v>45846</v>
      </c>
      <c r="D6128" t="inlineStr">
        <is>
          <t>UPPSALA LÄN</t>
        </is>
      </c>
      <c r="E6128" t="inlineStr">
        <is>
          <t>HEBY</t>
        </is>
      </c>
      <c r="F6128" t="inlineStr">
        <is>
          <t>Bergvik skog väst AB</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46470-2024</t>
        </is>
      </c>
      <c r="B6129" s="1" t="n">
        <v>45582</v>
      </c>
      <c r="C6129" s="1" t="n">
        <v>45846</v>
      </c>
      <c r="D6129" t="inlineStr">
        <is>
          <t>UPPSALA LÄN</t>
        </is>
      </c>
      <c r="E6129" t="inlineStr">
        <is>
          <t>HEBY</t>
        </is>
      </c>
      <c r="F6129" t="inlineStr">
        <is>
          <t>Bergvik skog väst AB</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46494-2024</t>
        </is>
      </c>
      <c r="B6130" s="1" t="n">
        <v>45582</v>
      </c>
      <c r="C6130" s="1" t="n">
        <v>45846</v>
      </c>
      <c r="D6130" t="inlineStr">
        <is>
          <t>UPPSALA LÄN</t>
        </is>
      </c>
      <c r="E6130" t="inlineStr">
        <is>
          <t>ÖSTHAMMAR</t>
        </is>
      </c>
      <c r="F6130" t="inlineStr">
        <is>
          <t>Bergvik skog väst AB</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46530-2024</t>
        </is>
      </c>
      <c r="B6131" s="1" t="n">
        <v>45582</v>
      </c>
      <c r="C6131" s="1" t="n">
        <v>45846</v>
      </c>
      <c r="D6131" t="inlineStr">
        <is>
          <t>UPPSALA LÄN</t>
        </is>
      </c>
      <c r="E6131" t="inlineStr">
        <is>
          <t>TIERP</t>
        </is>
      </c>
      <c r="F6131" t="inlineStr">
        <is>
          <t>Bergvik skog öst AB</t>
        </is>
      </c>
      <c r="G6131" t="n">
        <v>6.6</v>
      </c>
      <c r="H6131" t="n">
        <v>0</v>
      </c>
      <c r="I6131" t="n">
        <v>0</v>
      </c>
      <c r="J6131" t="n">
        <v>0</v>
      </c>
      <c r="K6131" t="n">
        <v>0</v>
      </c>
      <c r="L6131" t="n">
        <v>0</v>
      </c>
      <c r="M6131" t="n">
        <v>0</v>
      </c>
      <c r="N6131" t="n">
        <v>0</v>
      </c>
      <c r="O6131" t="n">
        <v>0</v>
      </c>
      <c r="P6131" t="n">
        <v>0</v>
      </c>
      <c r="Q6131" t="n">
        <v>0</v>
      </c>
      <c r="R6131" s="2" t="inlineStr"/>
    </row>
    <row r="6132" ht="15" customHeight="1">
      <c r="A6132" t="inlineStr">
        <is>
          <t>A 46538-2024</t>
        </is>
      </c>
      <c r="B6132" s="1" t="n">
        <v>45582</v>
      </c>
      <c r="C6132" s="1" t="n">
        <v>45846</v>
      </c>
      <c r="D6132" t="inlineStr">
        <is>
          <t>UPPSALA LÄN</t>
        </is>
      </c>
      <c r="E6132" t="inlineStr">
        <is>
          <t>HEBY</t>
        </is>
      </c>
      <c r="F6132" t="inlineStr">
        <is>
          <t>Bergvik skog väst AB</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46550-2024</t>
        </is>
      </c>
      <c r="B6133" s="1" t="n">
        <v>45582</v>
      </c>
      <c r="C6133" s="1" t="n">
        <v>45846</v>
      </c>
      <c r="D6133" t="inlineStr">
        <is>
          <t>UPPSALA LÄN</t>
        </is>
      </c>
      <c r="E6133" t="inlineStr">
        <is>
          <t>TIERP</t>
        </is>
      </c>
      <c r="F6133" t="inlineStr">
        <is>
          <t>Bergvik skog öst AB</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46467-2024</t>
        </is>
      </c>
      <c r="B6134" s="1" t="n">
        <v>45582</v>
      </c>
      <c r="C6134" s="1" t="n">
        <v>45846</v>
      </c>
      <c r="D6134" t="inlineStr">
        <is>
          <t>UPPSALA LÄN</t>
        </is>
      </c>
      <c r="E6134" t="inlineStr">
        <is>
          <t>HEBY</t>
        </is>
      </c>
      <c r="F6134" t="inlineStr">
        <is>
          <t>Bergvik skog väst AB</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46475-2024</t>
        </is>
      </c>
      <c r="B6135" s="1" t="n">
        <v>45582</v>
      </c>
      <c r="C6135" s="1" t="n">
        <v>45846</v>
      </c>
      <c r="D6135" t="inlineStr">
        <is>
          <t>UPPSALA LÄN</t>
        </is>
      </c>
      <c r="E6135" t="inlineStr">
        <is>
          <t>ÖSTHAMMAR</t>
        </is>
      </c>
      <c r="F6135" t="inlineStr">
        <is>
          <t>Bergvik skog väst AB</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46491-2024</t>
        </is>
      </c>
      <c r="B6136" s="1" t="n">
        <v>45582</v>
      </c>
      <c r="C6136" s="1" t="n">
        <v>45846</v>
      </c>
      <c r="D6136" t="inlineStr">
        <is>
          <t>UPPSALA LÄN</t>
        </is>
      </c>
      <c r="E6136" t="inlineStr">
        <is>
          <t>ÖSTHAMMAR</t>
        </is>
      </c>
      <c r="F6136" t="inlineStr">
        <is>
          <t>Bergvik skog väst AB</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46551-2024</t>
        </is>
      </c>
      <c r="B6137" s="1" t="n">
        <v>45582</v>
      </c>
      <c r="C6137" s="1" t="n">
        <v>45846</v>
      </c>
      <c r="D6137" t="inlineStr">
        <is>
          <t>UPPSALA LÄN</t>
        </is>
      </c>
      <c r="E6137" t="inlineStr">
        <is>
          <t>TIERP</t>
        </is>
      </c>
      <c r="F6137" t="inlineStr">
        <is>
          <t>Bergvik skog öst AB</t>
        </is>
      </c>
      <c r="G6137" t="n">
        <v>4.6</v>
      </c>
      <c r="H6137" t="n">
        <v>0</v>
      </c>
      <c r="I6137" t="n">
        <v>0</v>
      </c>
      <c r="J6137" t="n">
        <v>0</v>
      </c>
      <c r="K6137" t="n">
        <v>0</v>
      </c>
      <c r="L6137" t="n">
        <v>0</v>
      </c>
      <c r="M6137" t="n">
        <v>0</v>
      </c>
      <c r="N6137" t="n">
        <v>0</v>
      </c>
      <c r="O6137" t="n">
        <v>0</v>
      </c>
      <c r="P6137" t="n">
        <v>0</v>
      </c>
      <c r="Q6137" t="n">
        <v>0</v>
      </c>
      <c r="R6137" s="2" t="inlineStr"/>
    </row>
    <row r="6138" ht="15" customHeight="1">
      <c r="A6138" t="inlineStr">
        <is>
          <t>A 46432-2024</t>
        </is>
      </c>
      <c r="B6138" s="1" t="n">
        <v>45582</v>
      </c>
      <c r="C6138" s="1" t="n">
        <v>45846</v>
      </c>
      <c r="D6138" t="inlineStr">
        <is>
          <t>UPPSALA LÄN</t>
        </is>
      </c>
      <c r="E6138" t="inlineStr">
        <is>
          <t>TIERP</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46411-2024</t>
        </is>
      </c>
      <c r="B6139" s="1" t="n">
        <v>45582</v>
      </c>
      <c r="C6139" s="1" t="n">
        <v>45846</v>
      </c>
      <c r="D6139" t="inlineStr">
        <is>
          <t>UPPSALA LÄN</t>
        </is>
      </c>
      <c r="E6139" t="inlineStr">
        <is>
          <t>TIERP</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46465-2024</t>
        </is>
      </c>
      <c r="B6140" s="1" t="n">
        <v>45582</v>
      </c>
      <c r="C6140" s="1" t="n">
        <v>45846</v>
      </c>
      <c r="D6140" t="inlineStr">
        <is>
          <t>UPPSALA LÄN</t>
        </is>
      </c>
      <c r="E6140" t="inlineStr">
        <is>
          <t>TIERP</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46477-2024</t>
        </is>
      </c>
      <c r="B6141" s="1" t="n">
        <v>45582</v>
      </c>
      <c r="C6141" s="1" t="n">
        <v>45846</v>
      </c>
      <c r="D6141" t="inlineStr">
        <is>
          <t>UPPSALA LÄN</t>
        </is>
      </c>
      <c r="E6141" t="inlineStr">
        <is>
          <t>HEBY</t>
        </is>
      </c>
      <c r="F6141" t="inlineStr">
        <is>
          <t>Bergvik skog väst AB</t>
        </is>
      </c>
      <c r="G6141" t="n">
        <v>3.6</v>
      </c>
      <c r="H6141" t="n">
        <v>0</v>
      </c>
      <c r="I6141" t="n">
        <v>0</v>
      </c>
      <c r="J6141" t="n">
        <v>0</v>
      </c>
      <c r="K6141" t="n">
        <v>0</v>
      </c>
      <c r="L6141" t="n">
        <v>0</v>
      </c>
      <c r="M6141" t="n">
        <v>0</v>
      </c>
      <c r="N6141" t="n">
        <v>0</v>
      </c>
      <c r="O6141" t="n">
        <v>0</v>
      </c>
      <c r="P6141" t="n">
        <v>0</v>
      </c>
      <c r="Q6141" t="n">
        <v>0</v>
      </c>
      <c r="R6141" s="2" t="inlineStr"/>
    </row>
    <row r="6142" ht="15" customHeight="1">
      <c r="A6142" t="inlineStr">
        <is>
          <t>A 46513-2024</t>
        </is>
      </c>
      <c r="B6142" s="1" t="n">
        <v>45582</v>
      </c>
      <c r="C6142" s="1" t="n">
        <v>45846</v>
      </c>
      <c r="D6142" t="inlineStr">
        <is>
          <t>UPPSALA LÄN</t>
        </is>
      </c>
      <c r="E6142" t="inlineStr">
        <is>
          <t>HEBY</t>
        </is>
      </c>
      <c r="F6142" t="inlineStr">
        <is>
          <t>Bergvik skog väst AB</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46408-2024</t>
        </is>
      </c>
      <c r="B6143" s="1" t="n">
        <v>45582</v>
      </c>
      <c r="C6143" s="1" t="n">
        <v>45846</v>
      </c>
      <c r="D6143" t="inlineStr">
        <is>
          <t>UPPSALA LÄN</t>
        </is>
      </c>
      <c r="E6143" t="inlineStr">
        <is>
          <t>HEBY</t>
        </is>
      </c>
      <c r="F6143" t="inlineStr">
        <is>
          <t>Bergvik skog väst AB</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46549-2024</t>
        </is>
      </c>
      <c r="B6144" s="1" t="n">
        <v>45582</v>
      </c>
      <c r="C6144" s="1" t="n">
        <v>45846</v>
      </c>
      <c r="D6144" t="inlineStr">
        <is>
          <t>UPPSALA LÄN</t>
        </is>
      </c>
      <c r="E6144" t="inlineStr">
        <is>
          <t>TIERP</t>
        </is>
      </c>
      <c r="F6144" t="inlineStr">
        <is>
          <t>Bergvik skog öst AB</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46728-2024</t>
        </is>
      </c>
      <c r="B6145" s="1" t="n">
        <v>45583</v>
      </c>
      <c r="C6145" s="1" t="n">
        <v>45846</v>
      </c>
      <c r="D6145" t="inlineStr">
        <is>
          <t>UPPSALA LÄN</t>
        </is>
      </c>
      <c r="E6145" t="inlineStr">
        <is>
          <t>UPPSALA</t>
        </is>
      </c>
      <c r="F6145" t="inlineStr">
        <is>
          <t>Sveaskog</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46796-2024</t>
        </is>
      </c>
      <c r="B6146" s="1" t="n">
        <v>45583</v>
      </c>
      <c r="C6146" s="1" t="n">
        <v>45846</v>
      </c>
      <c r="D6146" t="inlineStr">
        <is>
          <t>UPPSALA LÄN</t>
        </is>
      </c>
      <c r="E6146" t="inlineStr">
        <is>
          <t>UPPSALA</t>
        </is>
      </c>
      <c r="F6146" t="inlineStr">
        <is>
          <t>Sveaskog</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46624-2024</t>
        </is>
      </c>
      <c r="B6147" s="1" t="n">
        <v>45583</v>
      </c>
      <c r="C6147" s="1" t="n">
        <v>45846</v>
      </c>
      <c r="D6147" t="inlineStr">
        <is>
          <t>UPPSALA LÄN</t>
        </is>
      </c>
      <c r="E6147" t="inlineStr">
        <is>
          <t>ÖSTHAMMAR</t>
        </is>
      </c>
      <c r="F6147" t="inlineStr">
        <is>
          <t>Bergvik skog öst AB</t>
        </is>
      </c>
      <c r="G6147" t="n">
        <v>0.1</v>
      </c>
      <c r="H6147" t="n">
        <v>0</v>
      </c>
      <c r="I6147" t="n">
        <v>0</v>
      </c>
      <c r="J6147" t="n">
        <v>0</v>
      </c>
      <c r="K6147" t="n">
        <v>0</v>
      </c>
      <c r="L6147" t="n">
        <v>0</v>
      </c>
      <c r="M6147" t="n">
        <v>0</v>
      </c>
      <c r="N6147" t="n">
        <v>0</v>
      </c>
      <c r="O6147" t="n">
        <v>0</v>
      </c>
      <c r="P6147" t="n">
        <v>0</v>
      </c>
      <c r="Q6147" t="n">
        <v>0</v>
      </c>
      <c r="R6147" s="2" t="inlineStr"/>
    </row>
    <row r="6148" ht="15" customHeight="1">
      <c r="A6148" t="inlineStr">
        <is>
          <t>A 46818-2024</t>
        </is>
      </c>
      <c r="B6148" s="1" t="n">
        <v>45583</v>
      </c>
      <c r="C6148" s="1" t="n">
        <v>45846</v>
      </c>
      <c r="D6148" t="inlineStr">
        <is>
          <t>UPPSALA LÄN</t>
        </is>
      </c>
      <c r="E6148" t="inlineStr">
        <is>
          <t>ÖSTHAMMAR</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46810-2024</t>
        </is>
      </c>
      <c r="B6149" s="1" t="n">
        <v>45583</v>
      </c>
      <c r="C6149" s="1" t="n">
        <v>45846</v>
      </c>
      <c r="D6149" t="inlineStr">
        <is>
          <t>UPPSALA LÄN</t>
        </is>
      </c>
      <c r="E6149" t="inlineStr">
        <is>
          <t>ÖSTHAMMAR</t>
        </is>
      </c>
      <c r="F6149" t="inlineStr">
        <is>
          <t>Bergvik skog öst AB</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46745-2024</t>
        </is>
      </c>
      <c r="B6150" s="1" t="n">
        <v>45583</v>
      </c>
      <c r="C6150" s="1" t="n">
        <v>45846</v>
      </c>
      <c r="D6150" t="inlineStr">
        <is>
          <t>UPPSALA LÄN</t>
        </is>
      </c>
      <c r="E6150" t="inlineStr">
        <is>
          <t>UPPSALA</t>
        </is>
      </c>
      <c r="F6150" t="inlineStr">
        <is>
          <t>Sveaskog</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46743-2024</t>
        </is>
      </c>
      <c r="B6151" s="1" t="n">
        <v>45583</v>
      </c>
      <c r="C6151" s="1" t="n">
        <v>45846</v>
      </c>
      <c r="D6151" t="inlineStr">
        <is>
          <t>UPPSALA LÄN</t>
        </is>
      </c>
      <c r="E6151" t="inlineStr">
        <is>
          <t>UPPSALA</t>
        </is>
      </c>
      <c r="F6151" t="inlineStr">
        <is>
          <t>Sveaskog</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46751-2024</t>
        </is>
      </c>
      <c r="B6152" s="1" t="n">
        <v>45583</v>
      </c>
      <c r="C6152" s="1" t="n">
        <v>45846</v>
      </c>
      <c r="D6152" t="inlineStr">
        <is>
          <t>UPPSALA LÄN</t>
        </is>
      </c>
      <c r="E6152" t="inlineStr">
        <is>
          <t>UPPSALA</t>
        </is>
      </c>
      <c r="F6152" t="inlineStr">
        <is>
          <t>Sveaskog</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46794-2024</t>
        </is>
      </c>
      <c r="B6153" s="1" t="n">
        <v>45583</v>
      </c>
      <c r="C6153" s="1" t="n">
        <v>45846</v>
      </c>
      <c r="D6153" t="inlineStr">
        <is>
          <t>UPPSALA LÄN</t>
        </is>
      </c>
      <c r="E6153" t="inlineStr">
        <is>
          <t>UPPSALA</t>
        </is>
      </c>
      <c r="F6153" t="inlineStr">
        <is>
          <t>Sveaskog</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46791-2024</t>
        </is>
      </c>
      <c r="B6154" s="1" t="n">
        <v>45583</v>
      </c>
      <c r="C6154" s="1" t="n">
        <v>45846</v>
      </c>
      <c r="D6154" t="inlineStr">
        <is>
          <t>UPPSALA LÄN</t>
        </is>
      </c>
      <c r="E6154" t="inlineStr">
        <is>
          <t>UPPSALA</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46631-2024</t>
        </is>
      </c>
      <c r="B6155" s="1" t="n">
        <v>45583</v>
      </c>
      <c r="C6155" s="1" t="n">
        <v>45846</v>
      </c>
      <c r="D6155" t="inlineStr">
        <is>
          <t>UPPSALA LÄN</t>
        </is>
      </c>
      <c r="E6155" t="inlineStr">
        <is>
          <t>ÖSTHAMMAR</t>
        </is>
      </c>
      <c r="F6155" t="inlineStr">
        <is>
          <t>Bergvik skog öst AB</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46811-2024</t>
        </is>
      </c>
      <c r="B6156" s="1" t="n">
        <v>45583</v>
      </c>
      <c r="C6156" s="1" t="n">
        <v>45846</v>
      </c>
      <c r="D6156" t="inlineStr">
        <is>
          <t>UPPSALA LÄN</t>
        </is>
      </c>
      <c r="E6156" t="inlineStr">
        <is>
          <t>ÖSTHAMMAR</t>
        </is>
      </c>
      <c r="F6156" t="inlineStr">
        <is>
          <t>Bergvik skog öst AB</t>
        </is>
      </c>
      <c r="G6156" t="n">
        <v>6.3</v>
      </c>
      <c r="H6156" t="n">
        <v>0</v>
      </c>
      <c r="I6156" t="n">
        <v>0</v>
      </c>
      <c r="J6156" t="n">
        <v>0</v>
      </c>
      <c r="K6156" t="n">
        <v>0</v>
      </c>
      <c r="L6156" t="n">
        <v>0</v>
      </c>
      <c r="M6156" t="n">
        <v>0</v>
      </c>
      <c r="N6156" t="n">
        <v>0</v>
      </c>
      <c r="O6156" t="n">
        <v>0</v>
      </c>
      <c r="P6156" t="n">
        <v>0</v>
      </c>
      <c r="Q6156" t="n">
        <v>0</v>
      </c>
      <c r="R6156" s="2" t="inlineStr"/>
    </row>
    <row r="6157" ht="15" customHeight="1">
      <c r="A6157" t="inlineStr">
        <is>
          <t>A 46645-2024</t>
        </is>
      </c>
      <c r="B6157" s="1" t="n">
        <v>45583</v>
      </c>
      <c r="C6157" s="1" t="n">
        <v>45846</v>
      </c>
      <c r="D6157" t="inlineStr">
        <is>
          <t>UPPSALA LÄN</t>
        </is>
      </c>
      <c r="E6157" t="inlineStr">
        <is>
          <t>ÖSTHAMMAR</t>
        </is>
      </c>
      <c r="F6157" t="inlineStr">
        <is>
          <t>Bergvik skog öst AB</t>
        </is>
      </c>
      <c r="G6157" t="n">
        <v>6.6</v>
      </c>
      <c r="H6157" t="n">
        <v>0</v>
      </c>
      <c r="I6157" t="n">
        <v>0</v>
      </c>
      <c r="J6157" t="n">
        <v>0</v>
      </c>
      <c r="K6157" t="n">
        <v>0</v>
      </c>
      <c r="L6157" t="n">
        <v>0</v>
      </c>
      <c r="M6157" t="n">
        <v>0</v>
      </c>
      <c r="N6157" t="n">
        <v>0</v>
      </c>
      <c r="O6157" t="n">
        <v>0</v>
      </c>
      <c r="P6157" t="n">
        <v>0</v>
      </c>
      <c r="Q6157" t="n">
        <v>0</v>
      </c>
      <c r="R6157" s="2" t="inlineStr"/>
    </row>
    <row r="6158" ht="15" customHeight="1">
      <c r="A6158" t="inlineStr">
        <is>
          <t>A 46730-2024</t>
        </is>
      </c>
      <c r="B6158" s="1" t="n">
        <v>45583</v>
      </c>
      <c r="C6158" s="1" t="n">
        <v>45846</v>
      </c>
      <c r="D6158" t="inlineStr">
        <is>
          <t>UPPSALA LÄN</t>
        </is>
      </c>
      <c r="E6158" t="inlineStr">
        <is>
          <t>UPPSALA</t>
        </is>
      </c>
      <c r="F6158" t="inlineStr">
        <is>
          <t>Sveaskog</t>
        </is>
      </c>
      <c r="G6158" t="n">
        <v>6.5</v>
      </c>
      <c r="H6158" t="n">
        <v>0</v>
      </c>
      <c r="I6158" t="n">
        <v>0</v>
      </c>
      <c r="J6158" t="n">
        <v>0</v>
      </c>
      <c r="K6158" t="n">
        <v>0</v>
      </c>
      <c r="L6158" t="n">
        <v>0</v>
      </c>
      <c r="M6158" t="n">
        <v>0</v>
      </c>
      <c r="N6158" t="n">
        <v>0</v>
      </c>
      <c r="O6158" t="n">
        <v>0</v>
      </c>
      <c r="P6158" t="n">
        <v>0</v>
      </c>
      <c r="Q6158" t="n">
        <v>0</v>
      </c>
      <c r="R6158" s="2" t="inlineStr"/>
      <c r="U6158">
        <f>HYPERLINK("https://klasma.github.io/Logging_0380/knärot/A 46730-2024 karta knärot.png", "A 46730-2024")</f>
        <v/>
      </c>
      <c r="V6158">
        <f>HYPERLINK("https://klasma.github.io/Logging_0380/klagomål/A 46730-2024 FSC-klagomål.docx", "A 46730-2024")</f>
        <v/>
      </c>
      <c r="W6158">
        <f>HYPERLINK("https://klasma.github.io/Logging_0380/klagomålsmail/A 46730-2024 FSC-klagomål mail.docx", "A 46730-2024")</f>
        <v/>
      </c>
      <c r="X6158">
        <f>HYPERLINK("https://klasma.github.io/Logging_0380/tillsyn/A 46730-2024 tillsynsbegäran.docx", "A 46730-2024")</f>
        <v/>
      </c>
      <c r="Y6158">
        <f>HYPERLINK("https://klasma.github.io/Logging_0380/tillsynsmail/A 46730-2024 tillsynsbegäran mail.docx", "A 46730-2024")</f>
        <v/>
      </c>
    </row>
    <row r="6159" ht="15" customHeight="1">
      <c r="A6159" t="inlineStr">
        <is>
          <t>A 46821-2024</t>
        </is>
      </c>
      <c r="B6159" s="1" t="n">
        <v>45583</v>
      </c>
      <c r="C6159" s="1" t="n">
        <v>45846</v>
      </c>
      <c r="D6159" t="inlineStr">
        <is>
          <t>UPPSALA LÄN</t>
        </is>
      </c>
      <c r="E6159" t="inlineStr">
        <is>
          <t>UPPSALA</t>
        </is>
      </c>
      <c r="F6159" t="inlineStr">
        <is>
          <t>Holmen skog AB</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46748-2024</t>
        </is>
      </c>
      <c r="B6160" s="1" t="n">
        <v>45583</v>
      </c>
      <c r="C6160" s="1" t="n">
        <v>45846</v>
      </c>
      <c r="D6160" t="inlineStr">
        <is>
          <t>UPPSALA LÄN</t>
        </is>
      </c>
      <c r="E6160" t="inlineStr">
        <is>
          <t>UPPSALA</t>
        </is>
      </c>
      <c r="F6160" t="inlineStr">
        <is>
          <t>Sveaskog</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46700-2024</t>
        </is>
      </c>
      <c r="B6161" s="1" t="n">
        <v>45583</v>
      </c>
      <c r="C6161" s="1" t="n">
        <v>45846</v>
      </c>
      <c r="D6161" t="inlineStr">
        <is>
          <t>UPPSALA LÄN</t>
        </is>
      </c>
      <c r="E6161" t="inlineStr">
        <is>
          <t>UPPSALA</t>
        </is>
      </c>
      <c r="F6161" t="inlineStr">
        <is>
          <t>Sveaskog</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46925-2024</t>
        </is>
      </c>
      <c r="B6162" s="1" t="n">
        <v>45584</v>
      </c>
      <c r="C6162" s="1" t="n">
        <v>45846</v>
      </c>
      <c r="D6162" t="inlineStr">
        <is>
          <t>UPPSALA LÄN</t>
        </is>
      </c>
      <c r="E6162" t="inlineStr">
        <is>
          <t>UPPSALA</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46982-2024</t>
        </is>
      </c>
      <c r="B6163" s="1" t="n">
        <v>45586</v>
      </c>
      <c r="C6163" s="1" t="n">
        <v>45846</v>
      </c>
      <c r="D6163" t="inlineStr">
        <is>
          <t>UPPSALA LÄN</t>
        </is>
      </c>
      <c r="E6163" t="inlineStr">
        <is>
          <t>HEBY</t>
        </is>
      </c>
      <c r="G6163" t="n">
        <v>6.2</v>
      </c>
      <c r="H6163" t="n">
        <v>0</v>
      </c>
      <c r="I6163" t="n">
        <v>0</v>
      </c>
      <c r="J6163" t="n">
        <v>0</v>
      </c>
      <c r="K6163" t="n">
        <v>0</v>
      </c>
      <c r="L6163" t="n">
        <v>0</v>
      </c>
      <c r="M6163" t="n">
        <v>0</v>
      </c>
      <c r="N6163" t="n">
        <v>0</v>
      </c>
      <c r="O6163" t="n">
        <v>0</v>
      </c>
      <c r="P6163" t="n">
        <v>0</v>
      </c>
      <c r="Q6163" t="n">
        <v>0</v>
      </c>
      <c r="R6163" s="2" t="inlineStr"/>
    </row>
    <row r="6164" ht="15" customHeight="1">
      <c r="A6164" t="inlineStr">
        <is>
          <t>A 47169-2024</t>
        </is>
      </c>
      <c r="B6164" s="1" t="n">
        <v>45586</v>
      </c>
      <c r="C6164" s="1" t="n">
        <v>45846</v>
      </c>
      <c r="D6164" t="inlineStr">
        <is>
          <t>UPPSALA LÄN</t>
        </is>
      </c>
      <c r="E6164" t="inlineStr">
        <is>
          <t>UPPSALA</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47072-2024</t>
        </is>
      </c>
      <c r="B6165" s="1" t="n">
        <v>45586</v>
      </c>
      <c r="C6165" s="1" t="n">
        <v>45846</v>
      </c>
      <c r="D6165" t="inlineStr">
        <is>
          <t>UPPSALA LÄN</t>
        </is>
      </c>
      <c r="E6165" t="inlineStr">
        <is>
          <t>HEBY</t>
        </is>
      </c>
      <c r="F6165" t="inlineStr">
        <is>
          <t>Kyrkan</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47058-2024</t>
        </is>
      </c>
      <c r="B6166" s="1" t="n">
        <v>45586</v>
      </c>
      <c r="C6166" s="1" t="n">
        <v>45846</v>
      </c>
      <c r="D6166" t="inlineStr">
        <is>
          <t>UPPSALA LÄN</t>
        </is>
      </c>
      <c r="E6166" t="inlineStr">
        <is>
          <t>TIERP</t>
        </is>
      </c>
      <c r="F6166" t="inlineStr">
        <is>
          <t>Bergvik skog öst AB</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47027-2024</t>
        </is>
      </c>
      <c r="B6167" s="1" t="n">
        <v>45586</v>
      </c>
      <c r="C6167" s="1" t="n">
        <v>45846</v>
      </c>
      <c r="D6167" t="inlineStr">
        <is>
          <t>UPPSALA LÄN</t>
        </is>
      </c>
      <c r="E6167" t="inlineStr">
        <is>
          <t>TIERP</t>
        </is>
      </c>
      <c r="F6167" t="inlineStr">
        <is>
          <t>Bergvik skog öst AB</t>
        </is>
      </c>
      <c r="G6167" t="n">
        <v>6.4</v>
      </c>
      <c r="H6167" t="n">
        <v>0</v>
      </c>
      <c r="I6167" t="n">
        <v>0</v>
      </c>
      <c r="J6167" t="n">
        <v>0</v>
      </c>
      <c r="K6167" t="n">
        <v>0</v>
      </c>
      <c r="L6167" t="n">
        <v>0</v>
      </c>
      <c r="M6167" t="n">
        <v>0</v>
      </c>
      <c r="N6167" t="n">
        <v>0</v>
      </c>
      <c r="O6167" t="n">
        <v>0</v>
      </c>
      <c r="P6167" t="n">
        <v>0</v>
      </c>
      <c r="Q6167" t="n">
        <v>0</v>
      </c>
      <c r="R6167" s="2" t="inlineStr"/>
    </row>
    <row r="6168" ht="15" customHeight="1">
      <c r="A6168" t="inlineStr">
        <is>
          <t>A 47052-2024</t>
        </is>
      </c>
      <c r="B6168" s="1" t="n">
        <v>45586</v>
      </c>
      <c r="C6168" s="1" t="n">
        <v>45846</v>
      </c>
      <c r="D6168" t="inlineStr">
        <is>
          <t>UPPSALA LÄN</t>
        </is>
      </c>
      <c r="E6168" t="inlineStr">
        <is>
          <t>UPPSALA</t>
        </is>
      </c>
      <c r="F6168" t="inlineStr">
        <is>
          <t>Holmen skog AB</t>
        </is>
      </c>
      <c r="G6168" t="n">
        <v>5.2</v>
      </c>
      <c r="H6168" t="n">
        <v>0</v>
      </c>
      <c r="I6168" t="n">
        <v>0</v>
      </c>
      <c r="J6168" t="n">
        <v>0</v>
      </c>
      <c r="K6168" t="n">
        <v>0</v>
      </c>
      <c r="L6168" t="n">
        <v>0</v>
      </c>
      <c r="M6168" t="n">
        <v>0</v>
      </c>
      <c r="N6168" t="n">
        <v>0</v>
      </c>
      <c r="O6168" t="n">
        <v>0</v>
      </c>
      <c r="P6168" t="n">
        <v>0</v>
      </c>
      <c r="Q6168" t="n">
        <v>0</v>
      </c>
      <c r="R6168" s="2" t="inlineStr"/>
    </row>
    <row r="6169" ht="15" customHeight="1">
      <c r="A6169" t="inlineStr">
        <is>
          <t>A 47101-2024</t>
        </is>
      </c>
      <c r="B6169" s="1" t="n">
        <v>45586</v>
      </c>
      <c r="C6169" s="1" t="n">
        <v>45846</v>
      </c>
      <c r="D6169" t="inlineStr">
        <is>
          <t>UPPSALA LÄN</t>
        </is>
      </c>
      <c r="E6169" t="inlineStr">
        <is>
          <t>ENKÖPING</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47288-2024</t>
        </is>
      </c>
      <c r="B6170" s="1" t="n">
        <v>45587</v>
      </c>
      <c r="C6170" s="1" t="n">
        <v>45846</v>
      </c>
      <c r="D6170" t="inlineStr">
        <is>
          <t>UPPSALA LÄN</t>
        </is>
      </c>
      <c r="E6170" t="inlineStr">
        <is>
          <t>UPPSALA</t>
        </is>
      </c>
      <c r="F6170" t="inlineStr">
        <is>
          <t>Övriga Aktiebolag</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47382-2024</t>
        </is>
      </c>
      <c r="B6171" s="1" t="n">
        <v>45587</v>
      </c>
      <c r="C6171" s="1" t="n">
        <v>45846</v>
      </c>
      <c r="D6171" t="inlineStr">
        <is>
          <t>UPPSALA LÄN</t>
        </is>
      </c>
      <c r="E6171" t="inlineStr">
        <is>
          <t>ÖSTHAMMAR</t>
        </is>
      </c>
      <c r="G6171" t="n">
        <v>7.2</v>
      </c>
      <c r="H6171" t="n">
        <v>0</v>
      </c>
      <c r="I6171" t="n">
        <v>0</v>
      </c>
      <c r="J6171" t="n">
        <v>0</v>
      </c>
      <c r="K6171" t="n">
        <v>0</v>
      </c>
      <c r="L6171" t="n">
        <v>0</v>
      </c>
      <c r="M6171" t="n">
        <v>0</v>
      </c>
      <c r="N6171" t="n">
        <v>0</v>
      </c>
      <c r="O6171" t="n">
        <v>0</v>
      </c>
      <c r="P6171" t="n">
        <v>0</v>
      </c>
      <c r="Q6171" t="n">
        <v>0</v>
      </c>
      <c r="R6171" s="2" t="inlineStr"/>
    </row>
    <row r="6172" ht="15" customHeight="1">
      <c r="A6172" t="inlineStr">
        <is>
          <t>A 47505-2024</t>
        </is>
      </c>
      <c r="B6172" s="1" t="n">
        <v>45587</v>
      </c>
      <c r="C6172" s="1" t="n">
        <v>45846</v>
      </c>
      <c r="D6172" t="inlineStr">
        <is>
          <t>UPPSALA LÄN</t>
        </is>
      </c>
      <c r="E6172" t="inlineStr">
        <is>
          <t>TIERP</t>
        </is>
      </c>
      <c r="G6172" t="n">
        <v>0.4</v>
      </c>
      <c r="H6172" t="n">
        <v>0</v>
      </c>
      <c r="I6172" t="n">
        <v>0</v>
      </c>
      <c r="J6172" t="n">
        <v>0</v>
      </c>
      <c r="K6172" t="n">
        <v>0</v>
      </c>
      <c r="L6172" t="n">
        <v>0</v>
      </c>
      <c r="M6172" t="n">
        <v>0</v>
      </c>
      <c r="N6172" t="n">
        <v>0</v>
      </c>
      <c r="O6172" t="n">
        <v>0</v>
      </c>
      <c r="P6172" t="n">
        <v>0</v>
      </c>
      <c r="Q6172" t="n">
        <v>0</v>
      </c>
      <c r="R6172" s="2" t="inlineStr"/>
    </row>
    <row r="6173" ht="15" customHeight="1">
      <c r="A6173" t="inlineStr">
        <is>
          <t>A 47754-2024</t>
        </is>
      </c>
      <c r="B6173" s="1" t="n">
        <v>45588</v>
      </c>
      <c r="C6173" s="1" t="n">
        <v>45846</v>
      </c>
      <c r="D6173" t="inlineStr">
        <is>
          <t>UPPSALA LÄN</t>
        </is>
      </c>
      <c r="E6173" t="inlineStr">
        <is>
          <t>ÄLVKARLEBY</t>
        </is>
      </c>
      <c r="F6173" t="inlineStr">
        <is>
          <t>Bergvik skog väst AB</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47798-2024</t>
        </is>
      </c>
      <c r="B6174" s="1" t="n">
        <v>45588</v>
      </c>
      <c r="C6174" s="1" t="n">
        <v>45846</v>
      </c>
      <c r="D6174" t="inlineStr">
        <is>
          <t>UPPSALA LÄN</t>
        </is>
      </c>
      <c r="E6174" t="inlineStr">
        <is>
          <t>ÄLVKARLEBY</t>
        </is>
      </c>
      <c r="F6174" t="inlineStr">
        <is>
          <t>Bergvik skog väst AB</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47681-2024</t>
        </is>
      </c>
      <c r="B6175" s="1" t="n">
        <v>45588</v>
      </c>
      <c r="C6175" s="1" t="n">
        <v>45846</v>
      </c>
      <c r="D6175" t="inlineStr">
        <is>
          <t>UPPSALA LÄN</t>
        </is>
      </c>
      <c r="E6175" t="inlineStr">
        <is>
          <t>ENKÖPING</t>
        </is>
      </c>
      <c r="G6175" t="n">
        <v>4.2</v>
      </c>
      <c r="H6175" t="n">
        <v>0</v>
      </c>
      <c r="I6175" t="n">
        <v>0</v>
      </c>
      <c r="J6175" t="n">
        <v>0</v>
      </c>
      <c r="K6175" t="n">
        <v>0</v>
      </c>
      <c r="L6175" t="n">
        <v>0</v>
      </c>
      <c r="M6175" t="n">
        <v>0</v>
      </c>
      <c r="N6175" t="n">
        <v>0</v>
      </c>
      <c r="O6175" t="n">
        <v>0</v>
      </c>
      <c r="P6175" t="n">
        <v>0</v>
      </c>
      <c r="Q6175" t="n">
        <v>0</v>
      </c>
      <c r="R6175" s="2" t="inlineStr"/>
    </row>
    <row r="6176" ht="15" customHeight="1">
      <c r="A6176" t="inlineStr">
        <is>
          <t>A 47799-2024</t>
        </is>
      </c>
      <c r="B6176" s="1" t="n">
        <v>45588</v>
      </c>
      <c r="C6176" s="1" t="n">
        <v>45846</v>
      </c>
      <c r="D6176" t="inlineStr">
        <is>
          <t>UPPSALA LÄN</t>
        </is>
      </c>
      <c r="E6176" t="inlineStr">
        <is>
          <t>ÄLVKARLEBY</t>
        </is>
      </c>
      <c r="F6176" t="inlineStr">
        <is>
          <t>Bergvik skog väst AB</t>
        </is>
      </c>
      <c r="G6176" t="n">
        <v>5.9</v>
      </c>
      <c r="H6176" t="n">
        <v>0</v>
      </c>
      <c r="I6176" t="n">
        <v>0</v>
      </c>
      <c r="J6176" t="n">
        <v>0</v>
      </c>
      <c r="K6176" t="n">
        <v>0</v>
      </c>
      <c r="L6176" t="n">
        <v>0</v>
      </c>
      <c r="M6176" t="n">
        <v>0</v>
      </c>
      <c r="N6176" t="n">
        <v>0</v>
      </c>
      <c r="O6176" t="n">
        <v>0</v>
      </c>
      <c r="P6176" t="n">
        <v>0</v>
      </c>
      <c r="Q6176" t="n">
        <v>0</v>
      </c>
      <c r="R6176" s="2" t="inlineStr"/>
    </row>
    <row r="6177" ht="15" customHeight="1">
      <c r="A6177" t="inlineStr">
        <is>
          <t>A 47796-2024</t>
        </is>
      </c>
      <c r="B6177" s="1" t="n">
        <v>45588</v>
      </c>
      <c r="C6177" s="1" t="n">
        <v>45846</v>
      </c>
      <c r="D6177" t="inlineStr">
        <is>
          <t>UPPSALA LÄN</t>
        </is>
      </c>
      <c r="E6177" t="inlineStr">
        <is>
          <t>ÄLVKARLEBY</t>
        </is>
      </c>
      <c r="F6177" t="inlineStr">
        <is>
          <t>Bergvik skog väst AB</t>
        </is>
      </c>
      <c r="G6177" t="n">
        <v>4.1</v>
      </c>
      <c r="H6177" t="n">
        <v>0</v>
      </c>
      <c r="I6177" t="n">
        <v>0</v>
      </c>
      <c r="J6177" t="n">
        <v>0</v>
      </c>
      <c r="K6177" t="n">
        <v>0</v>
      </c>
      <c r="L6177" t="n">
        <v>0</v>
      </c>
      <c r="M6177" t="n">
        <v>0</v>
      </c>
      <c r="N6177" t="n">
        <v>0</v>
      </c>
      <c r="O6177" t="n">
        <v>0</v>
      </c>
      <c r="P6177" t="n">
        <v>0</v>
      </c>
      <c r="Q6177" t="n">
        <v>0</v>
      </c>
      <c r="R6177" s="2" t="inlineStr"/>
    </row>
    <row r="6178" ht="15" customHeight="1">
      <c r="A6178" t="inlineStr">
        <is>
          <t>A 48066-2024</t>
        </is>
      </c>
      <c r="B6178" s="1" t="n">
        <v>45589</v>
      </c>
      <c r="C6178" s="1" t="n">
        <v>45846</v>
      </c>
      <c r="D6178" t="inlineStr">
        <is>
          <t>UPPSALA LÄN</t>
        </is>
      </c>
      <c r="E6178" t="inlineStr">
        <is>
          <t>HEBY</t>
        </is>
      </c>
      <c r="F6178" t="inlineStr">
        <is>
          <t>Allmännings- och besparingsskogar</t>
        </is>
      </c>
      <c r="G6178" t="n">
        <v>11.9</v>
      </c>
      <c r="H6178" t="n">
        <v>0</v>
      </c>
      <c r="I6178" t="n">
        <v>0</v>
      </c>
      <c r="J6178" t="n">
        <v>0</v>
      </c>
      <c r="K6178" t="n">
        <v>0</v>
      </c>
      <c r="L6178" t="n">
        <v>0</v>
      </c>
      <c r="M6178" t="n">
        <v>0</v>
      </c>
      <c r="N6178" t="n">
        <v>0</v>
      </c>
      <c r="O6178" t="n">
        <v>0</v>
      </c>
      <c r="P6178" t="n">
        <v>0</v>
      </c>
      <c r="Q6178" t="n">
        <v>0</v>
      </c>
      <c r="R6178" s="2" t="inlineStr"/>
    </row>
    <row r="6179" ht="15" customHeight="1">
      <c r="A6179" t="inlineStr">
        <is>
          <t>A 48070-2024</t>
        </is>
      </c>
      <c r="B6179" s="1" t="n">
        <v>45589</v>
      </c>
      <c r="C6179" s="1" t="n">
        <v>45846</v>
      </c>
      <c r="D6179" t="inlineStr">
        <is>
          <t>UPPSALA LÄN</t>
        </is>
      </c>
      <c r="E6179" t="inlineStr">
        <is>
          <t>KNIVSTA</t>
        </is>
      </c>
      <c r="G6179" t="n">
        <v>8.699999999999999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48090-2024</t>
        </is>
      </c>
      <c r="B6180" s="1" t="n">
        <v>45589</v>
      </c>
      <c r="C6180" s="1" t="n">
        <v>45846</v>
      </c>
      <c r="D6180" t="inlineStr">
        <is>
          <t>UPPSALA LÄN</t>
        </is>
      </c>
      <c r="E6180" t="inlineStr">
        <is>
          <t>TIERP</t>
        </is>
      </c>
      <c r="F6180" t="inlineStr">
        <is>
          <t>Bergvik skog väst AB</t>
        </is>
      </c>
      <c r="G6180" t="n">
        <v>25.5</v>
      </c>
      <c r="H6180" t="n">
        <v>0</v>
      </c>
      <c r="I6180" t="n">
        <v>0</v>
      </c>
      <c r="J6180" t="n">
        <v>0</v>
      </c>
      <c r="K6180" t="n">
        <v>0</v>
      </c>
      <c r="L6180" t="n">
        <v>0</v>
      </c>
      <c r="M6180" t="n">
        <v>0</v>
      </c>
      <c r="N6180" t="n">
        <v>0</v>
      </c>
      <c r="O6180" t="n">
        <v>0</v>
      </c>
      <c r="P6180" t="n">
        <v>0</v>
      </c>
      <c r="Q6180" t="n">
        <v>0</v>
      </c>
      <c r="R6180" s="2" t="inlineStr"/>
    </row>
    <row r="6181" ht="15" customHeight="1">
      <c r="A6181" t="inlineStr">
        <is>
          <t>A 48154-2024</t>
        </is>
      </c>
      <c r="B6181" s="1" t="n">
        <v>45589</v>
      </c>
      <c r="C6181" s="1" t="n">
        <v>45846</v>
      </c>
      <c r="D6181" t="inlineStr">
        <is>
          <t>UPPSALA LÄN</t>
        </is>
      </c>
      <c r="E6181" t="inlineStr">
        <is>
          <t>UPPSALA</t>
        </is>
      </c>
      <c r="G6181" t="n">
        <v>5.1</v>
      </c>
      <c r="H6181" t="n">
        <v>0</v>
      </c>
      <c r="I6181" t="n">
        <v>0</v>
      </c>
      <c r="J6181" t="n">
        <v>0</v>
      </c>
      <c r="K6181" t="n">
        <v>0</v>
      </c>
      <c r="L6181" t="n">
        <v>0</v>
      </c>
      <c r="M6181" t="n">
        <v>0</v>
      </c>
      <c r="N6181" t="n">
        <v>0</v>
      </c>
      <c r="O6181" t="n">
        <v>0</v>
      </c>
      <c r="P6181" t="n">
        <v>0</v>
      </c>
      <c r="Q6181" t="n">
        <v>0</v>
      </c>
      <c r="R6181" s="2" t="inlineStr"/>
    </row>
    <row r="6182" ht="15" customHeight="1">
      <c r="A6182" t="inlineStr">
        <is>
          <t>A 48153-2024</t>
        </is>
      </c>
      <c r="B6182" s="1" t="n">
        <v>45589</v>
      </c>
      <c r="C6182" s="1" t="n">
        <v>45846</v>
      </c>
      <c r="D6182" t="inlineStr">
        <is>
          <t>UPPSALA LÄN</t>
        </is>
      </c>
      <c r="E6182" t="inlineStr">
        <is>
          <t>UPPSALA</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48139-2024</t>
        </is>
      </c>
      <c r="B6183" s="1" t="n">
        <v>45589</v>
      </c>
      <c r="C6183" s="1" t="n">
        <v>45846</v>
      </c>
      <c r="D6183" t="inlineStr">
        <is>
          <t>UPPSALA LÄN</t>
        </is>
      </c>
      <c r="E6183" t="inlineStr">
        <is>
          <t>TIERP</t>
        </is>
      </c>
      <c r="F6183" t="inlineStr">
        <is>
          <t>Bergvik skog öst AB</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48039-2024</t>
        </is>
      </c>
      <c r="B6184" s="1" t="n">
        <v>45589</v>
      </c>
      <c r="C6184" s="1" t="n">
        <v>45846</v>
      </c>
      <c r="D6184" t="inlineStr">
        <is>
          <t>UPPSALA LÄN</t>
        </is>
      </c>
      <c r="E6184" t="inlineStr">
        <is>
          <t>HEBY</t>
        </is>
      </c>
      <c r="G6184" t="n">
        <v>10.1</v>
      </c>
      <c r="H6184" t="n">
        <v>0</v>
      </c>
      <c r="I6184" t="n">
        <v>0</v>
      </c>
      <c r="J6184" t="n">
        <v>0</v>
      </c>
      <c r="K6184" t="n">
        <v>0</v>
      </c>
      <c r="L6184" t="n">
        <v>0</v>
      </c>
      <c r="M6184" t="n">
        <v>0</v>
      </c>
      <c r="N6184" t="n">
        <v>0</v>
      </c>
      <c r="O6184" t="n">
        <v>0</v>
      </c>
      <c r="P6184" t="n">
        <v>0</v>
      </c>
      <c r="Q6184" t="n">
        <v>0</v>
      </c>
      <c r="R6184" s="2" t="inlineStr"/>
    </row>
    <row r="6185" ht="15" customHeight="1">
      <c r="A6185" t="inlineStr">
        <is>
          <t>A 48083-2024</t>
        </is>
      </c>
      <c r="B6185" s="1" t="n">
        <v>45589</v>
      </c>
      <c r="C6185" s="1" t="n">
        <v>45846</v>
      </c>
      <c r="D6185" t="inlineStr">
        <is>
          <t>UPPSALA LÄN</t>
        </is>
      </c>
      <c r="E6185" t="inlineStr">
        <is>
          <t>ÖSTHAMMAR</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48060-2024</t>
        </is>
      </c>
      <c r="B6186" s="1" t="n">
        <v>45589</v>
      </c>
      <c r="C6186" s="1" t="n">
        <v>45846</v>
      </c>
      <c r="D6186" t="inlineStr">
        <is>
          <t>UPPSALA LÄN</t>
        </is>
      </c>
      <c r="E6186" t="inlineStr">
        <is>
          <t>ENKÖPING</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48073-2024</t>
        </is>
      </c>
      <c r="B6187" s="1" t="n">
        <v>45589</v>
      </c>
      <c r="C6187" s="1" t="n">
        <v>45846</v>
      </c>
      <c r="D6187" t="inlineStr">
        <is>
          <t>UPPSALA LÄN</t>
        </is>
      </c>
      <c r="E6187" t="inlineStr">
        <is>
          <t>UPPSALA</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47909-2024</t>
        </is>
      </c>
      <c r="B6188" s="1" t="n">
        <v>45589</v>
      </c>
      <c r="C6188" s="1" t="n">
        <v>45846</v>
      </c>
      <c r="D6188" t="inlineStr">
        <is>
          <t>UPPSALA LÄN</t>
        </is>
      </c>
      <c r="E6188" t="inlineStr">
        <is>
          <t>ENKÖPING</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48029-2024</t>
        </is>
      </c>
      <c r="B6189" s="1" t="n">
        <v>45589</v>
      </c>
      <c r="C6189" s="1" t="n">
        <v>45846</v>
      </c>
      <c r="D6189" t="inlineStr">
        <is>
          <t>UPPSALA LÄN</t>
        </is>
      </c>
      <c r="E6189" t="inlineStr">
        <is>
          <t>HEBY</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48152-2024</t>
        </is>
      </c>
      <c r="B6190" s="1" t="n">
        <v>45589</v>
      </c>
      <c r="C6190" s="1" t="n">
        <v>45846</v>
      </c>
      <c r="D6190" t="inlineStr">
        <is>
          <t>UPPSALA LÄN</t>
        </is>
      </c>
      <c r="E6190" t="inlineStr">
        <is>
          <t>TIERP</t>
        </is>
      </c>
      <c r="F6190" t="inlineStr">
        <is>
          <t>Bergvik skog öst AB</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48430-2024</t>
        </is>
      </c>
      <c r="B6191" s="1" t="n">
        <v>45590</v>
      </c>
      <c r="C6191" s="1" t="n">
        <v>45846</v>
      </c>
      <c r="D6191" t="inlineStr">
        <is>
          <t>UPPSALA LÄN</t>
        </is>
      </c>
      <c r="E6191" t="inlineStr">
        <is>
          <t>HEBY</t>
        </is>
      </c>
      <c r="F6191" t="inlineStr">
        <is>
          <t>Bergvik skog väst AB</t>
        </is>
      </c>
      <c r="G6191" t="n">
        <v>12.1</v>
      </c>
      <c r="H6191" t="n">
        <v>0</v>
      </c>
      <c r="I6191" t="n">
        <v>0</v>
      </c>
      <c r="J6191" t="n">
        <v>0</v>
      </c>
      <c r="K6191" t="n">
        <v>0</v>
      </c>
      <c r="L6191" t="n">
        <v>0</v>
      </c>
      <c r="M6191" t="n">
        <v>0</v>
      </c>
      <c r="N6191" t="n">
        <v>0</v>
      </c>
      <c r="O6191" t="n">
        <v>0</v>
      </c>
      <c r="P6191" t="n">
        <v>0</v>
      </c>
      <c r="Q6191" t="n">
        <v>0</v>
      </c>
      <c r="R6191" s="2" t="inlineStr"/>
    </row>
    <row r="6192" ht="15" customHeight="1">
      <c r="A6192" t="inlineStr">
        <is>
          <t>A 48450-2024</t>
        </is>
      </c>
      <c r="B6192" s="1" t="n">
        <v>45590</v>
      </c>
      <c r="C6192" s="1" t="n">
        <v>45846</v>
      </c>
      <c r="D6192" t="inlineStr">
        <is>
          <t>UPPSALA LÄN</t>
        </is>
      </c>
      <c r="E6192" t="inlineStr">
        <is>
          <t>ENKÖPING</t>
        </is>
      </c>
      <c r="F6192" t="inlineStr">
        <is>
          <t>Allmännings- och besparingsskogar</t>
        </is>
      </c>
      <c r="G6192" t="n">
        <v>7.8</v>
      </c>
      <c r="H6192" t="n">
        <v>0</v>
      </c>
      <c r="I6192" t="n">
        <v>0</v>
      </c>
      <c r="J6192" t="n">
        <v>0</v>
      </c>
      <c r="K6192" t="n">
        <v>0</v>
      </c>
      <c r="L6192" t="n">
        <v>0</v>
      </c>
      <c r="M6192" t="n">
        <v>0</v>
      </c>
      <c r="N6192" t="n">
        <v>0</v>
      </c>
      <c r="O6192" t="n">
        <v>0</v>
      </c>
      <c r="P6192" t="n">
        <v>0</v>
      </c>
      <c r="Q6192" t="n">
        <v>0</v>
      </c>
      <c r="R6192" s="2" t="inlineStr"/>
    </row>
    <row r="6193" ht="15" customHeight="1">
      <c r="A6193" t="inlineStr">
        <is>
          <t>A 48447-2024</t>
        </is>
      </c>
      <c r="B6193" s="1" t="n">
        <v>45590</v>
      </c>
      <c r="C6193" s="1" t="n">
        <v>45846</v>
      </c>
      <c r="D6193" t="inlineStr">
        <is>
          <t>UPPSALA LÄN</t>
        </is>
      </c>
      <c r="E6193" t="inlineStr">
        <is>
          <t>ENKÖPING</t>
        </is>
      </c>
      <c r="F6193" t="inlineStr">
        <is>
          <t>Allmännings- och besparingsskogar</t>
        </is>
      </c>
      <c r="G6193" t="n">
        <v>3.7</v>
      </c>
      <c r="H6193" t="n">
        <v>0</v>
      </c>
      <c r="I6193" t="n">
        <v>0</v>
      </c>
      <c r="J6193" t="n">
        <v>0</v>
      </c>
      <c r="K6193" t="n">
        <v>0</v>
      </c>
      <c r="L6193" t="n">
        <v>0</v>
      </c>
      <c r="M6193" t="n">
        <v>0</v>
      </c>
      <c r="N6193" t="n">
        <v>0</v>
      </c>
      <c r="O6193" t="n">
        <v>0</v>
      </c>
      <c r="P6193" t="n">
        <v>0</v>
      </c>
      <c r="Q6193" t="n">
        <v>0</v>
      </c>
      <c r="R6193" s="2" t="inlineStr"/>
    </row>
    <row r="6194" ht="15" customHeight="1">
      <c r="A6194" t="inlineStr">
        <is>
          <t>A 48566-2024</t>
        </is>
      </c>
      <c r="B6194" s="1" t="n">
        <v>45593</v>
      </c>
      <c r="C6194" s="1" t="n">
        <v>45846</v>
      </c>
      <c r="D6194" t="inlineStr">
        <is>
          <t>UPPSALA LÄN</t>
        </is>
      </c>
      <c r="E6194" t="inlineStr">
        <is>
          <t>TIERP</t>
        </is>
      </c>
      <c r="G6194" t="n">
        <v>7.7</v>
      </c>
      <c r="H6194" t="n">
        <v>0</v>
      </c>
      <c r="I6194" t="n">
        <v>0</v>
      </c>
      <c r="J6194" t="n">
        <v>0</v>
      </c>
      <c r="K6194" t="n">
        <v>0</v>
      </c>
      <c r="L6194" t="n">
        <v>0</v>
      </c>
      <c r="M6194" t="n">
        <v>0</v>
      </c>
      <c r="N6194" t="n">
        <v>0</v>
      </c>
      <c r="O6194" t="n">
        <v>0</v>
      </c>
      <c r="P6194" t="n">
        <v>0</v>
      </c>
      <c r="Q6194" t="n">
        <v>0</v>
      </c>
      <c r="R6194" s="2" t="inlineStr"/>
    </row>
    <row r="6195" ht="15" customHeight="1">
      <c r="A6195" t="inlineStr">
        <is>
          <t>A 48576-2024</t>
        </is>
      </c>
      <c r="B6195" s="1" t="n">
        <v>45593</v>
      </c>
      <c r="C6195" s="1" t="n">
        <v>45846</v>
      </c>
      <c r="D6195" t="inlineStr">
        <is>
          <t>UPPSALA LÄN</t>
        </is>
      </c>
      <c r="E6195" t="inlineStr">
        <is>
          <t>TIERP</t>
        </is>
      </c>
      <c r="F6195" t="inlineStr">
        <is>
          <t>Övriga Aktiebolag</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48759-2024</t>
        </is>
      </c>
      <c r="B6196" s="1" t="n">
        <v>45593</v>
      </c>
      <c r="C6196" s="1" t="n">
        <v>45846</v>
      </c>
      <c r="D6196" t="inlineStr">
        <is>
          <t>UPPSALA LÄN</t>
        </is>
      </c>
      <c r="E6196" t="inlineStr">
        <is>
          <t>ÖSTHAMMAR</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48856-2024</t>
        </is>
      </c>
      <c r="B6197" s="1" t="n">
        <v>45593</v>
      </c>
      <c r="C6197" s="1" t="n">
        <v>45846</v>
      </c>
      <c r="D6197" t="inlineStr">
        <is>
          <t>UPPSALA LÄN</t>
        </is>
      </c>
      <c r="E6197" t="inlineStr">
        <is>
          <t>ÖSTHAMMAR</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48862-2024</t>
        </is>
      </c>
      <c r="B6198" s="1" t="n">
        <v>45593</v>
      </c>
      <c r="C6198" s="1" t="n">
        <v>45846</v>
      </c>
      <c r="D6198" t="inlineStr">
        <is>
          <t>UPPSALA LÄN</t>
        </is>
      </c>
      <c r="E6198" t="inlineStr">
        <is>
          <t>TIERP</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49158-2024</t>
        </is>
      </c>
      <c r="B6199" s="1" t="n">
        <v>45594</v>
      </c>
      <c r="C6199" s="1" t="n">
        <v>45846</v>
      </c>
      <c r="D6199" t="inlineStr">
        <is>
          <t>UPPSALA LÄN</t>
        </is>
      </c>
      <c r="E6199" t="inlineStr">
        <is>
          <t>UPPSALA</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49166-2024</t>
        </is>
      </c>
      <c r="B6200" s="1" t="n">
        <v>45594</v>
      </c>
      <c r="C6200" s="1" t="n">
        <v>45846</v>
      </c>
      <c r="D6200" t="inlineStr">
        <is>
          <t>UPPSALA LÄN</t>
        </is>
      </c>
      <c r="E6200" t="inlineStr">
        <is>
          <t>HEBY</t>
        </is>
      </c>
      <c r="G6200" t="n">
        <v>6.4</v>
      </c>
      <c r="H6200" t="n">
        <v>0</v>
      </c>
      <c r="I6200" t="n">
        <v>0</v>
      </c>
      <c r="J6200" t="n">
        <v>0</v>
      </c>
      <c r="K6200" t="n">
        <v>0</v>
      </c>
      <c r="L6200" t="n">
        <v>0</v>
      </c>
      <c r="M6200" t="n">
        <v>0</v>
      </c>
      <c r="N6200" t="n">
        <v>0</v>
      </c>
      <c r="O6200" t="n">
        <v>0</v>
      </c>
      <c r="P6200" t="n">
        <v>0</v>
      </c>
      <c r="Q6200" t="n">
        <v>0</v>
      </c>
      <c r="R6200" s="2" t="inlineStr"/>
    </row>
    <row r="6201" ht="15" customHeight="1">
      <c r="A6201" t="inlineStr">
        <is>
          <t>A 49012-2024</t>
        </is>
      </c>
      <c r="B6201" s="1" t="n">
        <v>45594</v>
      </c>
      <c r="C6201" s="1" t="n">
        <v>45846</v>
      </c>
      <c r="D6201" t="inlineStr">
        <is>
          <t>UPPSALA LÄN</t>
        </is>
      </c>
      <c r="E6201" t="inlineStr">
        <is>
          <t>UPPSALA</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49050-2024</t>
        </is>
      </c>
      <c r="B6202" s="1" t="n">
        <v>45594</v>
      </c>
      <c r="C6202" s="1" t="n">
        <v>45846</v>
      </c>
      <c r="D6202" t="inlineStr">
        <is>
          <t>UPPSALA LÄN</t>
        </is>
      </c>
      <c r="E6202" t="inlineStr">
        <is>
          <t>UPPSALA</t>
        </is>
      </c>
      <c r="F6202" t="inlineStr">
        <is>
          <t>Övriga statliga verk och myndigheter</t>
        </is>
      </c>
      <c r="G6202" t="n">
        <v>3.9</v>
      </c>
      <c r="H6202" t="n">
        <v>0</v>
      </c>
      <c r="I6202" t="n">
        <v>0</v>
      </c>
      <c r="J6202" t="n">
        <v>0</v>
      </c>
      <c r="K6202" t="n">
        <v>0</v>
      </c>
      <c r="L6202" t="n">
        <v>0</v>
      </c>
      <c r="M6202" t="n">
        <v>0</v>
      </c>
      <c r="N6202" t="n">
        <v>0</v>
      </c>
      <c r="O6202" t="n">
        <v>0</v>
      </c>
      <c r="P6202" t="n">
        <v>0</v>
      </c>
      <c r="Q6202" t="n">
        <v>0</v>
      </c>
      <c r="R6202" s="2" t="inlineStr"/>
    </row>
    <row r="6203" ht="15" customHeight="1">
      <c r="A6203" t="inlineStr">
        <is>
          <t>A 49063-2024</t>
        </is>
      </c>
      <c r="B6203" s="1" t="n">
        <v>45594</v>
      </c>
      <c r="C6203" s="1" t="n">
        <v>45846</v>
      </c>
      <c r="D6203" t="inlineStr">
        <is>
          <t>UPPSALA LÄN</t>
        </is>
      </c>
      <c r="E6203" t="inlineStr">
        <is>
          <t>ENKÖPING</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49111-2024</t>
        </is>
      </c>
      <c r="B6204" s="1" t="n">
        <v>45594</v>
      </c>
      <c r="C6204" s="1" t="n">
        <v>45846</v>
      </c>
      <c r="D6204" t="inlineStr">
        <is>
          <t>UPPSALA LÄN</t>
        </is>
      </c>
      <c r="E6204" t="inlineStr">
        <is>
          <t>TIERP</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49231-2024</t>
        </is>
      </c>
      <c r="B6205" s="1" t="n">
        <v>45595</v>
      </c>
      <c r="C6205" s="1" t="n">
        <v>45846</v>
      </c>
      <c r="D6205" t="inlineStr">
        <is>
          <t>UPPSALA LÄN</t>
        </is>
      </c>
      <c r="E6205" t="inlineStr">
        <is>
          <t>TIERP</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49355-2024</t>
        </is>
      </c>
      <c r="B6206" s="1" t="n">
        <v>45595</v>
      </c>
      <c r="C6206" s="1" t="n">
        <v>45846</v>
      </c>
      <c r="D6206" t="inlineStr">
        <is>
          <t>UPPSALA LÄN</t>
        </is>
      </c>
      <c r="E6206" t="inlineStr">
        <is>
          <t>TIERP</t>
        </is>
      </c>
      <c r="F6206" t="inlineStr">
        <is>
          <t>Bergvik skog öst AB</t>
        </is>
      </c>
      <c r="G6206" t="n">
        <v>3.6</v>
      </c>
      <c r="H6206" t="n">
        <v>0</v>
      </c>
      <c r="I6206" t="n">
        <v>0</v>
      </c>
      <c r="J6206" t="n">
        <v>0</v>
      </c>
      <c r="K6206" t="n">
        <v>0</v>
      </c>
      <c r="L6206" t="n">
        <v>0</v>
      </c>
      <c r="M6206" t="n">
        <v>0</v>
      </c>
      <c r="N6206" t="n">
        <v>0</v>
      </c>
      <c r="O6206" t="n">
        <v>0</v>
      </c>
      <c r="P6206" t="n">
        <v>0</v>
      </c>
      <c r="Q6206" t="n">
        <v>0</v>
      </c>
      <c r="R6206" s="2" t="inlineStr"/>
    </row>
    <row r="6207" ht="15" customHeight="1">
      <c r="A6207" t="inlineStr">
        <is>
          <t>A 49340-2024</t>
        </is>
      </c>
      <c r="B6207" s="1" t="n">
        <v>45595</v>
      </c>
      <c r="C6207" s="1" t="n">
        <v>45846</v>
      </c>
      <c r="D6207" t="inlineStr">
        <is>
          <t>UPPSALA LÄN</t>
        </is>
      </c>
      <c r="E6207" t="inlineStr">
        <is>
          <t>ENKÖPING</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49445-2024</t>
        </is>
      </c>
      <c r="B6208" s="1" t="n">
        <v>45595</v>
      </c>
      <c r="C6208" s="1" t="n">
        <v>45846</v>
      </c>
      <c r="D6208" t="inlineStr">
        <is>
          <t>UPPSALA LÄN</t>
        </is>
      </c>
      <c r="E6208" t="inlineStr">
        <is>
          <t>HEBY</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49180-2024</t>
        </is>
      </c>
      <c r="B6209" s="1" t="n">
        <v>45595</v>
      </c>
      <c r="C6209" s="1" t="n">
        <v>45846</v>
      </c>
      <c r="D6209" t="inlineStr">
        <is>
          <t>UPPSALA LÄN</t>
        </is>
      </c>
      <c r="E6209" t="inlineStr">
        <is>
          <t>UPPSALA</t>
        </is>
      </c>
      <c r="G6209" t="n">
        <v>6</v>
      </c>
      <c r="H6209" t="n">
        <v>0</v>
      </c>
      <c r="I6209" t="n">
        <v>0</v>
      </c>
      <c r="J6209" t="n">
        <v>0</v>
      </c>
      <c r="K6209" t="n">
        <v>0</v>
      </c>
      <c r="L6209" t="n">
        <v>0</v>
      </c>
      <c r="M6209" t="n">
        <v>0</v>
      </c>
      <c r="N6209" t="n">
        <v>0</v>
      </c>
      <c r="O6209" t="n">
        <v>0</v>
      </c>
      <c r="P6209" t="n">
        <v>0</v>
      </c>
      <c r="Q6209" t="n">
        <v>0</v>
      </c>
      <c r="R6209" s="2" t="inlineStr"/>
    </row>
    <row r="6210" ht="15" customHeight="1">
      <c r="A6210" t="inlineStr">
        <is>
          <t>A 49662-2024</t>
        </is>
      </c>
      <c r="B6210" s="1" t="n">
        <v>45596</v>
      </c>
      <c r="C6210" s="1" t="n">
        <v>45846</v>
      </c>
      <c r="D6210" t="inlineStr">
        <is>
          <t>UPPSALA LÄN</t>
        </is>
      </c>
      <c r="E6210" t="inlineStr">
        <is>
          <t>KNIVSTA</t>
        </is>
      </c>
      <c r="G6210" t="n">
        <v>7.7</v>
      </c>
      <c r="H6210" t="n">
        <v>0</v>
      </c>
      <c r="I6210" t="n">
        <v>0</v>
      </c>
      <c r="J6210" t="n">
        <v>0</v>
      </c>
      <c r="K6210" t="n">
        <v>0</v>
      </c>
      <c r="L6210" t="n">
        <v>0</v>
      </c>
      <c r="M6210" t="n">
        <v>0</v>
      </c>
      <c r="N6210" t="n">
        <v>0</v>
      </c>
      <c r="O6210" t="n">
        <v>0</v>
      </c>
      <c r="P6210" t="n">
        <v>0</v>
      </c>
      <c r="Q6210" t="n">
        <v>0</v>
      </c>
      <c r="R6210" s="2" t="inlineStr"/>
    </row>
    <row r="6211" ht="15" customHeight="1">
      <c r="A6211" t="inlineStr">
        <is>
          <t>A 49586-2024</t>
        </is>
      </c>
      <c r="B6211" s="1" t="n">
        <v>45596</v>
      </c>
      <c r="C6211" s="1" t="n">
        <v>45846</v>
      </c>
      <c r="D6211" t="inlineStr">
        <is>
          <t>UPPSALA LÄN</t>
        </is>
      </c>
      <c r="E6211" t="inlineStr">
        <is>
          <t>TIERP</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49601-2024</t>
        </is>
      </c>
      <c r="B6212" s="1" t="n">
        <v>45596</v>
      </c>
      <c r="C6212" s="1" t="n">
        <v>45846</v>
      </c>
      <c r="D6212" t="inlineStr">
        <is>
          <t>UPPSALA LÄN</t>
        </is>
      </c>
      <c r="E6212" t="inlineStr">
        <is>
          <t>ENKÖPING</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49614-2024</t>
        </is>
      </c>
      <c r="B6213" s="1" t="n">
        <v>45596</v>
      </c>
      <c r="C6213" s="1" t="n">
        <v>45846</v>
      </c>
      <c r="D6213" t="inlineStr">
        <is>
          <t>UPPSALA LÄN</t>
        </is>
      </c>
      <c r="E6213" t="inlineStr">
        <is>
          <t>ENKÖPING</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49623-2024</t>
        </is>
      </c>
      <c r="B6214" s="1" t="n">
        <v>45596</v>
      </c>
      <c r="C6214" s="1" t="n">
        <v>45846</v>
      </c>
      <c r="D6214" t="inlineStr">
        <is>
          <t>UPPSALA LÄN</t>
        </is>
      </c>
      <c r="E6214" t="inlineStr">
        <is>
          <t>ENKÖPING</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49627-2024</t>
        </is>
      </c>
      <c r="B6215" s="1" t="n">
        <v>45596</v>
      </c>
      <c r="C6215" s="1" t="n">
        <v>45846</v>
      </c>
      <c r="D6215" t="inlineStr">
        <is>
          <t>UPPSALA LÄN</t>
        </is>
      </c>
      <c r="E6215" t="inlineStr">
        <is>
          <t>ENKÖPING</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49628-2024</t>
        </is>
      </c>
      <c r="B6216" s="1" t="n">
        <v>45596</v>
      </c>
      <c r="C6216" s="1" t="n">
        <v>45846</v>
      </c>
      <c r="D6216" t="inlineStr">
        <is>
          <t>UPPSALA LÄN</t>
        </is>
      </c>
      <c r="E6216" t="inlineStr">
        <is>
          <t>ÄLVKARLEBY</t>
        </is>
      </c>
      <c r="F6216" t="inlineStr">
        <is>
          <t>Bergvik skog väst AB</t>
        </is>
      </c>
      <c r="G6216" t="n">
        <v>18.2</v>
      </c>
      <c r="H6216" t="n">
        <v>0</v>
      </c>
      <c r="I6216" t="n">
        <v>0</v>
      </c>
      <c r="J6216" t="n">
        <v>0</v>
      </c>
      <c r="K6216" t="n">
        <v>0</v>
      </c>
      <c r="L6216" t="n">
        <v>0</v>
      </c>
      <c r="M6216" t="n">
        <v>0</v>
      </c>
      <c r="N6216" t="n">
        <v>0</v>
      </c>
      <c r="O6216" t="n">
        <v>0</v>
      </c>
      <c r="P6216" t="n">
        <v>0</v>
      </c>
      <c r="Q6216" t="n">
        <v>0</v>
      </c>
      <c r="R6216" s="2" t="inlineStr"/>
    </row>
    <row r="6217" ht="15" customHeight="1">
      <c r="A6217" t="inlineStr">
        <is>
          <t>A 49632-2024</t>
        </is>
      </c>
      <c r="B6217" s="1" t="n">
        <v>45596</v>
      </c>
      <c r="C6217" s="1" t="n">
        <v>45846</v>
      </c>
      <c r="D6217" t="inlineStr">
        <is>
          <t>UPPSALA LÄN</t>
        </is>
      </c>
      <c r="E6217" t="inlineStr">
        <is>
          <t>ENKÖPING</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49536-2024</t>
        </is>
      </c>
      <c r="B6218" s="1" t="n">
        <v>45596</v>
      </c>
      <c r="C6218" s="1" t="n">
        <v>45846</v>
      </c>
      <c r="D6218" t="inlineStr">
        <is>
          <t>UPPSALA LÄN</t>
        </is>
      </c>
      <c r="E6218" t="inlineStr">
        <is>
          <t>HEBY</t>
        </is>
      </c>
      <c r="G6218" t="n">
        <v>5.3</v>
      </c>
      <c r="H6218" t="n">
        <v>0</v>
      </c>
      <c r="I6218" t="n">
        <v>0</v>
      </c>
      <c r="J6218" t="n">
        <v>0</v>
      </c>
      <c r="K6218" t="n">
        <v>0</v>
      </c>
      <c r="L6218" t="n">
        <v>0</v>
      </c>
      <c r="M6218" t="n">
        <v>0</v>
      </c>
      <c r="N6218" t="n">
        <v>0</v>
      </c>
      <c r="O6218" t="n">
        <v>0</v>
      </c>
      <c r="P6218" t="n">
        <v>0</v>
      </c>
      <c r="Q6218" t="n">
        <v>0</v>
      </c>
      <c r="R6218" s="2" t="inlineStr"/>
    </row>
    <row r="6219" ht="15" customHeight="1">
      <c r="A6219" t="inlineStr">
        <is>
          <t>A 49597-2024</t>
        </is>
      </c>
      <c r="B6219" s="1" t="n">
        <v>45596</v>
      </c>
      <c r="C6219" s="1" t="n">
        <v>45846</v>
      </c>
      <c r="D6219" t="inlineStr">
        <is>
          <t>UPPSALA LÄN</t>
        </is>
      </c>
      <c r="E6219" t="inlineStr">
        <is>
          <t>ENKÖPING</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49613-2024</t>
        </is>
      </c>
      <c r="B6220" s="1" t="n">
        <v>45596</v>
      </c>
      <c r="C6220" s="1" t="n">
        <v>45846</v>
      </c>
      <c r="D6220" t="inlineStr">
        <is>
          <t>UPPSALA LÄN</t>
        </is>
      </c>
      <c r="E6220" t="inlineStr">
        <is>
          <t>ENKÖPING</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49622-2024</t>
        </is>
      </c>
      <c r="B6221" s="1" t="n">
        <v>45596</v>
      </c>
      <c r="C6221" s="1" t="n">
        <v>45846</v>
      </c>
      <c r="D6221" t="inlineStr">
        <is>
          <t>UPPSALA LÄN</t>
        </is>
      </c>
      <c r="E6221" t="inlineStr">
        <is>
          <t>ENKÖPING</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49580-2024</t>
        </is>
      </c>
      <c r="B6222" s="1" t="n">
        <v>45596</v>
      </c>
      <c r="C6222" s="1" t="n">
        <v>45846</v>
      </c>
      <c r="D6222" t="inlineStr">
        <is>
          <t>UPPSALA LÄN</t>
        </is>
      </c>
      <c r="E6222" t="inlineStr">
        <is>
          <t>TIERP</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49617-2024</t>
        </is>
      </c>
      <c r="B6223" s="1" t="n">
        <v>45596</v>
      </c>
      <c r="C6223" s="1" t="n">
        <v>45846</v>
      </c>
      <c r="D6223" t="inlineStr">
        <is>
          <t>UPPSALA LÄN</t>
        </is>
      </c>
      <c r="E6223" t="inlineStr">
        <is>
          <t>ENKÖPING</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49621-2024</t>
        </is>
      </c>
      <c r="B6224" s="1" t="n">
        <v>45596</v>
      </c>
      <c r="C6224" s="1" t="n">
        <v>45846</v>
      </c>
      <c r="D6224" t="inlineStr">
        <is>
          <t>UPPSALA LÄN</t>
        </is>
      </c>
      <c r="E6224" t="inlineStr">
        <is>
          <t>HEBY</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49625-2024</t>
        </is>
      </c>
      <c r="B6225" s="1" t="n">
        <v>45596</v>
      </c>
      <c r="C6225" s="1" t="n">
        <v>45846</v>
      </c>
      <c r="D6225" t="inlineStr">
        <is>
          <t>UPPSALA LÄN</t>
        </is>
      </c>
      <c r="E6225" t="inlineStr">
        <is>
          <t>ENKÖPING</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49637-2024</t>
        </is>
      </c>
      <c r="B6226" s="1" t="n">
        <v>45596</v>
      </c>
      <c r="C6226" s="1" t="n">
        <v>45846</v>
      </c>
      <c r="D6226" t="inlineStr">
        <is>
          <t>UPPSALA LÄN</t>
        </is>
      </c>
      <c r="E6226" t="inlineStr">
        <is>
          <t>ENKÖPING</t>
        </is>
      </c>
      <c r="G6226" t="n">
        <v>4.9</v>
      </c>
      <c r="H6226" t="n">
        <v>0</v>
      </c>
      <c r="I6226" t="n">
        <v>0</v>
      </c>
      <c r="J6226" t="n">
        <v>0</v>
      </c>
      <c r="K6226" t="n">
        <v>0</v>
      </c>
      <c r="L6226" t="n">
        <v>0</v>
      </c>
      <c r="M6226" t="n">
        <v>0</v>
      </c>
      <c r="N6226" t="n">
        <v>0</v>
      </c>
      <c r="O6226" t="n">
        <v>0</v>
      </c>
      <c r="P6226" t="n">
        <v>0</v>
      </c>
      <c r="Q6226" t="n">
        <v>0</v>
      </c>
      <c r="R6226" s="2" t="inlineStr"/>
    </row>
    <row r="6227" ht="15" customHeight="1">
      <c r="A6227" t="inlineStr">
        <is>
          <t>A 49792-2024</t>
        </is>
      </c>
      <c r="B6227" s="1" t="n">
        <v>45597</v>
      </c>
      <c r="C6227" s="1" t="n">
        <v>45846</v>
      </c>
      <c r="D6227" t="inlineStr">
        <is>
          <t>UPPSALA LÄN</t>
        </is>
      </c>
      <c r="E6227" t="inlineStr">
        <is>
          <t>TIERP</t>
        </is>
      </c>
      <c r="F6227" t="inlineStr">
        <is>
          <t>Bergvik skog öst AB</t>
        </is>
      </c>
      <c r="G6227" t="n">
        <v>6.4</v>
      </c>
      <c r="H6227" t="n">
        <v>0</v>
      </c>
      <c r="I6227" t="n">
        <v>0</v>
      </c>
      <c r="J6227" t="n">
        <v>0</v>
      </c>
      <c r="K6227" t="n">
        <v>0</v>
      </c>
      <c r="L6227" t="n">
        <v>0</v>
      </c>
      <c r="M6227" t="n">
        <v>0</v>
      </c>
      <c r="N6227" t="n">
        <v>0</v>
      </c>
      <c r="O6227" t="n">
        <v>0</v>
      </c>
      <c r="P6227" t="n">
        <v>0</v>
      </c>
      <c r="Q6227" t="n">
        <v>0</v>
      </c>
      <c r="R6227" s="2" t="inlineStr"/>
    </row>
    <row r="6228" ht="15" customHeight="1">
      <c r="A6228" t="inlineStr">
        <is>
          <t>A 49796-2024</t>
        </is>
      </c>
      <c r="B6228" s="1" t="n">
        <v>45597</v>
      </c>
      <c r="C6228" s="1" t="n">
        <v>45846</v>
      </c>
      <c r="D6228" t="inlineStr">
        <is>
          <t>UPPSALA LÄN</t>
        </is>
      </c>
      <c r="E6228" t="inlineStr">
        <is>
          <t>ÖSTHAMMAR</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50163-2024</t>
        </is>
      </c>
      <c r="B6229" s="1" t="n">
        <v>45599</v>
      </c>
      <c r="C6229" s="1" t="n">
        <v>45846</v>
      </c>
      <c r="D6229" t="inlineStr">
        <is>
          <t>UPPSALA LÄN</t>
        </is>
      </c>
      <c r="E6229" t="inlineStr">
        <is>
          <t>HEBY</t>
        </is>
      </c>
      <c r="F6229" t="inlineStr">
        <is>
          <t>Bergvik skog väst AB</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50037-2024</t>
        </is>
      </c>
      <c r="B6230" s="1" t="n">
        <v>45599</v>
      </c>
      <c r="C6230" s="1" t="n">
        <v>45846</v>
      </c>
      <c r="D6230" t="inlineStr">
        <is>
          <t>UPPSALA LÄN</t>
        </is>
      </c>
      <c r="E6230" t="inlineStr">
        <is>
          <t>UPPSALA</t>
        </is>
      </c>
      <c r="G6230" t="n">
        <v>13.7</v>
      </c>
      <c r="H6230" t="n">
        <v>0</v>
      </c>
      <c r="I6230" t="n">
        <v>0</v>
      </c>
      <c r="J6230" t="n">
        <v>0</v>
      </c>
      <c r="K6230" t="n">
        <v>0</v>
      </c>
      <c r="L6230" t="n">
        <v>0</v>
      </c>
      <c r="M6230" t="n">
        <v>0</v>
      </c>
      <c r="N6230" t="n">
        <v>0</v>
      </c>
      <c r="O6230" t="n">
        <v>0</v>
      </c>
      <c r="P6230" t="n">
        <v>0</v>
      </c>
      <c r="Q6230" t="n">
        <v>0</v>
      </c>
      <c r="R6230" s="2" t="inlineStr"/>
    </row>
    <row r="6231" ht="15" customHeight="1">
      <c r="A6231" t="inlineStr">
        <is>
          <t>A 50172-2024</t>
        </is>
      </c>
      <c r="B6231" s="1" t="n">
        <v>45599</v>
      </c>
      <c r="C6231" s="1" t="n">
        <v>45846</v>
      </c>
      <c r="D6231" t="inlineStr">
        <is>
          <t>UPPSALA LÄN</t>
        </is>
      </c>
      <c r="E6231" t="inlineStr">
        <is>
          <t>HEBY</t>
        </is>
      </c>
      <c r="F6231" t="inlineStr">
        <is>
          <t>Bergvik skog väst AB</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50394-2024</t>
        </is>
      </c>
      <c r="B6232" s="1" t="n">
        <v>45600</v>
      </c>
      <c r="C6232" s="1" t="n">
        <v>45846</v>
      </c>
      <c r="D6232" t="inlineStr">
        <is>
          <t>UPPSALA LÄN</t>
        </is>
      </c>
      <c r="E6232" t="inlineStr">
        <is>
          <t>ENKÖPING</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50248-2024</t>
        </is>
      </c>
      <c r="B6233" s="1" t="n">
        <v>45600</v>
      </c>
      <c r="C6233" s="1" t="n">
        <v>45846</v>
      </c>
      <c r="D6233" t="inlineStr">
        <is>
          <t>UPPSALA LÄN</t>
        </is>
      </c>
      <c r="E6233" t="inlineStr">
        <is>
          <t>ENKÖPING</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50227-2024</t>
        </is>
      </c>
      <c r="B6234" s="1" t="n">
        <v>45600</v>
      </c>
      <c r="C6234" s="1" t="n">
        <v>45846</v>
      </c>
      <c r="D6234" t="inlineStr">
        <is>
          <t>UPPSALA LÄN</t>
        </is>
      </c>
      <c r="E6234" t="inlineStr">
        <is>
          <t>TIERP</t>
        </is>
      </c>
      <c r="G6234" t="n">
        <v>4.5</v>
      </c>
      <c r="H6234" t="n">
        <v>0</v>
      </c>
      <c r="I6234" t="n">
        <v>0</v>
      </c>
      <c r="J6234" t="n">
        <v>0</v>
      </c>
      <c r="K6234" t="n">
        <v>0</v>
      </c>
      <c r="L6234" t="n">
        <v>0</v>
      </c>
      <c r="M6234" t="n">
        <v>0</v>
      </c>
      <c r="N6234" t="n">
        <v>0</v>
      </c>
      <c r="O6234" t="n">
        <v>0</v>
      </c>
      <c r="P6234" t="n">
        <v>0</v>
      </c>
      <c r="Q6234" t="n">
        <v>0</v>
      </c>
      <c r="R6234" s="2" t="inlineStr"/>
    </row>
    <row r="6235" ht="15" customHeight="1">
      <c r="A6235" t="inlineStr">
        <is>
          <t>A 50247-2024</t>
        </is>
      </c>
      <c r="B6235" s="1" t="n">
        <v>45600</v>
      </c>
      <c r="C6235" s="1" t="n">
        <v>45846</v>
      </c>
      <c r="D6235" t="inlineStr">
        <is>
          <t>UPPSALA LÄN</t>
        </is>
      </c>
      <c r="E6235" t="inlineStr">
        <is>
          <t>ENKÖPING</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50535-2024</t>
        </is>
      </c>
      <c r="B6236" s="1" t="n">
        <v>45600</v>
      </c>
      <c r="C6236" s="1" t="n">
        <v>45846</v>
      </c>
      <c r="D6236" t="inlineStr">
        <is>
          <t>UPPSALA LÄN</t>
        </is>
      </c>
      <c r="E6236" t="inlineStr">
        <is>
          <t>UPPSALA</t>
        </is>
      </c>
      <c r="F6236" t="inlineStr">
        <is>
          <t>Övriga statliga verk och myndigheter</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50196-2024</t>
        </is>
      </c>
      <c r="B6237" s="1" t="n">
        <v>45600</v>
      </c>
      <c r="C6237" s="1" t="n">
        <v>45846</v>
      </c>
      <c r="D6237" t="inlineStr">
        <is>
          <t>UPPSALA LÄN</t>
        </is>
      </c>
      <c r="E6237" t="inlineStr">
        <is>
          <t>UPPSALA</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50463-2024</t>
        </is>
      </c>
      <c r="B6238" s="1" t="n">
        <v>45601</v>
      </c>
      <c r="C6238" s="1" t="n">
        <v>45846</v>
      </c>
      <c r="D6238" t="inlineStr">
        <is>
          <t>UPPSALA LÄN</t>
        </is>
      </c>
      <c r="E6238" t="inlineStr">
        <is>
          <t>UPPSALA</t>
        </is>
      </c>
      <c r="F6238" t="inlineStr">
        <is>
          <t>Allmännings- och besparingsskogar</t>
        </is>
      </c>
      <c r="G6238" t="n">
        <v>12.6</v>
      </c>
      <c r="H6238" t="n">
        <v>0</v>
      </c>
      <c r="I6238" t="n">
        <v>0</v>
      </c>
      <c r="J6238" t="n">
        <v>0</v>
      </c>
      <c r="K6238" t="n">
        <v>0</v>
      </c>
      <c r="L6238" t="n">
        <v>0</v>
      </c>
      <c r="M6238" t="n">
        <v>0</v>
      </c>
      <c r="N6238" t="n">
        <v>0</v>
      </c>
      <c r="O6238" t="n">
        <v>0</v>
      </c>
      <c r="P6238" t="n">
        <v>0</v>
      </c>
      <c r="Q6238" t="n">
        <v>0</v>
      </c>
      <c r="R6238" s="2" t="inlineStr"/>
    </row>
    <row r="6239" ht="15" customHeight="1">
      <c r="A6239" t="inlineStr">
        <is>
          <t>A 50669-2024</t>
        </is>
      </c>
      <c r="B6239" s="1" t="n">
        <v>45601</v>
      </c>
      <c r="C6239" s="1" t="n">
        <v>45846</v>
      </c>
      <c r="D6239" t="inlineStr">
        <is>
          <t>UPPSALA LÄN</t>
        </is>
      </c>
      <c r="E6239" t="inlineStr">
        <is>
          <t>UPPSALA</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50459-2024</t>
        </is>
      </c>
      <c r="B6240" s="1" t="n">
        <v>45601</v>
      </c>
      <c r="C6240" s="1" t="n">
        <v>45846</v>
      </c>
      <c r="D6240" t="inlineStr">
        <is>
          <t>UPPSALA LÄN</t>
        </is>
      </c>
      <c r="E6240" t="inlineStr">
        <is>
          <t>ÖSTHAMMAR</t>
        </is>
      </c>
      <c r="F6240" t="inlineStr">
        <is>
          <t>Övriga Aktiebolag</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50506-2024</t>
        </is>
      </c>
      <c r="B6241" s="1" t="n">
        <v>45601</v>
      </c>
      <c r="C6241" s="1" t="n">
        <v>45846</v>
      </c>
      <c r="D6241" t="inlineStr">
        <is>
          <t>UPPSALA LÄN</t>
        </is>
      </c>
      <c r="E6241" t="inlineStr">
        <is>
          <t>TIERP</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50686-2024</t>
        </is>
      </c>
      <c r="B6242" s="1" t="n">
        <v>45602</v>
      </c>
      <c r="C6242" s="1" t="n">
        <v>45846</v>
      </c>
      <c r="D6242" t="inlineStr">
        <is>
          <t>UPPSALA LÄN</t>
        </is>
      </c>
      <c r="E6242" t="inlineStr">
        <is>
          <t>TIERP</t>
        </is>
      </c>
      <c r="F6242" t="inlineStr">
        <is>
          <t>Övriga Aktiebolag</t>
        </is>
      </c>
      <c r="G6242" t="n">
        <v>9.6</v>
      </c>
      <c r="H6242" t="n">
        <v>0</v>
      </c>
      <c r="I6242" t="n">
        <v>0</v>
      </c>
      <c r="J6242" t="n">
        <v>0</v>
      </c>
      <c r="K6242" t="n">
        <v>0</v>
      </c>
      <c r="L6242" t="n">
        <v>0</v>
      </c>
      <c r="M6242" t="n">
        <v>0</v>
      </c>
      <c r="N6242" t="n">
        <v>0</v>
      </c>
      <c r="O6242" t="n">
        <v>0</v>
      </c>
      <c r="P6242" t="n">
        <v>0</v>
      </c>
      <c r="Q6242" t="n">
        <v>0</v>
      </c>
      <c r="R6242" s="2" t="inlineStr"/>
    </row>
    <row r="6243" ht="15" customHeight="1">
      <c r="A6243" t="inlineStr">
        <is>
          <t>A 50792-2024</t>
        </is>
      </c>
      <c r="B6243" s="1" t="n">
        <v>45602</v>
      </c>
      <c r="C6243" s="1" t="n">
        <v>45846</v>
      </c>
      <c r="D6243" t="inlineStr">
        <is>
          <t>UPPSALA LÄN</t>
        </is>
      </c>
      <c r="E6243" t="inlineStr">
        <is>
          <t>TIERP</t>
        </is>
      </c>
      <c r="F6243" t="inlineStr">
        <is>
          <t>Bergvik skog öst AB</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50849-2024</t>
        </is>
      </c>
      <c r="B6244" s="1" t="n">
        <v>45602</v>
      </c>
      <c r="C6244" s="1" t="n">
        <v>45846</v>
      </c>
      <c r="D6244" t="inlineStr">
        <is>
          <t>UPPSALA LÄN</t>
        </is>
      </c>
      <c r="E6244" t="inlineStr">
        <is>
          <t>ÖSTHAMMAR</t>
        </is>
      </c>
      <c r="F6244" t="inlineStr">
        <is>
          <t>Övriga Aktiebolag</t>
        </is>
      </c>
      <c r="G6244" t="n">
        <v>9.5</v>
      </c>
      <c r="H6244" t="n">
        <v>0</v>
      </c>
      <c r="I6244" t="n">
        <v>0</v>
      </c>
      <c r="J6244" t="n">
        <v>0</v>
      </c>
      <c r="K6244" t="n">
        <v>0</v>
      </c>
      <c r="L6244" t="n">
        <v>0</v>
      </c>
      <c r="M6244" t="n">
        <v>0</v>
      </c>
      <c r="N6244" t="n">
        <v>0</v>
      </c>
      <c r="O6244" t="n">
        <v>0</v>
      </c>
      <c r="P6244" t="n">
        <v>0</v>
      </c>
      <c r="Q6244" t="n">
        <v>0</v>
      </c>
      <c r="R6244" s="2" t="inlineStr"/>
    </row>
    <row r="6245" ht="15" customHeight="1">
      <c r="A6245" t="inlineStr">
        <is>
          <t>A 50875-2024</t>
        </is>
      </c>
      <c r="B6245" s="1" t="n">
        <v>45602</v>
      </c>
      <c r="C6245" s="1" t="n">
        <v>45846</v>
      </c>
      <c r="D6245" t="inlineStr">
        <is>
          <t>UPPSALA LÄN</t>
        </is>
      </c>
      <c r="E6245" t="inlineStr">
        <is>
          <t>ÖSTHAMMAR</t>
        </is>
      </c>
      <c r="F6245" t="inlineStr">
        <is>
          <t>Övriga Aktiebolag</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50927-2024</t>
        </is>
      </c>
      <c r="B6246" s="1" t="n">
        <v>45602</v>
      </c>
      <c r="C6246" s="1" t="n">
        <v>45846</v>
      </c>
      <c r="D6246" t="inlineStr">
        <is>
          <t>UPPSALA LÄN</t>
        </is>
      </c>
      <c r="E6246" t="inlineStr">
        <is>
          <t>ÖSTHAMMAR</t>
        </is>
      </c>
      <c r="F6246" t="inlineStr">
        <is>
          <t>Bergvik skog öst AB</t>
        </is>
      </c>
      <c r="G6246" t="n">
        <v>45.4</v>
      </c>
      <c r="H6246" t="n">
        <v>0</v>
      </c>
      <c r="I6246" t="n">
        <v>0</v>
      </c>
      <c r="J6246" t="n">
        <v>0</v>
      </c>
      <c r="K6246" t="n">
        <v>0</v>
      </c>
      <c r="L6246" t="n">
        <v>0</v>
      </c>
      <c r="M6246" t="n">
        <v>0</v>
      </c>
      <c r="N6246" t="n">
        <v>0</v>
      </c>
      <c r="O6246" t="n">
        <v>0</v>
      </c>
      <c r="P6246" t="n">
        <v>0</v>
      </c>
      <c r="Q6246" t="n">
        <v>0</v>
      </c>
      <c r="R6246" s="2" t="inlineStr"/>
    </row>
    <row r="6247" ht="15" customHeight="1">
      <c r="A6247" t="inlineStr">
        <is>
          <t>A 50924-2024</t>
        </is>
      </c>
      <c r="B6247" s="1" t="n">
        <v>45602</v>
      </c>
      <c r="C6247" s="1" t="n">
        <v>45846</v>
      </c>
      <c r="D6247" t="inlineStr">
        <is>
          <t>UPPSALA LÄN</t>
        </is>
      </c>
      <c r="E6247" t="inlineStr">
        <is>
          <t>ÖSTHAMMAR</t>
        </is>
      </c>
      <c r="F6247" t="inlineStr">
        <is>
          <t>Bergvik skog öst AB</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50844-2024</t>
        </is>
      </c>
      <c r="B6248" s="1" t="n">
        <v>45602</v>
      </c>
      <c r="C6248" s="1" t="n">
        <v>45846</v>
      </c>
      <c r="D6248" t="inlineStr">
        <is>
          <t>UPPSALA LÄN</t>
        </is>
      </c>
      <c r="E6248" t="inlineStr">
        <is>
          <t>ÖSTHAMMAR</t>
        </is>
      </c>
      <c r="F6248" t="inlineStr">
        <is>
          <t>Övriga Aktiebolag</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50853-2024</t>
        </is>
      </c>
      <c r="B6249" s="1" t="n">
        <v>45602</v>
      </c>
      <c r="C6249" s="1" t="n">
        <v>45846</v>
      </c>
      <c r="D6249" t="inlineStr">
        <is>
          <t>UPPSALA LÄN</t>
        </is>
      </c>
      <c r="E6249" t="inlineStr">
        <is>
          <t>ÖSTHAMMAR</t>
        </is>
      </c>
      <c r="F6249" t="inlineStr">
        <is>
          <t>Övriga Aktiebolag</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50834-2024</t>
        </is>
      </c>
      <c r="B6250" s="1" t="n">
        <v>45602</v>
      </c>
      <c r="C6250" s="1" t="n">
        <v>45846</v>
      </c>
      <c r="D6250" t="inlineStr">
        <is>
          <t>UPPSALA LÄN</t>
        </is>
      </c>
      <c r="E6250" t="inlineStr">
        <is>
          <t>UPPSALA</t>
        </is>
      </c>
      <c r="G6250" t="n">
        <v>4.5</v>
      </c>
      <c r="H6250" t="n">
        <v>0</v>
      </c>
      <c r="I6250" t="n">
        <v>0</v>
      </c>
      <c r="J6250" t="n">
        <v>0</v>
      </c>
      <c r="K6250" t="n">
        <v>0</v>
      </c>
      <c r="L6250" t="n">
        <v>0</v>
      </c>
      <c r="M6250" t="n">
        <v>0</v>
      </c>
      <c r="N6250" t="n">
        <v>0</v>
      </c>
      <c r="O6250" t="n">
        <v>0</v>
      </c>
      <c r="P6250" t="n">
        <v>0</v>
      </c>
      <c r="Q6250" t="n">
        <v>0</v>
      </c>
      <c r="R6250" s="2" t="inlineStr"/>
    </row>
    <row r="6251" ht="15" customHeight="1">
      <c r="A6251" t="inlineStr">
        <is>
          <t>A 51010-2024</t>
        </is>
      </c>
      <c r="B6251" s="1" t="n">
        <v>45603</v>
      </c>
      <c r="C6251" s="1" t="n">
        <v>45846</v>
      </c>
      <c r="D6251" t="inlineStr">
        <is>
          <t>UPPSALA LÄN</t>
        </is>
      </c>
      <c r="E6251" t="inlineStr">
        <is>
          <t>ENKÖPING</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51030-2024</t>
        </is>
      </c>
      <c r="B6252" s="1" t="n">
        <v>45603</v>
      </c>
      <c r="C6252" s="1" t="n">
        <v>45846</v>
      </c>
      <c r="D6252" t="inlineStr">
        <is>
          <t>UPPSALA LÄN</t>
        </is>
      </c>
      <c r="E6252" t="inlineStr">
        <is>
          <t>ENKÖPING</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51034-2024</t>
        </is>
      </c>
      <c r="B6253" s="1" t="n">
        <v>45603</v>
      </c>
      <c r="C6253" s="1" t="n">
        <v>45846</v>
      </c>
      <c r="D6253" t="inlineStr">
        <is>
          <t>UPPSALA LÄN</t>
        </is>
      </c>
      <c r="E6253" t="inlineStr">
        <is>
          <t>ENKÖPING</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51042-2024</t>
        </is>
      </c>
      <c r="B6254" s="1" t="n">
        <v>45603</v>
      </c>
      <c r="C6254" s="1" t="n">
        <v>45846</v>
      </c>
      <c r="D6254" t="inlineStr">
        <is>
          <t>UPPSALA LÄN</t>
        </is>
      </c>
      <c r="E6254" t="inlineStr">
        <is>
          <t>ENKÖPING</t>
        </is>
      </c>
      <c r="G6254" t="n">
        <v>4.6</v>
      </c>
      <c r="H6254" t="n">
        <v>0</v>
      </c>
      <c r="I6254" t="n">
        <v>0</v>
      </c>
      <c r="J6254" t="n">
        <v>0</v>
      </c>
      <c r="K6254" t="n">
        <v>0</v>
      </c>
      <c r="L6254" t="n">
        <v>0</v>
      </c>
      <c r="M6254" t="n">
        <v>0</v>
      </c>
      <c r="N6254" t="n">
        <v>0</v>
      </c>
      <c r="O6254" t="n">
        <v>0</v>
      </c>
      <c r="P6254" t="n">
        <v>0</v>
      </c>
      <c r="Q6254" t="n">
        <v>0</v>
      </c>
      <c r="R6254" s="2" t="inlineStr"/>
    </row>
    <row r="6255" ht="15" customHeight="1">
      <c r="A6255" t="inlineStr">
        <is>
          <t>A 51011-2024</t>
        </is>
      </c>
      <c r="B6255" s="1" t="n">
        <v>45603</v>
      </c>
      <c r="C6255" s="1" t="n">
        <v>45846</v>
      </c>
      <c r="D6255" t="inlineStr">
        <is>
          <t>UPPSALA LÄN</t>
        </is>
      </c>
      <c r="E6255" t="inlineStr">
        <is>
          <t>ENKÖPING</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51027-2024</t>
        </is>
      </c>
      <c r="B6256" s="1" t="n">
        <v>45603</v>
      </c>
      <c r="C6256" s="1" t="n">
        <v>45846</v>
      </c>
      <c r="D6256" t="inlineStr">
        <is>
          <t>UPPSALA LÄN</t>
        </is>
      </c>
      <c r="E6256" t="inlineStr">
        <is>
          <t>ENKÖPING</t>
        </is>
      </c>
      <c r="G6256" t="n">
        <v>3.5</v>
      </c>
      <c r="H6256" t="n">
        <v>0</v>
      </c>
      <c r="I6256" t="n">
        <v>0</v>
      </c>
      <c r="J6256" t="n">
        <v>0</v>
      </c>
      <c r="K6256" t="n">
        <v>0</v>
      </c>
      <c r="L6256" t="n">
        <v>0</v>
      </c>
      <c r="M6256" t="n">
        <v>0</v>
      </c>
      <c r="N6256" t="n">
        <v>0</v>
      </c>
      <c r="O6256" t="n">
        <v>0</v>
      </c>
      <c r="P6256" t="n">
        <v>0</v>
      </c>
      <c r="Q6256" t="n">
        <v>0</v>
      </c>
      <c r="R6256" s="2" t="inlineStr"/>
    </row>
    <row r="6257" ht="15" customHeight="1">
      <c r="A6257" t="inlineStr">
        <is>
          <t>A 51088-2024</t>
        </is>
      </c>
      <c r="B6257" s="1" t="n">
        <v>45603</v>
      </c>
      <c r="C6257" s="1" t="n">
        <v>45846</v>
      </c>
      <c r="D6257" t="inlineStr">
        <is>
          <t>UPPSALA LÄN</t>
        </is>
      </c>
      <c r="E6257" t="inlineStr">
        <is>
          <t>HEBY</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51008-2024</t>
        </is>
      </c>
      <c r="B6258" s="1" t="n">
        <v>45603</v>
      </c>
      <c r="C6258" s="1" t="n">
        <v>45846</v>
      </c>
      <c r="D6258" t="inlineStr">
        <is>
          <t>UPPSALA LÄN</t>
        </is>
      </c>
      <c r="E6258" t="inlineStr">
        <is>
          <t>ENKÖPING</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51012-2024</t>
        </is>
      </c>
      <c r="B6259" s="1" t="n">
        <v>45603</v>
      </c>
      <c r="C6259" s="1" t="n">
        <v>45846</v>
      </c>
      <c r="D6259" t="inlineStr">
        <is>
          <t>UPPSALA LÄN</t>
        </is>
      </c>
      <c r="E6259" t="inlineStr">
        <is>
          <t>ENKÖPING</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51036-2024</t>
        </is>
      </c>
      <c r="B6260" s="1" t="n">
        <v>45603</v>
      </c>
      <c r="C6260" s="1" t="n">
        <v>45846</v>
      </c>
      <c r="D6260" t="inlineStr">
        <is>
          <t>UPPSALA LÄN</t>
        </is>
      </c>
      <c r="E6260" t="inlineStr">
        <is>
          <t>ENKÖPING</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51037-2024</t>
        </is>
      </c>
      <c r="B6261" s="1" t="n">
        <v>45603</v>
      </c>
      <c r="C6261" s="1" t="n">
        <v>45846</v>
      </c>
      <c r="D6261" t="inlineStr">
        <is>
          <t>UPPSALA LÄN</t>
        </is>
      </c>
      <c r="E6261" t="inlineStr">
        <is>
          <t>ENKÖPING</t>
        </is>
      </c>
      <c r="G6261" t="n">
        <v>5.7</v>
      </c>
      <c r="H6261" t="n">
        <v>0</v>
      </c>
      <c r="I6261" t="n">
        <v>0</v>
      </c>
      <c r="J6261" t="n">
        <v>0</v>
      </c>
      <c r="K6261" t="n">
        <v>0</v>
      </c>
      <c r="L6261" t="n">
        <v>0</v>
      </c>
      <c r="M6261" t="n">
        <v>0</v>
      </c>
      <c r="N6261" t="n">
        <v>0</v>
      </c>
      <c r="O6261" t="n">
        <v>0</v>
      </c>
      <c r="P6261" t="n">
        <v>0</v>
      </c>
      <c r="Q6261" t="n">
        <v>0</v>
      </c>
      <c r="R6261" s="2" t="inlineStr"/>
    </row>
    <row r="6262" ht="15" customHeight="1">
      <c r="A6262" t="inlineStr">
        <is>
          <t>A 51344-2024</t>
        </is>
      </c>
      <c r="B6262" s="1" t="n">
        <v>45604</v>
      </c>
      <c r="C6262" s="1" t="n">
        <v>45846</v>
      </c>
      <c r="D6262" t="inlineStr">
        <is>
          <t>UPPSALA LÄN</t>
        </is>
      </c>
      <c r="E6262" t="inlineStr">
        <is>
          <t>TIERP</t>
        </is>
      </c>
      <c r="F6262" t="inlineStr">
        <is>
          <t>Bergvik skog öst AB</t>
        </is>
      </c>
      <c r="G6262" t="n">
        <v>3.3</v>
      </c>
      <c r="H6262" t="n">
        <v>0</v>
      </c>
      <c r="I6262" t="n">
        <v>0</v>
      </c>
      <c r="J6262" t="n">
        <v>0</v>
      </c>
      <c r="K6262" t="n">
        <v>0</v>
      </c>
      <c r="L6262" t="n">
        <v>0</v>
      </c>
      <c r="M6262" t="n">
        <v>0</v>
      </c>
      <c r="N6262" t="n">
        <v>0</v>
      </c>
      <c r="O6262" t="n">
        <v>0</v>
      </c>
      <c r="P6262" t="n">
        <v>0</v>
      </c>
      <c r="Q6262" t="n">
        <v>0</v>
      </c>
      <c r="R6262" s="2" t="inlineStr"/>
    </row>
    <row r="6263" ht="15" customHeight="1">
      <c r="A6263" t="inlineStr">
        <is>
          <t>A 51482-2024</t>
        </is>
      </c>
      <c r="B6263" s="1" t="n">
        <v>45604</v>
      </c>
      <c r="C6263" s="1" t="n">
        <v>45846</v>
      </c>
      <c r="D6263" t="inlineStr">
        <is>
          <t>UPPSALA LÄN</t>
        </is>
      </c>
      <c r="E6263" t="inlineStr">
        <is>
          <t>UPPSALA</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51453-2024</t>
        </is>
      </c>
      <c r="B6264" s="1" t="n">
        <v>45604</v>
      </c>
      <c r="C6264" s="1" t="n">
        <v>45846</v>
      </c>
      <c r="D6264" t="inlineStr">
        <is>
          <t>UPPSALA LÄN</t>
        </is>
      </c>
      <c r="E6264" t="inlineStr">
        <is>
          <t>TIERP</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51483-2024</t>
        </is>
      </c>
      <c r="B6265" s="1" t="n">
        <v>45604</v>
      </c>
      <c r="C6265" s="1" t="n">
        <v>45846</v>
      </c>
      <c r="D6265" t="inlineStr">
        <is>
          <t>UPPSALA LÄN</t>
        </is>
      </c>
      <c r="E6265" t="inlineStr">
        <is>
          <t>UPPSALA</t>
        </is>
      </c>
      <c r="G6265" t="n">
        <v>4.5</v>
      </c>
      <c r="H6265" t="n">
        <v>0</v>
      </c>
      <c r="I6265" t="n">
        <v>0</v>
      </c>
      <c r="J6265" t="n">
        <v>0</v>
      </c>
      <c r="K6265" t="n">
        <v>0</v>
      </c>
      <c r="L6265" t="n">
        <v>0</v>
      </c>
      <c r="M6265" t="n">
        <v>0</v>
      </c>
      <c r="N6265" t="n">
        <v>0</v>
      </c>
      <c r="O6265" t="n">
        <v>0</v>
      </c>
      <c r="P6265" t="n">
        <v>0</v>
      </c>
      <c r="Q6265" t="n">
        <v>0</v>
      </c>
      <c r="R6265" s="2" t="inlineStr"/>
    </row>
    <row r="6266" ht="15" customHeight="1">
      <c r="A6266" t="inlineStr">
        <is>
          <t>A 51507-2024</t>
        </is>
      </c>
      <c r="B6266" s="1" t="n">
        <v>45604</v>
      </c>
      <c r="C6266" s="1" t="n">
        <v>45846</v>
      </c>
      <c r="D6266" t="inlineStr">
        <is>
          <t>UPPSALA LÄN</t>
        </is>
      </c>
      <c r="E6266" t="inlineStr">
        <is>
          <t>ÄLVKARLEBY</t>
        </is>
      </c>
      <c r="F6266" t="inlineStr">
        <is>
          <t>Bergvik skog väst AB</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51485-2024</t>
        </is>
      </c>
      <c r="B6267" s="1" t="n">
        <v>45604</v>
      </c>
      <c r="C6267" s="1" t="n">
        <v>45846</v>
      </c>
      <c r="D6267" t="inlineStr">
        <is>
          <t>UPPSALA LÄN</t>
        </is>
      </c>
      <c r="E6267" t="inlineStr">
        <is>
          <t>UPPSALA</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51509-2024</t>
        </is>
      </c>
      <c r="B6268" s="1" t="n">
        <v>45604</v>
      </c>
      <c r="C6268" s="1" t="n">
        <v>45846</v>
      </c>
      <c r="D6268" t="inlineStr">
        <is>
          <t>UPPSALA LÄN</t>
        </is>
      </c>
      <c r="E6268" t="inlineStr">
        <is>
          <t>ÄLVKARLEBY</t>
        </is>
      </c>
      <c r="F6268" t="inlineStr">
        <is>
          <t>Bergvik skog väst AB</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51568-2024</t>
        </is>
      </c>
      <c r="B6269" s="1" t="n">
        <v>45604</v>
      </c>
      <c r="C6269" s="1" t="n">
        <v>45846</v>
      </c>
      <c r="D6269" t="inlineStr">
        <is>
          <t>UPPSALA LÄN</t>
        </is>
      </c>
      <c r="E6269" t="inlineStr">
        <is>
          <t>TIERP</t>
        </is>
      </c>
      <c r="F6269" t="inlineStr">
        <is>
          <t>Bergvik skog väst AB</t>
        </is>
      </c>
      <c r="G6269" t="n">
        <v>11.5</v>
      </c>
      <c r="H6269" t="n">
        <v>0</v>
      </c>
      <c r="I6269" t="n">
        <v>0</v>
      </c>
      <c r="J6269" t="n">
        <v>0</v>
      </c>
      <c r="K6269" t="n">
        <v>0</v>
      </c>
      <c r="L6269" t="n">
        <v>0</v>
      </c>
      <c r="M6269" t="n">
        <v>0</v>
      </c>
      <c r="N6269" t="n">
        <v>0</v>
      </c>
      <c r="O6269" t="n">
        <v>0</v>
      </c>
      <c r="P6269" t="n">
        <v>0</v>
      </c>
      <c r="Q6269" t="n">
        <v>0</v>
      </c>
      <c r="R6269" s="2" t="inlineStr"/>
    </row>
    <row r="6270" ht="15" customHeight="1">
      <c r="A6270" t="inlineStr">
        <is>
          <t>A 51628-2024</t>
        </is>
      </c>
      <c r="B6270" s="1" t="n">
        <v>45605</v>
      </c>
      <c r="C6270" s="1" t="n">
        <v>45846</v>
      </c>
      <c r="D6270" t="inlineStr">
        <is>
          <t>UPPSALA LÄN</t>
        </is>
      </c>
      <c r="E6270" t="inlineStr">
        <is>
          <t>KNIVSTA</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52005-2024</t>
        </is>
      </c>
      <c r="B6271" s="1" t="n">
        <v>45607</v>
      </c>
      <c r="C6271" s="1" t="n">
        <v>45846</v>
      </c>
      <c r="D6271" t="inlineStr">
        <is>
          <t>UPPSALA LÄN</t>
        </is>
      </c>
      <c r="E6271" t="inlineStr">
        <is>
          <t>ENKÖPING</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52252-2024</t>
        </is>
      </c>
      <c r="B6272" s="1" t="n">
        <v>45607</v>
      </c>
      <c r="C6272" s="1" t="n">
        <v>45846</v>
      </c>
      <c r="D6272" t="inlineStr">
        <is>
          <t>UPPSALA LÄN</t>
        </is>
      </c>
      <c r="E6272" t="inlineStr">
        <is>
          <t>HEBY</t>
        </is>
      </c>
      <c r="F6272" t="inlineStr">
        <is>
          <t>Bergvik skog väst AB</t>
        </is>
      </c>
      <c r="G6272" t="n">
        <v>5.4</v>
      </c>
      <c r="H6272" t="n">
        <v>0</v>
      </c>
      <c r="I6272" t="n">
        <v>0</v>
      </c>
      <c r="J6272" t="n">
        <v>0</v>
      </c>
      <c r="K6272" t="n">
        <v>0</v>
      </c>
      <c r="L6272" t="n">
        <v>0</v>
      </c>
      <c r="M6272" t="n">
        <v>0</v>
      </c>
      <c r="N6272" t="n">
        <v>0</v>
      </c>
      <c r="O6272" t="n">
        <v>0</v>
      </c>
      <c r="P6272" t="n">
        <v>0</v>
      </c>
      <c r="Q6272" t="n">
        <v>0</v>
      </c>
      <c r="R6272" s="2" t="inlineStr"/>
    </row>
    <row r="6273" ht="15" customHeight="1">
      <c r="A6273" t="inlineStr">
        <is>
          <t>A 51758-2024</t>
        </is>
      </c>
      <c r="B6273" s="1" t="n">
        <v>45607</v>
      </c>
      <c r="C6273" s="1" t="n">
        <v>45846</v>
      </c>
      <c r="D6273" t="inlineStr">
        <is>
          <t>UPPSALA LÄN</t>
        </is>
      </c>
      <c r="E6273" t="inlineStr">
        <is>
          <t>TIERP</t>
        </is>
      </c>
      <c r="F6273" t="inlineStr">
        <is>
          <t>Bergvik skog väst AB</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51753-2024</t>
        </is>
      </c>
      <c r="B6274" s="1" t="n">
        <v>45607</v>
      </c>
      <c r="C6274" s="1" t="n">
        <v>45846</v>
      </c>
      <c r="D6274" t="inlineStr">
        <is>
          <t>UPPSALA LÄN</t>
        </is>
      </c>
      <c r="E6274" t="inlineStr">
        <is>
          <t>HEBY</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52197-2024</t>
        </is>
      </c>
      <c r="B6275" s="1" t="n">
        <v>45608</v>
      </c>
      <c r="C6275" s="1" t="n">
        <v>45846</v>
      </c>
      <c r="D6275" t="inlineStr">
        <is>
          <t>UPPSALA LÄN</t>
        </is>
      </c>
      <c r="E6275" t="inlineStr">
        <is>
          <t>UPPSALA</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52219-2024</t>
        </is>
      </c>
      <c r="B6276" s="1" t="n">
        <v>45608</v>
      </c>
      <c r="C6276" s="1" t="n">
        <v>45846</v>
      </c>
      <c r="D6276" t="inlineStr">
        <is>
          <t>UPPSALA LÄN</t>
        </is>
      </c>
      <c r="E6276" t="inlineStr">
        <is>
          <t>ENKÖPING</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52306-2024</t>
        </is>
      </c>
      <c r="B6277" s="1" t="n">
        <v>45608</v>
      </c>
      <c r="C6277" s="1" t="n">
        <v>45846</v>
      </c>
      <c r="D6277" t="inlineStr">
        <is>
          <t>UPPSALA LÄN</t>
        </is>
      </c>
      <c r="E6277" t="inlineStr">
        <is>
          <t>ÖSTHAMMAR</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52094-2024</t>
        </is>
      </c>
      <c r="B6278" s="1" t="n">
        <v>45608</v>
      </c>
      <c r="C6278" s="1" t="n">
        <v>45846</v>
      </c>
      <c r="D6278" t="inlineStr">
        <is>
          <t>UPPSALA LÄN</t>
        </is>
      </c>
      <c r="E6278" t="inlineStr">
        <is>
          <t>UPPSALA</t>
        </is>
      </c>
      <c r="F6278" t="inlineStr">
        <is>
          <t>Bergvik skog öst AB</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52254-2024</t>
        </is>
      </c>
      <c r="B6279" s="1" t="n">
        <v>45608</v>
      </c>
      <c r="C6279" s="1" t="n">
        <v>45846</v>
      </c>
      <c r="D6279" t="inlineStr">
        <is>
          <t>UPPSALA LÄN</t>
        </is>
      </c>
      <c r="E6279" t="inlineStr">
        <is>
          <t>HEBY</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52093-2024</t>
        </is>
      </c>
      <c r="B6280" s="1" t="n">
        <v>45608</v>
      </c>
      <c r="C6280" s="1" t="n">
        <v>45846</v>
      </c>
      <c r="D6280" t="inlineStr">
        <is>
          <t>UPPSALA LÄN</t>
        </is>
      </c>
      <c r="E6280" t="inlineStr">
        <is>
          <t>UPPSALA</t>
        </is>
      </c>
      <c r="F6280" t="inlineStr">
        <is>
          <t>Bergvik skog öst AB</t>
        </is>
      </c>
      <c r="G6280" t="n">
        <v>8.300000000000001</v>
      </c>
      <c r="H6280" t="n">
        <v>0</v>
      </c>
      <c r="I6280" t="n">
        <v>0</v>
      </c>
      <c r="J6280" t="n">
        <v>0</v>
      </c>
      <c r="K6280" t="n">
        <v>0</v>
      </c>
      <c r="L6280" t="n">
        <v>0</v>
      </c>
      <c r="M6280" t="n">
        <v>0</v>
      </c>
      <c r="N6280" t="n">
        <v>0</v>
      </c>
      <c r="O6280" t="n">
        <v>0</v>
      </c>
      <c r="P6280" t="n">
        <v>0</v>
      </c>
      <c r="Q6280" t="n">
        <v>0</v>
      </c>
      <c r="R6280" s="2" t="inlineStr"/>
    </row>
    <row r="6281" ht="15" customHeight="1">
      <c r="A6281" t="inlineStr">
        <is>
          <t>A 52388-2024</t>
        </is>
      </c>
      <c r="B6281" s="1" t="n">
        <v>45609</v>
      </c>
      <c r="C6281" s="1" t="n">
        <v>45846</v>
      </c>
      <c r="D6281" t="inlineStr">
        <is>
          <t>UPPSALA LÄN</t>
        </is>
      </c>
      <c r="E6281" t="inlineStr">
        <is>
          <t>ENKÖPING</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52440-2024</t>
        </is>
      </c>
      <c r="B6282" s="1" t="n">
        <v>45609</v>
      </c>
      <c r="C6282" s="1" t="n">
        <v>45846</v>
      </c>
      <c r="D6282" t="inlineStr">
        <is>
          <t>UPPSALA LÄN</t>
        </is>
      </c>
      <c r="E6282" t="inlineStr">
        <is>
          <t>ÖSTHAMMAR</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52456-2024</t>
        </is>
      </c>
      <c r="B6283" s="1" t="n">
        <v>45609</v>
      </c>
      <c r="C6283" s="1" t="n">
        <v>45846</v>
      </c>
      <c r="D6283" t="inlineStr">
        <is>
          <t>UPPSALA LÄN</t>
        </is>
      </c>
      <c r="E6283" t="inlineStr">
        <is>
          <t>UPPSALA</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52468-2024</t>
        </is>
      </c>
      <c r="B6284" s="1" t="n">
        <v>45609</v>
      </c>
      <c r="C6284" s="1" t="n">
        <v>45846</v>
      </c>
      <c r="D6284" t="inlineStr">
        <is>
          <t>UPPSALA LÄN</t>
        </is>
      </c>
      <c r="E6284" t="inlineStr">
        <is>
          <t>ÖSTHAMMAR</t>
        </is>
      </c>
      <c r="F6284" t="inlineStr">
        <is>
          <t>Bergvik skog väst AB</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52469-2024</t>
        </is>
      </c>
      <c r="B6285" s="1" t="n">
        <v>45609</v>
      </c>
      <c r="C6285" s="1" t="n">
        <v>45846</v>
      </c>
      <c r="D6285" t="inlineStr">
        <is>
          <t>UPPSALA LÄN</t>
        </is>
      </c>
      <c r="E6285" t="inlineStr">
        <is>
          <t>ÖSTHAMMAR</t>
        </is>
      </c>
      <c r="F6285" t="inlineStr">
        <is>
          <t>Bergvik skog väst AB</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52485-2024</t>
        </is>
      </c>
      <c r="B6286" s="1" t="n">
        <v>45609</v>
      </c>
      <c r="C6286" s="1" t="n">
        <v>45846</v>
      </c>
      <c r="D6286" t="inlineStr">
        <is>
          <t>UPPSALA LÄN</t>
        </is>
      </c>
      <c r="E6286" t="inlineStr">
        <is>
          <t>ÖSTHAMMAR</t>
        </is>
      </c>
      <c r="F6286" t="inlineStr">
        <is>
          <t>Bergvik skog väst AB</t>
        </is>
      </c>
      <c r="G6286" t="n">
        <v>4</v>
      </c>
      <c r="H6286" t="n">
        <v>0</v>
      </c>
      <c r="I6286" t="n">
        <v>0</v>
      </c>
      <c r="J6286" t="n">
        <v>0</v>
      </c>
      <c r="K6286" t="n">
        <v>0</v>
      </c>
      <c r="L6286" t="n">
        <v>0</v>
      </c>
      <c r="M6286" t="n">
        <v>0</v>
      </c>
      <c r="N6286" t="n">
        <v>0</v>
      </c>
      <c r="O6286" t="n">
        <v>0</v>
      </c>
      <c r="P6286" t="n">
        <v>0</v>
      </c>
      <c r="Q6286" t="n">
        <v>0</v>
      </c>
      <c r="R6286" s="2" t="inlineStr"/>
    </row>
    <row r="6287" ht="15" customHeight="1">
      <c r="A6287" t="inlineStr">
        <is>
          <t>A 52380-2024</t>
        </is>
      </c>
      <c r="B6287" s="1" t="n">
        <v>45609</v>
      </c>
      <c r="C6287" s="1" t="n">
        <v>45846</v>
      </c>
      <c r="D6287" t="inlineStr">
        <is>
          <t>UPPSALA LÄN</t>
        </is>
      </c>
      <c r="E6287" t="inlineStr">
        <is>
          <t>ENKÖPING</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52466-2024</t>
        </is>
      </c>
      <c r="B6288" s="1" t="n">
        <v>45609</v>
      </c>
      <c r="C6288" s="1" t="n">
        <v>45846</v>
      </c>
      <c r="D6288" t="inlineStr">
        <is>
          <t>UPPSALA LÄN</t>
        </is>
      </c>
      <c r="E6288" t="inlineStr">
        <is>
          <t>UPPSALA</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52470-2024</t>
        </is>
      </c>
      <c r="B6289" s="1" t="n">
        <v>45609</v>
      </c>
      <c r="C6289" s="1" t="n">
        <v>45846</v>
      </c>
      <c r="D6289" t="inlineStr">
        <is>
          <t>UPPSALA LÄN</t>
        </is>
      </c>
      <c r="E6289" t="inlineStr">
        <is>
          <t>ÖSTHAMMAR</t>
        </is>
      </c>
      <c r="F6289" t="inlineStr">
        <is>
          <t>Bergvik skog väst AB</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52478-2024</t>
        </is>
      </c>
      <c r="B6290" s="1" t="n">
        <v>45609</v>
      </c>
      <c r="C6290" s="1" t="n">
        <v>45846</v>
      </c>
      <c r="D6290" t="inlineStr">
        <is>
          <t>UPPSALA LÄN</t>
        </is>
      </c>
      <c r="E6290" t="inlineStr">
        <is>
          <t>ÖSTHAMMAR</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52534-2024</t>
        </is>
      </c>
      <c r="B6291" s="1" t="n">
        <v>45609</v>
      </c>
      <c r="C6291" s="1" t="n">
        <v>45846</v>
      </c>
      <c r="D6291" t="inlineStr">
        <is>
          <t>UPPSALA LÄN</t>
        </is>
      </c>
      <c r="E6291" t="inlineStr">
        <is>
          <t>ÖSTHAMMAR</t>
        </is>
      </c>
      <c r="F6291" t="inlineStr">
        <is>
          <t>Bergvik skog väst AB</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52793-2024</t>
        </is>
      </c>
      <c r="B6292" s="1" t="n">
        <v>45610</v>
      </c>
      <c r="C6292" s="1" t="n">
        <v>45846</v>
      </c>
      <c r="D6292" t="inlineStr">
        <is>
          <t>UPPSALA LÄN</t>
        </is>
      </c>
      <c r="E6292" t="inlineStr">
        <is>
          <t>HEBY</t>
        </is>
      </c>
      <c r="G6292" t="n">
        <v>3.7</v>
      </c>
      <c r="H6292" t="n">
        <v>0</v>
      </c>
      <c r="I6292" t="n">
        <v>0</v>
      </c>
      <c r="J6292" t="n">
        <v>0</v>
      </c>
      <c r="K6292" t="n">
        <v>0</v>
      </c>
      <c r="L6292" t="n">
        <v>0</v>
      </c>
      <c r="M6292" t="n">
        <v>0</v>
      </c>
      <c r="N6292" t="n">
        <v>0</v>
      </c>
      <c r="O6292" t="n">
        <v>0</v>
      </c>
      <c r="P6292" t="n">
        <v>0</v>
      </c>
      <c r="Q6292" t="n">
        <v>0</v>
      </c>
      <c r="R6292" s="2" t="inlineStr"/>
    </row>
    <row r="6293" ht="15" customHeight="1">
      <c r="A6293" t="inlineStr">
        <is>
          <t>A 52796-2024</t>
        </is>
      </c>
      <c r="B6293" s="1" t="n">
        <v>45610</v>
      </c>
      <c r="C6293" s="1" t="n">
        <v>45846</v>
      </c>
      <c r="D6293" t="inlineStr">
        <is>
          <t>UPPSALA LÄN</t>
        </is>
      </c>
      <c r="E6293" t="inlineStr">
        <is>
          <t>HEBY</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52872-2024</t>
        </is>
      </c>
      <c r="B6294" s="1" t="n">
        <v>45610</v>
      </c>
      <c r="C6294" s="1" t="n">
        <v>45846</v>
      </c>
      <c r="D6294" t="inlineStr">
        <is>
          <t>UPPSALA LÄN</t>
        </is>
      </c>
      <c r="E6294" t="inlineStr">
        <is>
          <t>TIERP</t>
        </is>
      </c>
      <c r="F6294" t="inlineStr">
        <is>
          <t>Bergvik skog öst AB</t>
        </is>
      </c>
      <c r="G6294" t="n">
        <v>13.2</v>
      </c>
      <c r="H6294" t="n">
        <v>0</v>
      </c>
      <c r="I6294" t="n">
        <v>0</v>
      </c>
      <c r="J6294" t="n">
        <v>0</v>
      </c>
      <c r="K6294" t="n">
        <v>0</v>
      </c>
      <c r="L6294" t="n">
        <v>0</v>
      </c>
      <c r="M6294" t="n">
        <v>0</v>
      </c>
      <c r="N6294" t="n">
        <v>0</v>
      </c>
      <c r="O6294" t="n">
        <v>0</v>
      </c>
      <c r="P6294" t="n">
        <v>0</v>
      </c>
      <c r="Q6294" t="n">
        <v>0</v>
      </c>
      <c r="R6294" s="2" t="inlineStr"/>
    </row>
    <row r="6295" ht="15" customHeight="1">
      <c r="A6295" t="inlineStr">
        <is>
          <t>A 52890-2024</t>
        </is>
      </c>
      <c r="B6295" s="1" t="n">
        <v>45610</v>
      </c>
      <c r="C6295" s="1" t="n">
        <v>45846</v>
      </c>
      <c r="D6295" t="inlineStr">
        <is>
          <t>UPPSALA LÄN</t>
        </is>
      </c>
      <c r="E6295" t="inlineStr">
        <is>
          <t>ÖSTHAMMAR</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53158-2024</t>
        </is>
      </c>
      <c r="B6296" s="1" t="n">
        <v>45611</v>
      </c>
      <c r="C6296" s="1" t="n">
        <v>45846</v>
      </c>
      <c r="D6296" t="inlineStr">
        <is>
          <t>UPPSALA LÄN</t>
        </is>
      </c>
      <c r="E6296" t="inlineStr">
        <is>
          <t>TIERP</t>
        </is>
      </c>
      <c r="F6296" t="inlineStr">
        <is>
          <t>Bergvik skog öst AB</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53614-2024</t>
        </is>
      </c>
      <c r="B6297" s="1" t="n">
        <v>45611</v>
      </c>
      <c r="C6297" s="1" t="n">
        <v>45846</v>
      </c>
      <c r="D6297" t="inlineStr">
        <is>
          <t>UPPSALA LÄN</t>
        </is>
      </c>
      <c r="E6297" t="inlineStr">
        <is>
          <t>UPPSALA</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53161-2024</t>
        </is>
      </c>
      <c r="B6298" s="1" t="n">
        <v>45611</v>
      </c>
      <c r="C6298" s="1" t="n">
        <v>45846</v>
      </c>
      <c r="D6298" t="inlineStr">
        <is>
          <t>UPPSALA LÄN</t>
        </is>
      </c>
      <c r="E6298" t="inlineStr">
        <is>
          <t>TIERP</t>
        </is>
      </c>
      <c r="F6298" t="inlineStr">
        <is>
          <t>Bergvik skog väst AB</t>
        </is>
      </c>
      <c r="G6298" t="n">
        <v>14.9</v>
      </c>
      <c r="H6298" t="n">
        <v>0</v>
      </c>
      <c r="I6298" t="n">
        <v>0</v>
      </c>
      <c r="J6298" t="n">
        <v>0</v>
      </c>
      <c r="K6298" t="n">
        <v>0</v>
      </c>
      <c r="L6298" t="n">
        <v>0</v>
      </c>
      <c r="M6298" t="n">
        <v>0</v>
      </c>
      <c r="N6298" t="n">
        <v>0</v>
      </c>
      <c r="O6298" t="n">
        <v>0</v>
      </c>
      <c r="P6298" t="n">
        <v>0</v>
      </c>
      <c r="Q6298" t="n">
        <v>0</v>
      </c>
      <c r="R6298" s="2" t="inlineStr"/>
    </row>
    <row r="6299" ht="15" customHeight="1">
      <c r="A6299" t="inlineStr">
        <is>
          <t>A 53095-2024</t>
        </is>
      </c>
      <c r="B6299" s="1" t="n">
        <v>45611</v>
      </c>
      <c r="C6299" s="1" t="n">
        <v>45846</v>
      </c>
      <c r="D6299" t="inlineStr">
        <is>
          <t>UPPSALA LÄN</t>
        </is>
      </c>
      <c r="E6299" t="inlineStr">
        <is>
          <t>ÖSTHAMMAR</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53058-2024</t>
        </is>
      </c>
      <c r="B6300" s="1" t="n">
        <v>45611</v>
      </c>
      <c r="C6300" s="1" t="n">
        <v>45846</v>
      </c>
      <c r="D6300" t="inlineStr">
        <is>
          <t>UPPSALA LÄN</t>
        </is>
      </c>
      <c r="E6300" t="inlineStr">
        <is>
          <t>UPPSALA</t>
        </is>
      </c>
      <c r="G6300" t="n">
        <v>5.5</v>
      </c>
      <c r="H6300" t="n">
        <v>0</v>
      </c>
      <c r="I6300" t="n">
        <v>0</v>
      </c>
      <c r="J6300" t="n">
        <v>0</v>
      </c>
      <c r="K6300" t="n">
        <v>0</v>
      </c>
      <c r="L6300" t="n">
        <v>0</v>
      </c>
      <c r="M6300" t="n">
        <v>0</v>
      </c>
      <c r="N6300" t="n">
        <v>0</v>
      </c>
      <c r="O6300" t="n">
        <v>0</v>
      </c>
      <c r="P6300" t="n">
        <v>0</v>
      </c>
      <c r="Q6300" t="n">
        <v>0</v>
      </c>
      <c r="R6300" s="2" t="inlineStr"/>
    </row>
    <row r="6301" ht="15" customHeight="1">
      <c r="A6301" t="inlineStr">
        <is>
          <t>A 53615-2024</t>
        </is>
      </c>
      <c r="B6301" s="1" t="n">
        <v>45611</v>
      </c>
      <c r="C6301" s="1" t="n">
        <v>45846</v>
      </c>
      <c r="D6301" t="inlineStr">
        <is>
          <t>UPPSALA LÄN</t>
        </is>
      </c>
      <c r="E6301" t="inlineStr">
        <is>
          <t>UPPSALA</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53365-2024</t>
        </is>
      </c>
      <c r="B6302" s="1" t="n">
        <v>45614</v>
      </c>
      <c r="C6302" s="1" t="n">
        <v>45846</v>
      </c>
      <c r="D6302" t="inlineStr">
        <is>
          <t>UPPSALA LÄN</t>
        </is>
      </c>
      <c r="E6302" t="inlineStr">
        <is>
          <t>UPPSALA</t>
        </is>
      </c>
      <c r="F6302" t="inlineStr">
        <is>
          <t>Allmännings- och besparingsskogar</t>
        </is>
      </c>
      <c r="G6302" t="n">
        <v>6.6</v>
      </c>
      <c r="H6302" t="n">
        <v>0</v>
      </c>
      <c r="I6302" t="n">
        <v>0</v>
      </c>
      <c r="J6302" t="n">
        <v>0</v>
      </c>
      <c r="K6302" t="n">
        <v>0</v>
      </c>
      <c r="L6302" t="n">
        <v>0</v>
      </c>
      <c r="M6302" t="n">
        <v>0</v>
      </c>
      <c r="N6302" t="n">
        <v>0</v>
      </c>
      <c r="O6302" t="n">
        <v>0</v>
      </c>
      <c r="P6302" t="n">
        <v>0</v>
      </c>
      <c r="Q6302" t="n">
        <v>0</v>
      </c>
      <c r="R6302" s="2" t="inlineStr"/>
    </row>
    <row r="6303" ht="15" customHeight="1">
      <c r="A6303" t="inlineStr">
        <is>
          <t>A 53587-2024</t>
        </is>
      </c>
      <c r="B6303" s="1" t="n">
        <v>45614</v>
      </c>
      <c r="C6303" s="1" t="n">
        <v>45846</v>
      </c>
      <c r="D6303" t="inlineStr">
        <is>
          <t>UPPSALA LÄN</t>
        </is>
      </c>
      <c r="E6303" t="inlineStr">
        <is>
          <t>ENKÖPING</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53588-2024</t>
        </is>
      </c>
      <c r="B6304" s="1" t="n">
        <v>45614</v>
      </c>
      <c r="C6304" s="1" t="n">
        <v>45846</v>
      </c>
      <c r="D6304" t="inlineStr">
        <is>
          <t>UPPSALA LÄN</t>
        </is>
      </c>
      <c r="E6304" t="inlineStr">
        <is>
          <t>UPPSALA</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53589-2024</t>
        </is>
      </c>
      <c r="B6305" s="1" t="n">
        <v>45614</v>
      </c>
      <c r="C6305" s="1" t="n">
        <v>45846</v>
      </c>
      <c r="D6305" t="inlineStr">
        <is>
          <t>UPPSALA LÄN</t>
        </is>
      </c>
      <c r="E6305" t="inlineStr">
        <is>
          <t>UPPSALA</t>
        </is>
      </c>
      <c r="G6305" t="n">
        <v>4</v>
      </c>
      <c r="H6305" t="n">
        <v>0</v>
      </c>
      <c r="I6305" t="n">
        <v>0</v>
      </c>
      <c r="J6305" t="n">
        <v>0</v>
      </c>
      <c r="K6305" t="n">
        <v>0</v>
      </c>
      <c r="L6305" t="n">
        <v>0</v>
      </c>
      <c r="M6305" t="n">
        <v>0</v>
      </c>
      <c r="N6305" t="n">
        <v>0</v>
      </c>
      <c r="O6305" t="n">
        <v>0</v>
      </c>
      <c r="P6305" t="n">
        <v>0</v>
      </c>
      <c r="Q6305" t="n">
        <v>0</v>
      </c>
      <c r="R6305" s="2" t="inlineStr"/>
    </row>
    <row r="6306" ht="15" customHeight="1">
      <c r="A6306" t="inlineStr">
        <is>
          <t>A 53569-2024</t>
        </is>
      </c>
      <c r="B6306" s="1" t="n">
        <v>45614</v>
      </c>
      <c r="C6306" s="1" t="n">
        <v>45846</v>
      </c>
      <c r="D6306" t="inlineStr">
        <is>
          <t>UPPSALA LÄN</t>
        </is>
      </c>
      <c r="E6306" t="inlineStr">
        <is>
          <t>UPPSALA</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53586-2024</t>
        </is>
      </c>
      <c r="B6307" s="1" t="n">
        <v>45614</v>
      </c>
      <c r="C6307" s="1" t="n">
        <v>45846</v>
      </c>
      <c r="D6307" t="inlineStr">
        <is>
          <t>UPPSALA LÄN</t>
        </is>
      </c>
      <c r="E6307" t="inlineStr">
        <is>
          <t>ENKÖPING</t>
        </is>
      </c>
      <c r="G6307" t="n">
        <v>6.6</v>
      </c>
      <c r="H6307" t="n">
        <v>0</v>
      </c>
      <c r="I6307" t="n">
        <v>0</v>
      </c>
      <c r="J6307" t="n">
        <v>0</v>
      </c>
      <c r="K6307" t="n">
        <v>0</v>
      </c>
      <c r="L6307" t="n">
        <v>0</v>
      </c>
      <c r="M6307" t="n">
        <v>0</v>
      </c>
      <c r="N6307" t="n">
        <v>0</v>
      </c>
      <c r="O6307" t="n">
        <v>0</v>
      </c>
      <c r="P6307" t="n">
        <v>0</v>
      </c>
      <c r="Q6307" t="n">
        <v>0</v>
      </c>
      <c r="R6307" s="2" t="inlineStr"/>
    </row>
    <row r="6308" ht="15" customHeight="1">
      <c r="A6308" t="inlineStr">
        <is>
          <t>A 53557-2024</t>
        </is>
      </c>
      <c r="B6308" s="1" t="n">
        <v>45614</v>
      </c>
      <c r="C6308" s="1" t="n">
        <v>45846</v>
      </c>
      <c r="D6308" t="inlineStr">
        <is>
          <t>UPPSALA LÄN</t>
        </is>
      </c>
      <c r="E6308" t="inlineStr">
        <is>
          <t>ENKÖPING</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53384-2024</t>
        </is>
      </c>
      <c r="B6309" s="1" t="n">
        <v>45614</v>
      </c>
      <c r="C6309" s="1" t="n">
        <v>45846</v>
      </c>
      <c r="D6309" t="inlineStr">
        <is>
          <t>UPPSALA LÄN</t>
        </is>
      </c>
      <c r="E6309" t="inlineStr">
        <is>
          <t>UPPSALA</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53348-2024</t>
        </is>
      </c>
      <c r="B6310" s="1" t="n">
        <v>45614</v>
      </c>
      <c r="C6310" s="1" t="n">
        <v>45846</v>
      </c>
      <c r="D6310" t="inlineStr">
        <is>
          <t>UPPSALA LÄN</t>
        </is>
      </c>
      <c r="E6310" t="inlineStr">
        <is>
          <t>ENKÖPING</t>
        </is>
      </c>
      <c r="G6310" t="n">
        <v>6.2</v>
      </c>
      <c r="H6310" t="n">
        <v>0</v>
      </c>
      <c r="I6310" t="n">
        <v>0</v>
      </c>
      <c r="J6310" t="n">
        <v>0</v>
      </c>
      <c r="K6310" t="n">
        <v>0</v>
      </c>
      <c r="L6310" t="n">
        <v>0</v>
      </c>
      <c r="M6310" t="n">
        <v>0</v>
      </c>
      <c r="N6310" t="n">
        <v>0</v>
      </c>
      <c r="O6310" t="n">
        <v>0</v>
      </c>
      <c r="P6310" t="n">
        <v>0</v>
      </c>
      <c r="Q6310" t="n">
        <v>0</v>
      </c>
      <c r="R6310" s="2" t="inlineStr"/>
    </row>
    <row r="6311" ht="15" customHeight="1">
      <c r="A6311" t="inlineStr">
        <is>
          <t>A 53266-2024</t>
        </is>
      </c>
      <c r="B6311" s="1" t="n">
        <v>45614</v>
      </c>
      <c r="C6311" s="1" t="n">
        <v>45846</v>
      </c>
      <c r="D6311" t="inlineStr">
        <is>
          <t>UPPSALA LÄN</t>
        </is>
      </c>
      <c r="E6311" t="inlineStr">
        <is>
          <t>UPPSALA</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53859-2024</t>
        </is>
      </c>
      <c r="B6312" s="1" t="n">
        <v>45614</v>
      </c>
      <c r="C6312" s="1" t="n">
        <v>45846</v>
      </c>
      <c r="D6312" t="inlineStr">
        <is>
          <t>UPPSALA LÄN</t>
        </is>
      </c>
      <c r="E6312" t="inlineStr">
        <is>
          <t>HÅBO</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53913-2024</t>
        </is>
      </c>
      <c r="B6313" s="1" t="n">
        <v>45615</v>
      </c>
      <c r="C6313" s="1" t="n">
        <v>45846</v>
      </c>
      <c r="D6313" t="inlineStr">
        <is>
          <t>UPPSALA LÄN</t>
        </is>
      </c>
      <c r="E6313" t="inlineStr">
        <is>
          <t>ÖSTHAMMAR</t>
        </is>
      </c>
      <c r="G6313" t="n">
        <v>6.4</v>
      </c>
      <c r="H6313" t="n">
        <v>0</v>
      </c>
      <c r="I6313" t="n">
        <v>0</v>
      </c>
      <c r="J6313" t="n">
        <v>0</v>
      </c>
      <c r="K6313" t="n">
        <v>0</v>
      </c>
      <c r="L6313" t="n">
        <v>0</v>
      </c>
      <c r="M6313" t="n">
        <v>0</v>
      </c>
      <c r="N6313" t="n">
        <v>0</v>
      </c>
      <c r="O6313" t="n">
        <v>0</v>
      </c>
      <c r="P6313" t="n">
        <v>0</v>
      </c>
      <c r="Q6313" t="n">
        <v>0</v>
      </c>
      <c r="R6313" s="2" t="inlineStr"/>
    </row>
    <row r="6314" ht="15" customHeight="1">
      <c r="A6314" t="inlineStr">
        <is>
          <t>A 53921-2024</t>
        </is>
      </c>
      <c r="B6314" s="1" t="n">
        <v>45615</v>
      </c>
      <c r="C6314" s="1" t="n">
        <v>45846</v>
      </c>
      <c r="D6314" t="inlineStr">
        <is>
          <t>UPPSALA LÄN</t>
        </is>
      </c>
      <c r="E6314" t="inlineStr">
        <is>
          <t>UPPSALA</t>
        </is>
      </c>
      <c r="G6314" t="n">
        <v>8.1</v>
      </c>
      <c r="H6314" t="n">
        <v>0</v>
      </c>
      <c r="I6314" t="n">
        <v>0</v>
      </c>
      <c r="J6314" t="n">
        <v>0</v>
      </c>
      <c r="K6314" t="n">
        <v>0</v>
      </c>
      <c r="L6314" t="n">
        <v>0</v>
      </c>
      <c r="M6314" t="n">
        <v>0</v>
      </c>
      <c r="N6314" t="n">
        <v>0</v>
      </c>
      <c r="O6314" t="n">
        <v>0</v>
      </c>
      <c r="P6314" t="n">
        <v>0</v>
      </c>
      <c r="Q6314" t="n">
        <v>0</v>
      </c>
      <c r="R6314" s="2" t="inlineStr"/>
    </row>
    <row r="6315" ht="15" customHeight="1">
      <c r="A6315" t="inlineStr">
        <is>
          <t>A 54040-2024</t>
        </is>
      </c>
      <c r="B6315" s="1" t="n">
        <v>45616</v>
      </c>
      <c r="C6315" s="1" t="n">
        <v>45846</v>
      </c>
      <c r="D6315" t="inlineStr">
        <is>
          <t>UPPSALA LÄN</t>
        </is>
      </c>
      <c r="E6315" t="inlineStr">
        <is>
          <t>HEBY</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54204-2024</t>
        </is>
      </c>
      <c r="B6316" s="1" t="n">
        <v>45616</v>
      </c>
      <c r="C6316" s="1" t="n">
        <v>45846</v>
      </c>
      <c r="D6316" t="inlineStr">
        <is>
          <t>UPPSALA LÄN</t>
        </is>
      </c>
      <c r="E6316" t="inlineStr">
        <is>
          <t>ÄLVKARLEBY</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54010-2024</t>
        </is>
      </c>
      <c r="B6317" s="1" t="n">
        <v>45616</v>
      </c>
      <c r="C6317" s="1" t="n">
        <v>45846</v>
      </c>
      <c r="D6317" t="inlineStr">
        <is>
          <t>UPPSALA LÄN</t>
        </is>
      </c>
      <c r="E6317" t="inlineStr">
        <is>
          <t>ENKÖPING</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54299-2024</t>
        </is>
      </c>
      <c r="B6318" s="1" t="n">
        <v>45617</v>
      </c>
      <c r="C6318" s="1" t="n">
        <v>45846</v>
      </c>
      <c r="D6318" t="inlineStr">
        <is>
          <t>UPPSALA LÄN</t>
        </is>
      </c>
      <c r="E6318" t="inlineStr">
        <is>
          <t>TIERP</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54311-2024</t>
        </is>
      </c>
      <c r="B6319" s="1" t="n">
        <v>45617</v>
      </c>
      <c r="C6319" s="1" t="n">
        <v>45846</v>
      </c>
      <c r="D6319" t="inlineStr">
        <is>
          <t>UPPSALA LÄN</t>
        </is>
      </c>
      <c r="E6319" t="inlineStr">
        <is>
          <t>KNIVSTA</t>
        </is>
      </c>
      <c r="G6319" t="n">
        <v>7.1</v>
      </c>
      <c r="H6319" t="n">
        <v>0</v>
      </c>
      <c r="I6319" t="n">
        <v>0</v>
      </c>
      <c r="J6319" t="n">
        <v>0</v>
      </c>
      <c r="K6319" t="n">
        <v>0</v>
      </c>
      <c r="L6319" t="n">
        <v>0</v>
      </c>
      <c r="M6319" t="n">
        <v>0</v>
      </c>
      <c r="N6319" t="n">
        <v>0</v>
      </c>
      <c r="O6319" t="n">
        <v>0</v>
      </c>
      <c r="P6319" t="n">
        <v>0</v>
      </c>
      <c r="Q6319" t="n">
        <v>0</v>
      </c>
      <c r="R6319" s="2" t="inlineStr"/>
    </row>
    <row r="6320" ht="15" customHeight="1">
      <c r="A6320" t="inlineStr">
        <is>
          <t>A 54310-2024</t>
        </is>
      </c>
      <c r="B6320" s="1" t="n">
        <v>45617</v>
      </c>
      <c r="C6320" s="1" t="n">
        <v>45846</v>
      </c>
      <c r="D6320" t="inlineStr">
        <is>
          <t>UPPSALA LÄN</t>
        </is>
      </c>
      <c r="E6320" t="inlineStr">
        <is>
          <t>KNIVSTA</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54308-2024</t>
        </is>
      </c>
      <c r="B6321" s="1" t="n">
        <v>45617</v>
      </c>
      <c r="C6321" s="1" t="n">
        <v>45846</v>
      </c>
      <c r="D6321" t="inlineStr">
        <is>
          <t>UPPSALA LÄN</t>
        </is>
      </c>
      <c r="E6321" t="inlineStr">
        <is>
          <t>KNIVSTA</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54397-2024</t>
        </is>
      </c>
      <c r="B6322" s="1" t="n">
        <v>45617</v>
      </c>
      <c r="C6322" s="1" t="n">
        <v>45846</v>
      </c>
      <c r="D6322" t="inlineStr">
        <is>
          <t>UPPSALA LÄN</t>
        </is>
      </c>
      <c r="E6322" t="inlineStr">
        <is>
          <t>ÖSTHAMMAR</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54402-2024</t>
        </is>
      </c>
      <c r="B6323" s="1" t="n">
        <v>45617</v>
      </c>
      <c r="C6323" s="1" t="n">
        <v>45846</v>
      </c>
      <c r="D6323" t="inlineStr">
        <is>
          <t>UPPSALA LÄN</t>
        </is>
      </c>
      <c r="E6323" t="inlineStr">
        <is>
          <t>ÖSTHAMMAR</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54594-2024</t>
        </is>
      </c>
      <c r="B6324" s="1" t="n">
        <v>45617</v>
      </c>
      <c r="C6324" s="1" t="n">
        <v>45846</v>
      </c>
      <c r="D6324" t="inlineStr">
        <is>
          <t>UPPSALA LÄN</t>
        </is>
      </c>
      <c r="E6324" t="inlineStr">
        <is>
          <t>HEBY</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54512-2024</t>
        </is>
      </c>
      <c r="B6325" s="1" t="n">
        <v>45617</v>
      </c>
      <c r="C6325" s="1" t="n">
        <v>45846</v>
      </c>
      <c r="D6325" t="inlineStr">
        <is>
          <t>UPPSALA LÄN</t>
        </is>
      </c>
      <c r="E6325" t="inlineStr">
        <is>
          <t>UPPSALA</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54588-2024</t>
        </is>
      </c>
      <c r="B6326" s="1" t="n">
        <v>45617</v>
      </c>
      <c r="C6326" s="1" t="n">
        <v>45846</v>
      </c>
      <c r="D6326" t="inlineStr">
        <is>
          <t>UPPSALA LÄN</t>
        </is>
      </c>
      <c r="E6326" t="inlineStr">
        <is>
          <t>ENKÖPING</t>
        </is>
      </c>
      <c r="G6326" t="n">
        <v>3.7</v>
      </c>
      <c r="H6326" t="n">
        <v>0</v>
      </c>
      <c r="I6326" t="n">
        <v>0</v>
      </c>
      <c r="J6326" t="n">
        <v>0</v>
      </c>
      <c r="K6326" t="n">
        <v>0</v>
      </c>
      <c r="L6326" t="n">
        <v>0</v>
      </c>
      <c r="M6326" t="n">
        <v>0</v>
      </c>
      <c r="N6326" t="n">
        <v>0</v>
      </c>
      <c r="O6326" t="n">
        <v>0</v>
      </c>
      <c r="P6326" t="n">
        <v>0</v>
      </c>
      <c r="Q6326" t="n">
        <v>0</v>
      </c>
      <c r="R6326" s="2" t="inlineStr"/>
    </row>
    <row r="6327" ht="15" customHeight="1">
      <c r="A6327" t="inlineStr">
        <is>
          <t>A 54437-2024</t>
        </is>
      </c>
      <c r="B6327" s="1" t="n">
        <v>45617</v>
      </c>
      <c r="C6327" s="1" t="n">
        <v>45846</v>
      </c>
      <c r="D6327" t="inlineStr">
        <is>
          <t>UPPSALA LÄN</t>
        </is>
      </c>
      <c r="E6327" t="inlineStr">
        <is>
          <t>ÖSTHAMMAR</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54449-2024</t>
        </is>
      </c>
      <c r="B6328" s="1" t="n">
        <v>45617</v>
      </c>
      <c r="C6328" s="1" t="n">
        <v>45846</v>
      </c>
      <c r="D6328" t="inlineStr">
        <is>
          <t>UPPSALA LÄN</t>
        </is>
      </c>
      <c r="E6328" t="inlineStr">
        <is>
          <t>TIERP</t>
        </is>
      </c>
      <c r="G6328" t="n">
        <v>8.5</v>
      </c>
      <c r="H6328" t="n">
        <v>0</v>
      </c>
      <c r="I6328" t="n">
        <v>0</v>
      </c>
      <c r="J6328" t="n">
        <v>0</v>
      </c>
      <c r="K6328" t="n">
        <v>0</v>
      </c>
      <c r="L6328" t="n">
        <v>0</v>
      </c>
      <c r="M6328" t="n">
        <v>0</v>
      </c>
      <c r="N6328" t="n">
        <v>0</v>
      </c>
      <c r="O6328" t="n">
        <v>0</v>
      </c>
      <c r="P6328" t="n">
        <v>0</v>
      </c>
      <c r="Q6328" t="n">
        <v>0</v>
      </c>
      <c r="R6328" s="2" t="inlineStr"/>
    </row>
    <row r="6329" ht="15" customHeight="1">
      <c r="A6329" t="inlineStr">
        <is>
          <t>A 54469-2024</t>
        </is>
      </c>
      <c r="B6329" s="1" t="n">
        <v>45617</v>
      </c>
      <c r="C6329" s="1" t="n">
        <v>45846</v>
      </c>
      <c r="D6329" t="inlineStr">
        <is>
          <t>UPPSALA LÄN</t>
        </is>
      </c>
      <c r="E6329" t="inlineStr">
        <is>
          <t>TIERP</t>
        </is>
      </c>
      <c r="F6329" t="inlineStr">
        <is>
          <t>Bergvik skog öst AB</t>
        </is>
      </c>
      <c r="G6329" t="n">
        <v>12.4</v>
      </c>
      <c r="H6329" t="n">
        <v>0</v>
      </c>
      <c r="I6329" t="n">
        <v>0</v>
      </c>
      <c r="J6329" t="n">
        <v>0</v>
      </c>
      <c r="K6329" t="n">
        <v>0</v>
      </c>
      <c r="L6329" t="n">
        <v>0</v>
      </c>
      <c r="M6329" t="n">
        <v>0</v>
      </c>
      <c r="N6329" t="n">
        <v>0</v>
      </c>
      <c r="O6329" t="n">
        <v>0</v>
      </c>
      <c r="P6329" t="n">
        <v>0</v>
      </c>
      <c r="Q6329" t="n">
        <v>0</v>
      </c>
      <c r="R6329" s="2" t="inlineStr"/>
    </row>
    <row r="6330" ht="15" customHeight="1">
      <c r="A6330" t="inlineStr">
        <is>
          <t>A 54924-2024</t>
        </is>
      </c>
      <c r="B6330" s="1" t="n">
        <v>45618</v>
      </c>
      <c r="C6330" s="1" t="n">
        <v>45846</v>
      </c>
      <c r="D6330" t="inlineStr">
        <is>
          <t>UPPSALA LÄN</t>
        </is>
      </c>
      <c r="E6330" t="inlineStr">
        <is>
          <t>UPPSALA</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54753-2024</t>
        </is>
      </c>
      <c r="B6331" s="1" t="n">
        <v>45618</v>
      </c>
      <c r="C6331" s="1" t="n">
        <v>45846</v>
      </c>
      <c r="D6331" t="inlineStr">
        <is>
          <t>UPPSALA LÄN</t>
        </is>
      </c>
      <c r="E6331" t="inlineStr">
        <is>
          <t>TIERP</t>
        </is>
      </c>
      <c r="F6331" t="inlineStr">
        <is>
          <t>Bergvik skog öst AB</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54770-2024</t>
        </is>
      </c>
      <c r="B6332" s="1" t="n">
        <v>45618</v>
      </c>
      <c r="C6332" s="1" t="n">
        <v>45846</v>
      </c>
      <c r="D6332" t="inlineStr">
        <is>
          <t>UPPSALA LÄN</t>
        </is>
      </c>
      <c r="E6332" t="inlineStr">
        <is>
          <t>TIERP</t>
        </is>
      </c>
      <c r="F6332" t="inlineStr">
        <is>
          <t>Bergvik skog öst AB</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54759-2024</t>
        </is>
      </c>
      <c r="B6333" s="1" t="n">
        <v>45618</v>
      </c>
      <c r="C6333" s="1" t="n">
        <v>45846</v>
      </c>
      <c r="D6333" t="inlineStr">
        <is>
          <t>UPPSALA LÄN</t>
        </is>
      </c>
      <c r="E6333" t="inlineStr">
        <is>
          <t>ÖSTHAMMAR</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54934-2024</t>
        </is>
      </c>
      <c r="B6334" s="1" t="n">
        <v>45618</v>
      </c>
      <c r="C6334" s="1" t="n">
        <v>45846</v>
      </c>
      <c r="D6334" t="inlineStr">
        <is>
          <t>UPPSALA LÄN</t>
        </is>
      </c>
      <c r="E6334" t="inlineStr">
        <is>
          <t>ÖSTHAMMAR</t>
        </is>
      </c>
      <c r="F6334" t="inlineStr">
        <is>
          <t>Bergvik skog öst AB</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54776-2024</t>
        </is>
      </c>
      <c r="B6335" s="1" t="n">
        <v>45618</v>
      </c>
      <c r="C6335" s="1" t="n">
        <v>45846</v>
      </c>
      <c r="D6335" t="inlineStr">
        <is>
          <t>UPPSALA LÄN</t>
        </is>
      </c>
      <c r="E6335" t="inlineStr">
        <is>
          <t>ENKÖPING</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54935-2024</t>
        </is>
      </c>
      <c r="B6336" s="1" t="n">
        <v>45618</v>
      </c>
      <c r="C6336" s="1" t="n">
        <v>45846</v>
      </c>
      <c r="D6336" t="inlineStr">
        <is>
          <t>UPPSALA LÄN</t>
        </is>
      </c>
      <c r="E6336" t="inlineStr">
        <is>
          <t>ÖSTHAMMAR</t>
        </is>
      </c>
      <c r="F6336" t="inlineStr">
        <is>
          <t>Bergvik skog öst AB</t>
        </is>
      </c>
      <c r="G6336" t="n">
        <v>13.4</v>
      </c>
      <c r="H6336" t="n">
        <v>0</v>
      </c>
      <c r="I6336" t="n">
        <v>0</v>
      </c>
      <c r="J6336" t="n">
        <v>0</v>
      </c>
      <c r="K6336" t="n">
        <v>0</v>
      </c>
      <c r="L6336" t="n">
        <v>0</v>
      </c>
      <c r="M6336" t="n">
        <v>0</v>
      </c>
      <c r="N6336" t="n">
        <v>0</v>
      </c>
      <c r="O6336" t="n">
        <v>0</v>
      </c>
      <c r="P6336" t="n">
        <v>0</v>
      </c>
      <c r="Q6336" t="n">
        <v>0</v>
      </c>
      <c r="R6336" s="2" t="inlineStr"/>
    </row>
    <row r="6337" ht="15" customHeight="1">
      <c r="A6337" t="inlineStr">
        <is>
          <t>A 55277-2024</t>
        </is>
      </c>
      <c r="B6337" s="1" t="n">
        <v>45621</v>
      </c>
      <c r="C6337" s="1" t="n">
        <v>45846</v>
      </c>
      <c r="D6337" t="inlineStr">
        <is>
          <t>UPPSALA LÄN</t>
        </is>
      </c>
      <c r="E6337" t="inlineStr">
        <is>
          <t>TIERP</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55139-2024</t>
        </is>
      </c>
      <c r="B6338" s="1" t="n">
        <v>45621</v>
      </c>
      <c r="C6338" s="1" t="n">
        <v>45846</v>
      </c>
      <c r="D6338" t="inlineStr">
        <is>
          <t>UPPSALA LÄN</t>
        </is>
      </c>
      <c r="E6338" t="inlineStr">
        <is>
          <t>ÄLVKARLEBY</t>
        </is>
      </c>
      <c r="F6338" t="inlineStr">
        <is>
          <t>Bergvik skog väst AB</t>
        </is>
      </c>
      <c r="G6338" t="n">
        <v>10.4</v>
      </c>
      <c r="H6338" t="n">
        <v>0</v>
      </c>
      <c r="I6338" t="n">
        <v>0</v>
      </c>
      <c r="J6338" t="n">
        <v>0</v>
      </c>
      <c r="K6338" t="n">
        <v>0</v>
      </c>
      <c r="L6338" t="n">
        <v>0</v>
      </c>
      <c r="M6338" t="n">
        <v>0</v>
      </c>
      <c r="N6338" t="n">
        <v>0</v>
      </c>
      <c r="O6338" t="n">
        <v>0</v>
      </c>
      <c r="P6338" t="n">
        <v>0</v>
      </c>
      <c r="Q6338" t="n">
        <v>0</v>
      </c>
      <c r="R6338" s="2" t="inlineStr"/>
    </row>
    <row r="6339" ht="15" customHeight="1">
      <c r="A6339" t="inlineStr">
        <is>
          <t>A 55261-2024</t>
        </is>
      </c>
      <c r="B6339" s="1" t="n">
        <v>45621</v>
      </c>
      <c r="C6339" s="1" t="n">
        <v>45846</v>
      </c>
      <c r="D6339" t="inlineStr">
        <is>
          <t>UPPSALA LÄN</t>
        </is>
      </c>
      <c r="E6339" t="inlineStr">
        <is>
          <t>HEBY</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55093-2024</t>
        </is>
      </c>
      <c r="B6340" s="1" t="n">
        <v>45621</v>
      </c>
      <c r="C6340" s="1" t="n">
        <v>45846</v>
      </c>
      <c r="D6340" t="inlineStr">
        <is>
          <t>UPPSALA LÄN</t>
        </is>
      </c>
      <c r="E6340" t="inlineStr">
        <is>
          <t>ÖSTHAMMAR</t>
        </is>
      </c>
      <c r="F6340" t="inlineStr">
        <is>
          <t>Sveaskog</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55097-2024</t>
        </is>
      </c>
      <c r="B6341" s="1" t="n">
        <v>45621</v>
      </c>
      <c r="C6341" s="1" t="n">
        <v>45846</v>
      </c>
      <c r="D6341" t="inlineStr">
        <is>
          <t>UPPSALA LÄN</t>
        </is>
      </c>
      <c r="E6341" t="inlineStr">
        <is>
          <t>ÖSTHAMMAR</t>
        </is>
      </c>
      <c r="F6341" t="inlineStr">
        <is>
          <t>Sveaskog</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55100-2024</t>
        </is>
      </c>
      <c r="B6342" s="1" t="n">
        <v>45621</v>
      </c>
      <c r="C6342" s="1" t="n">
        <v>45846</v>
      </c>
      <c r="D6342" t="inlineStr">
        <is>
          <t>UPPSALA LÄN</t>
        </is>
      </c>
      <c r="E6342" t="inlineStr">
        <is>
          <t>ÖSTHAMMAR</t>
        </is>
      </c>
      <c r="F6342" t="inlineStr">
        <is>
          <t>Sveaskog</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55055-2024</t>
        </is>
      </c>
      <c r="B6343" s="1" t="n">
        <v>45621</v>
      </c>
      <c r="C6343" s="1" t="n">
        <v>45846</v>
      </c>
      <c r="D6343" t="inlineStr">
        <is>
          <t>UPPSALA LÄN</t>
        </is>
      </c>
      <c r="E6343" t="inlineStr">
        <is>
          <t>HEBY</t>
        </is>
      </c>
      <c r="G6343" t="n">
        <v>6.3</v>
      </c>
      <c r="H6343" t="n">
        <v>0</v>
      </c>
      <c r="I6343" t="n">
        <v>0</v>
      </c>
      <c r="J6343" t="n">
        <v>0</v>
      </c>
      <c r="K6343" t="n">
        <v>0</v>
      </c>
      <c r="L6343" t="n">
        <v>0</v>
      </c>
      <c r="M6343" t="n">
        <v>0</v>
      </c>
      <c r="N6343" t="n">
        <v>0</v>
      </c>
      <c r="O6343" t="n">
        <v>0</v>
      </c>
      <c r="P6343" t="n">
        <v>0</v>
      </c>
      <c r="Q6343" t="n">
        <v>0</v>
      </c>
      <c r="R6343" s="2" t="inlineStr"/>
    </row>
    <row r="6344" ht="15" customHeight="1">
      <c r="A6344" t="inlineStr">
        <is>
          <t>A 55234-2024</t>
        </is>
      </c>
      <c r="B6344" s="1" t="n">
        <v>45621</v>
      </c>
      <c r="C6344" s="1" t="n">
        <v>45846</v>
      </c>
      <c r="D6344" t="inlineStr">
        <is>
          <t>UPPSALA LÄN</t>
        </is>
      </c>
      <c r="E6344" t="inlineStr">
        <is>
          <t>TIERP</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55086-2024</t>
        </is>
      </c>
      <c r="B6345" s="1" t="n">
        <v>45621</v>
      </c>
      <c r="C6345" s="1" t="n">
        <v>45846</v>
      </c>
      <c r="D6345" t="inlineStr">
        <is>
          <t>UPPSALA LÄN</t>
        </is>
      </c>
      <c r="E6345" t="inlineStr">
        <is>
          <t>ÖSTHAMMAR</t>
        </is>
      </c>
      <c r="F6345" t="inlineStr">
        <is>
          <t>Sveaskog</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55090-2024</t>
        </is>
      </c>
      <c r="B6346" s="1" t="n">
        <v>45621</v>
      </c>
      <c r="C6346" s="1" t="n">
        <v>45846</v>
      </c>
      <c r="D6346" t="inlineStr">
        <is>
          <t>UPPSALA LÄN</t>
        </is>
      </c>
      <c r="E6346" t="inlineStr">
        <is>
          <t>ÖSTHAMMAR</t>
        </is>
      </c>
      <c r="F6346" t="inlineStr">
        <is>
          <t>Sveaskog</t>
        </is>
      </c>
      <c r="G6346" t="n">
        <v>4.4</v>
      </c>
      <c r="H6346" t="n">
        <v>0</v>
      </c>
      <c r="I6346" t="n">
        <v>0</v>
      </c>
      <c r="J6346" t="n">
        <v>0</v>
      </c>
      <c r="K6346" t="n">
        <v>0</v>
      </c>
      <c r="L6346" t="n">
        <v>0</v>
      </c>
      <c r="M6346" t="n">
        <v>0</v>
      </c>
      <c r="N6346" t="n">
        <v>0</v>
      </c>
      <c r="O6346" t="n">
        <v>0</v>
      </c>
      <c r="P6346" t="n">
        <v>0</v>
      </c>
      <c r="Q6346" t="n">
        <v>0</v>
      </c>
      <c r="R6346" s="2" t="inlineStr"/>
    </row>
    <row r="6347" ht="15" customHeight="1">
      <c r="A6347" t="inlineStr">
        <is>
          <t>A 55079-2024</t>
        </is>
      </c>
      <c r="B6347" s="1" t="n">
        <v>45621</v>
      </c>
      <c r="C6347" s="1" t="n">
        <v>45846</v>
      </c>
      <c r="D6347" t="inlineStr">
        <is>
          <t>UPPSALA LÄN</t>
        </is>
      </c>
      <c r="E6347" t="inlineStr">
        <is>
          <t>ÖSTHAMMAR</t>
        </is>
      </c>
      <c r="F6347" t="inlineStr">
        <is>
          <t>Sveaskog</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55471-2024</t>
        </is>
      </c>
      <c r="B6348" s="1" t="n">
        <v>45622</v>
      </c>
      <c r="C6348" s="1" t="n">
        <v>45846</v>
      </c>
      <c r="D6348" t="inlineStr">
        <is>
          <t>UPPSALA LÄN</t>
        </is>
      </c>
      <c r="E6348" t="inlineStr">
        <is>
          <t>HEBY</t>
        </is>
      </c>
      <c r="G6348" t="n">
        <v>7.8</v>
      </c>
      <c r="H6348" t="n">
        <v>0</v>
      </c>
      <c r="I6348" t="n">
        <v>0</v>
      </c>
      <c r="J6348" t="n">
        <v>0</v>
      </c>
      <c r="K6348" t="n">
        <v>0</v>
      </c>
      <c r="L6348" t="n">
        <v>0</v>
      </c>
      <c r="M6348" t="n">
        <v>0</v>
      </c>
      <c r="N6348" t="n">
        <v>0</v>
      </c>
      <c r="O6348" t="n">
        <v>0</v>
      </c>
      <c r="P6348" t="n">
        <v>0</v>
      </c>
      <c r="Q6348" t="n">
        <v>0</v>
      </c>
      <c r="R6348" s="2" t="inlineStr"/>
    </row>
    <row r="6349" ht="15" customHeight="1">
      <c r="A6349" t="inlineStr">
        <is>
          <t>A 55473-2024</t>
        </is>
      </c>
      <c r="B6349" s="1" t="n">
        <v>45622</v>
      </c>
      <c r="C6349" s="1" t="n">
        <v>45846</v>
      </c>
      <c r="D6349" t="inlineStr">
        <is>
          <t>UPPSALA LÄN</t>
        </is>
      </c>
      <c r="E6349" t="inlineStr">
        <is>
          <t>HEBY</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55678-2024</t>
        </is>
      </c>
      <c r="B6350" s="1" t="n">
        <v>45622</v>
      </c>
      <c r="C6350" s="1" t="n">
        <v>45846</v>
      </c>
      <c r="D6350" t="inlineStr">
        <is>
          <t>UPPSALA LÄN</t>
        </is>
      </c>
      <c r="E6350" t="inlineStr">
        <is>
          <t>TIERP</t>
        </is>
      </c>
      <c r="G6350" t="n">
        <v>8.4</v>
      </c>
      <c r="H6350" t="n">
        <v>0</v>
      </c>
      <c r="I6350" t="n">
        <v>0</v>
      </c>
      <c r="J6350" t="n">
        <v>0</v>
      </c>
      <c r="K6350" t="n">
        <v>0</v>
      </c>
      <c r="L6350" t="n">
        <v>0</v>
      </c>
      <c r="M6350" t="n">
        <v>0</v>
      </c>
      <c r="N6350" t="n">
        <v>0</v>
      </c>
      <c r="O6350" t="n">
        <v>0</v>
      </c>
      <c r="P6350" t="n">
        <v>0</v>
      </c>
      <c r="Q6350" t="n">
        <v>0</v>
      </c>
      <c r="R6350" s="2" t="inlineStr"/>
    </row>
    <row r="6351" ht="15" customHeight="1">
      <c r="A6351" t="inlineStr">
        <is>
          <t>A 55578-2024</t>
        </is>
      </c>
      <c r="B6351" s="1" t="n">
        <v>45622</v>
      </c>
      <c r="C6351" s="1" t="n">
        <v>45846</v>
      </c>
      <c r="D6351" t="inlineStr">
        <is>
          <t>UPPSALA LÄN</t>
        </is>
      </c>
      <c r="E6351" t="inlineStr">
        <is>
          <t>ÄLVKARLEBY</t>
        </is>
      </c>
      <c r="F6351" t="inlineStr">
        <is>
          <t>Bergvik skog väst AB</t>
        </is>
      </c>
      <c r="G6351" t="n">
        <v>5.8</v>
      </c>
      <c r="H6351" t="n">
        <v>0</v>
      </c>
      <c r="I6351" t="n">
        <v>0</v>
      </c>
      <c r="J6351" t="n">
        <v>0</v>
      </c>
      <c r="K6351" t="n">
        <v>0</v>
      </c>
      <c r="L6351" t="n">
        <v>0</v>
      </c>
      <c r="M6351" t="n">
        <v>0</v>
      </c>
      <c r="N6351" t="n">
        <v>0</v>
      </c>
      <c r="O6351" t="n">
        <v>0</v>
      </c>
      <c r="P6351" t="n">
        <v>0</v>
      </c>
      <c r="Q6351" t="n">
        <v>0</v>
      </c>
      <c r="R6351" s="2" t="inlineStr"/>
    </row>
    <row r="6352" ht="15" customHeight="1">
      <c r="A6352" t="inlineStr">
        <is>
          <t>A 55632-2024</t>
        </is>
      </c>
      <c r="B6352" s="1" t="n">
        <v>45622</v>
      </c>
      <c r="C6352" s="1" t="n">
        <v>45846</v>
      </c>
      <c r="D6352" t="inlineStr">
        <is>
          <t>UPPSALA LÄN</t>
        </is>
      </c>
      <c r="E6352" t="inlineStr">
        <is>
          <t>TIERP</t>
        </is>
      </c>
      <c r="G6352" t="n">
        <v>5.7</v>
      </c>
      <c r="H6352" t="n">
        <v>0</v>
      </c>
      <c r="I6352" t="n">
        <v>0</v>
      </c>
      <c r="J6352" t="n">
        <v>0</v>
      </c>
      <c r="K6352" t="n">
        <v>0</v>
      </c>
      <c r="L6352" t="n">
        <v>0</v>
      </c>
      <c r="M6352" t="n">
        <v>0</v>
      </c>
      <c r="N6352" t="n">
        <v>0</v>
      </c>
      <c r="O6352" t="n">
        <v>0</v>
      </c>
      <c r="P6352" t="n">
        <v>0</v>
      </c>
      <c r="Q6352" t="n">
        <v>0</v>
      </c>
      <c r="R6352" s="2" t="inlineStr"/>
    </row>
    <row r="6353" ht="15" customHeight="1">
      <c r="A6353" t="inlineStr">
        <is>
          <t>A 55644-2024</t>
        </is>
      </c>
      <c r="B6353" s="1" t="n">
        <v>45622</v>
      </c>
      <c r="C6353" s="1" t="n">
        <v>45846</v>
      </c>
      <c r="D6353" t="inlineStr">
        <is>
          <t>UPPSALA LÄN</t>
        </is>
      </c>
      <c r="E6353" t="inlineStr">
        <is>
          <t>HEBY</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55688-2024</t>
        </is>
      </c>
      <c r="B6354" s="1" t="n">
        <v>45622</v>
      </c>
      <c r="C6354" s="1" t="n">
        <v>45846</v>
      </c>
      <c r="D6354" t="inlineStr">
        <is>
          <t>UPPSALA LÄN</t>
        </is>
      </c>
      <c r="E6354" t="inlineStr">
        <is>
          <t>TIERP</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55627-2024</t>
        </is>
      </c>
      <c r="B6355" s="1" t="n">
        <v>45622</v>
      </c>
      <c r="C6355" s="1" t="n">
        <v>45846</v>
      </c>
      <c r="D6355" t="inlineStr">
        <is>
          <t>UPPSALA LÄN</t>
        </is>
      </c>
      <c r="E6355" t="inlineStr">
        <is>
          <t>TIERP</t>
        </is>
      </c>
      <c r="F6355" t="inlineStr">
        <is>
          <t>Bergvik skog väst AB</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55780-2024</t>
        </is>
      </c>
      <c r="B6356" s="1" t="n">
        <v>45623</v>
      </c>
      <c r="C6356" s="1" t="n">
        <v>45846</v>
      </c>
      <c r="D6356" t="inlineStr">
        <is>
          <t>UPPSALA LÄN</t>
        </is>
      </c>
      <c r="E6356" t="inlineStr">
        <is>
          <t>TIERP</t>
        </is>
      </c>
      <c r="G6356" t="n">
        <v>5.2</v>
      </c>
      <c r="H6356" t="n">
        <v>0</v>
      </c>
      <c r="I6356" t="n">
        <v>0</v>
      </c>
      <c r="J6356" t="n">
        <v>0</v>
      </c>
      <c r="K6356" t="n">
        <v>0</v>
      </c>
      <c r="L6356" t="n">
        <v>0</v>
      </c>
      <c r="M6356" t="n">
        <v>0</v>
      </c>
      <c r="N6356" t="n">
        <v>0</v>
      </c>
      <c r="O6356" t="n">
        <v>0</v>
      </c>
      <c r="P6356" t="n">
        <v>0</v>
      </c>
      <c r="Q6356" t="n">
        <v>0</v>
      </c>
      <c r="R6356" s="2" t="inlineStr"/>
    </row>
    <row r="6357" ht="15" customHeight="1">
      <c r="A6357" t="inlineStr">
        <is>
          <t>A 55863-2024</t>
        </is>
      </c>
      <c r="B6357" s="1" t="n">
        <v>45623</v>
      </c>
      <c r="C6357" s="1" t="n">
        <v>45846</v>
      </c>
      <c r="D6357" t="inlineStr">
        <is>
          <t>UPPSALA LÄN</t>
        </is>
      </c>
      <c r="E6357" t="inlineStr">
        <is>
          <t>ENKÖPING</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55816-2024</t>
        </is>
      </c>
      <c r="B6358" s="1" t="n">
        <v>45623</v>
      </c>
      <c r="C6358" s="1" t="n">
        <v>45846</v>
      </c>
      <c r="D6358" t="inlineStr">
        <is>
          <t>UPPSALA LÄN</t>
        </is>
      </c>
      <c r="E6358" t="inlineStr">
        <is>
          <t>TIERP</t>
        </is>
      </c>
      <c r="G6358" t="n">
        <v>5.2</v>
      </c>
      <c r="H6358" t="n">
        <v>0</v>
      </c>
      <c r="I6358" t="n">
        <v>0</v>
      </c>
      <c r="J6358" t="n">
        <v>0</v>
      </c>
      <c r="K6358" t="n">
        <v>0</v>
      </c>
      <c r="L6358" t="n">
        <v>0</v>
      </c>
      <c r="M6358" t="n">
        <v>0</v>
      </c>
      <c r="N6358" t="n">
        <v>0</v>
      </c>
      <c r="O6358" t="n">
        <v>0</v>
      </c>
      <c r="P6358" t="n">
        <v>0</v>
      </c>
      <c r="Q6358" t="n">
        <v>0</v>
      </c>
      <c r="R6358" s="2" t="inlineStr"/>
    </row>
    <row r="6359" ht="15" customHeight="1">
      <c r="A6359" t="inlineStr">
        <is>
          <t>A 55876-2024</t>
        </is>
      </c>
      <c r="B6359" s="1" t="n">
        <v>45623</v>
      </c>
      <c r="C6359" s="1" t="n">
        <v>45846</v>
      </c>
      <c r="D6359" t="inlineStr">
        <is>
          <t>UPPSALA LÄN</t>
        </is>
      </c>
      <c r="E6359" t="inlineStr">
        <is>
          <t>ENKÖPING</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55862-2024</t>
        </is>
      </c>
      <c r="B6360" s="1" t="n">
        <v>45623</v>
      </c>
      <c r="C6360" s="1" t="n">
        <v>45846</v>
      </c>
      <c r="D6360" t="inlineStr">
        <is>
          <t>UPPSALA LÄN</t>
        </is>
      </c>
      <c r="E6360" t="inlineStr">
        <is>
          <t>ENKÖPING</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55963-2024</t>
        </is>
      </c>
      <c r="B6361" s="1" t="n">
        <v>45623</v>
      </c>
      <c r="C6361" s="1" t="n">
        <v>45846</v>
      </c>
      <c r="D6361" t="inlineStr">
        <is>
          <t>UPPSALA LÄN</t>
        </is>
      </c>
      <c r="E6361" t="inlineStr">
        <is>
          <t>TIERP</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55957-2024</t>
        </is>
      </c>
      <c r="B6362" s="1" t="n">
        <v>45623</v>
      </c>
      <c r="C6362" s="1" t="n">
        <v>45846</v>
      </c>
      <c r="D6362" t="inlineStr">
        <is>
          <t>UPPSALA LÄN</t>
        </is>
      </c>
      <c r="E6362" t="inlineStr">
        <is>
          <t>TIERP</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55954-2024</t>
        </is>
      </c>
      <c r="B6363" s="1" t="n">
        <v>45623</v>
      </c>
      <c r="C6363" s="1" t="n">
        <v>45846</v>
      </c>
      <c r="D6363" t="inlineStr">
        <is>
          <t>UPPSALA LÄN</t>
        </is>
      </c>
      <c r="E6363" t="inlineStr">
        <is>
          <t>TIERP</t>
        </is>
      </c>
      <c r="F6363" t="inlineStr">
        <is>
          <t>Bergvik skog väst AB</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55962-2024</t>
        </is>
      </c>
      <c r="B6364" s="1" t="n">
        <v>45623</v>
      </c>
      <c r="C6364" s="1" t="n">
        <v>45846</v>
      </c>
      <c r="D6364" t="inlineStr">
        <is>
          <t>UPPSALA LÄN</t>
        </is>
      </c>
      <c r="E6364" t="inlineStr">
        <is>
          <t>TIERP</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55966-2024</t>
        </is>
      </c>
      <c r="B6365" s="1" t="n">
        <v>45623</v>
      </c>
      <c r="C6365" s="1" t="n">
        <v>45846</v>
      </c>
      <c r="D6365" t="inlineStr">
        <is>
          <t>UPPSALA LÄN</t>
        </is>
      </c>
      <c r="E6365" t="inlineStr">
        <is>
          <t>TIERP</t>
        </is>
      </c>
      <c r="G6365" t="n">
        <v>6.2</v>
      </c>
      <c r="H6365" t="n">
        <v>0</v>
      </c>
      <c r="I6365" t="n">
        <v>0</v>
      </c>
      <c r="J6365" t="n">
        <v>0</v>
      </c>
      <c r="K6365" t="n">
        <v>0</v>
      </c>
      <c r="L6365" t="n">
        <v>0</v>
      </c>
      <c r="M6365" t="n">
        <v>0</v>
      </c>
      <c r="N6365" t="n">
        <v>0</v>
      </c>
      <c r="O6365" t="n">
        <v>0</v>
      </c>
      <c r="P6365" t="n">
        <v>0</v>
      </c>
      <c r="Q6365" t="n">
        <v>0</v>
      </c>
      <c r="R6365" s="2" t="inlineStr"/>
    </row>
    <row r="6366" ht="15" customHeight="1">
      <c r="A6366" t="inlineStr">
        <is>
          <t>A 56050-2024</t>
        </is>
      </c>
      <c r="B6366" s="1" t="n">
        <v>45624</v>
      </c>
      <c r="C6366" s="1" t="n">
        <v>45846</v>
      </c>
      <c r="D6366" t="inlineStr">
        <is>
          <t>UPPSALA LÄN</t>
        </is>
      </c>
      <c r="E6366" t="inlineStr">
        <is>
          <t>UPPSALA</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56063-2024</t>
        </is>
      </c>
      <c r="B6367" s="1" t="n">
        <v>45624</v>
      </c>
      <c r="C6367" s="1" t="n">
        <v>45846</v>
      </c>
      <c r="D6367" t="inlineStr">
        <is>
          <t>UPPSALA LÄN</t>
        </is>
      </c>
      <c r="E6367" t="inlineStr">
        <is>
          <t>TIERP</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56067-2024</t>
        </is>
      </c>
      <c r="B6368" s="1" t="n">
        <v>45624</v>
      </c>
      <c r="C6368" s="1" t="n">
        <v>45846</v>
      </c>
      <c r="D6368" t="inlineStr">
        <is>
          <t>UPPSALA LÄN</t>
        </is>
      </c>
      <c r="E6368" t="inlineStr">
        <is>
          <t>UPPSALA</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56084-2024</t>
        </is>
      </c>
      <c r="B6369" s="1" t="n">
        <v>45624</v>
      </c>
      <c r="C6369" s="1" t="n">
        <v>45846</v>
      </c>
      <c r="D6369" t="inlineStr">
        <is>
          <t>UPPSALA LÄN</t>
        </is>
      </c>
      <c r="E6369" t="inlineStr">
        <is>
          <t>UPPSALA</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56172-2024</t>
        </is>
      </c>
      <c r="B6370" s="1" t="n">
        <v>45624</v>
      </c>
      <c r="C6370" s="1" t="n">
        <v>45846</v>
      </c>
      <c r="D6370" t="inlineStr">
        <is>
          <t>UPPSALA LÄN</t>
        </is>
      </c>
      <c r="E6370" t="inlineStr">
        <is>
          <t>HEBY</t>
        </is>
      </c>
      <c r="G6370" t="n">
        <v>7.4</v>
      </c>
      <c r="H6370" t="n">
        <v>0</v>
      </c>
      <c r="I6370" t="n">
        <v>0</v>
      </c>
      <c r="J6370" t="n">
        <v>0</v>
      </c>
      <c r="K6370" t="n">
        <v>0</v>
      </c>
      <c r="L6370" t="n">
        <v>0</v>
      </c>
      <c r="M6370" t="n">
        <v>0</v>
      </c>
      <c r="N6370" t="n">
        <v>0</v>
      </c>
      <c r="O6370" t="n">
        <v>0</v>
      </c>
      <c r="P6370" t="n">
        <v>0</v>
      </c>
      <c r="Q6370" t="n">
        <v>0</v>
      </c>
      <c r="R6370" s="2" t="inlineStr"/>
    </row>
    <row r="6371" ht="15" customHeight="1">
      <c r="A6371" t="inlineStr">
        <is>
          <t>A 56173-2024</t>
        </is>
      </c>
      <c r="B6371" s="1" t="n">
        <v>45624</v>
      </c>
      <c r="C6371" s="1" t="n">
        <v>45846</v>
      </c>
      <c r="D6371" t="inlineStr">
        <is>
          <t>UPPSALA LÄN</t>
        </is>
      </c>
      <c r="E6371" t="inlineStr">
        <is>
          <t>TIERP</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56073-2024</t>
        </is>
      </c>
      <c r="B6372" s="1" t="n">
        <v>45624</v>
      </c>
      <c r="C6372" s="1" t="n">
        <v>45846</v>
      </c>
      <c r="D6372" t="inlineStr">
        <is>
          <t>UPPSALA LÄN</t>
        </is>
      </c>
      <c r="E6372" t="inlineStr">
        <is>
          <t>HEBY</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56081-2024</t>
        </is>
      </c>
      <c r="B6373" s="1" t="n">
        <v>45624</v>
      </c>
      <c r="C6373" s="1" t="n">
        <v>45846</v>
      </c>
      <c r="D6373" t="inlineStr">
        <is>
          <t>UPPSALA LÄN</t>
        </is>
      </c>
      <c r="E6373" t="inlineStr">
        <is>
          <t>HEBY</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56225-2024</t>
        </is>
      </c>
      <c r="B6374" s="1" t="n">
        <v>45624</v>
      </c>
      <c r="C6374" s="1" t="n">
        <v>45846</v>
      </c>
      <c r="D6374" t="inlineStr">
        <is>
          <t>UPPSALA LÄN</t>
        </is>
      </c>
      <c r="E6374" t="inlineStr">
        <is>
          <t>ENKÖPING</t>
        </is>
      </c>
      <c r="G6374" t="n">
        <v>11.7</v>
      </c>
      <c r="H6374" t="n">
        <v>0</v>
      </c>
      <c r="I6374" t="n">
        <v>0</v>
      </c>
      <c r="J6374" t="n">
        <v>0</v>
      </c>
      <c r="K6374" t="n">
        <v>0</v>
      </c>
      <c r="L6374" t="n">
        <v>0</v>
      </c>
      <c r="M6374" t="n">
        <v>0</v>
      </c>
      <c r="N6374" t="n">
        <v>0</v>
      </c>
      <c r="O6374" t="n">
        <v>0</v>
      </c>
      <c r="P6374" t="n">
        <v>0</v>
      </c>
      <c r="Q6374" t="n">
        <v>0</v>
      </c>
      <c r="R6374" s="2" t="inlineStr"/>
    </row>
    <row r="6375" ht="15" customHeight="1">
      <c r="A6375" t="inlineStr">
        <is>
          <t>A 56577-2024</t>
        </is>
      </c>
      <c r="B6375" s="1" t="n">
        <v>45625</v>
      </c>
      <c r="C6375" s="1" t="n">
        <v>45846</v>
      </c>
      <c r="D6375" t="inlineStr">
        <is>
          <t>UPPSALA LÄN</t>
        </is>
      </c>
      <c r="E6375" t="inlineStr">
        <is>
          <t>TIERP</t>
        </is>
      </c>
      <c r="F6375" t="inlineStr">
        <is>
          <t>Bergvik skog väst AB</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56564-2024</t>
        </is>
      </c>
      <c r="B6376" s="1" t="n">
        <v>45625</v>
      </c>
      <c r="C6376" s="1" t="n">
        <v>45846</v>
      </c>
      <c r="D6376" t="inlineStr">
        <is>
          <t>UPPSALA LÄN</t>
        </is>
      </c>
      <c r="E6376" t="inlineStr">
        <is>
          <t>UPPSALA</t>
        </is>
      </c>
      <c r="F6376" t="inlineStr">
        <is>
          <t>Övriga Aktiebolag</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56759-2024</t>
        </is>
      </c>
      <c r="B6377" s="1" t="n">
        <v>45628</v>
      </c>
      <c r="C6377" s="1" t="n">
        <v>45846</v>
      </c>
      <c r="D6377" t="inlineStr">
        <is>
          <t>UPPSALA LÄN</t>
        </is>
      </c>
      <c r="E6377" t="inlineStr">
        <is>
          <t>ÖSTHAMMAR</t>
        </is>
      </c>
      <c r="G6377" t="n">
        <v>4.7</v>
      </c>
      <c r="H6377" t="n">
        <v>0</v>
      </c>
      <c r="I6377" t="n">
        <v>0</v>
      </c>
      <c r="J6377" t="n">
        <v>0</v>
      </c>
      <c r="K6377" t="n">
        <v>0</v>
      </c>
      <c r="L6377" t="n">
        <v>0</v>
      </c>
      <c r="M6377" t="n">
        <v>0</v>
      </c>
      <c r="N6377" t="n">
        <v>0</v>
      </c>
      <c r="O6377" t="n">
        <v>0</v>
      </c>
      <c r="P6377" t="n">
        <v>0</v>
      </c>
      <c r="Q6377" t="n">
        <v>0</v>
      </c>
      <c r="R6377" s="2" t="inlineStr"/>
    </row>
    <row r="6378" ht="15" customHeight="1">
      <c r="A6378" t="inlineStr">
        <is>
          <t>A 56795-2024</t>
        </is>
      </c>
      <c r="B6378" s="1" t="n">
        <v>45628</v>
      </c>
      <c r="C6378" s="1" t="n">
        <v>45846</v>
      </c>
      <c r="D6378" t="inlineStr">
        <is>
          <t>UPPSALA LÄN</t>
        </is>
      </c>
      <c r="E6378" t="inlineStr">
        <is>
          <t>HEBY</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56837-2024</t>
        </is>
      </c>
      <c r="B6379" s="1" t="n">
        <v>45628</v>
      </c>
      <c r="C6379" s="1" t="n">
        <v>45846</v>
      </c>
      <c r="D6379" t="inlineStr">
        <is>
          <t>UPPSALA LÄN</t>
        </is>
      </c>
      <c r="E6379" t="inlineStr">
        <is>
          <t>ENKÖPING</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56713-2024</t>
        </is>
      </c>
      <c r="B6380" s="1" t="n">
        <v>45628</v>
      </c>
      <c r="C6380" s="1" t="n">
        <v>45846</v>
      </c>
      <c r="D6380" t="inlineStr">
        <is>
          <t>UPPSALA LÄN</t>
        </is>
      </c>
      <c r="E6380" t="inlineStr">
        <is>
          <t>ENKÖPING</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56864-2024</t>
        </is>
      </c>
      <c r="B6381" s="1" t="n">
        <v>45628</v>
      </c>
      <c r="C6381" s="1" t="n">
        <v>45846</v>
      </c>
      <c r="D6381" t="inlineStr">
        <is>
          <t>UPPSALA LÄN</t>
        </is>
      </c>
      <c r="E6381" t="inlineStr">
        <is>
          <t>ÄLVKARLEBY</t>
        </is>
      </c>
      <c r="F6381" t="inlineStr">
        <is>
          <t>Bergvik skog väst AB</t>
        </is>
      </c>
      <c r="G6381" t="n">
        <v>11.3</v>
      </c>
      <c r="H6381" t="n">
        <v>0</v>
      </c>
      <c r="I6381" t="n">
        <v>0</v>
      </c>
      <c r="J6381" t="n">
        <v>0</v>
      </c>
      <c r="K6381" t="n">
        <v>0</v>
      </c>
      <c r="L6381" t="n">
        <v>0</v>
      </c>
      <c r="M6381" t="n">
        <v>0</v>
      </c>
      <c r="N6381" t="n">
        <v>0</v>
      </c>
      <c r="O6381" t="n">
        <v>0</v>
      </c>
      <c r="P6381" t="n">
        <v>0</v>
      </c>
      <c r="Q6381" t="n">
        <v>0</v>
      </c>
      <c r="R6381" s="2" t="inlineStr"/>
    </row>
    <row r="6382" ht="15" customHeight="1">
      <c r="A6382" t="inlineStr">
        <is>
          <t>A 57187-2024</t>
        </is>
      </c>
      <c r="B6382" s="1" t="n">
        <v>45629</v>
      </c>
      <c r="C6382" s="1" t="n">
        <v>45846</v>
      </c>
      <c r="D6382" t="inlineStr">
        <is>
          <t>UPPSALA LÄN</t>
        </is>
      </c>
      <c r="E6382" t="inlineStr">
        <is>
          <t>ÖSTHAMMAR</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57209-2024</t>
        </is>
      </c>
      <c r="B6383" s="1" t="n">
        <v>45629</v>
      </c>
      <c r="C6383" s="1" t="n">
        <v>45846</v>
      </c>
      <c r="D6383" t="inlineStr">
        <is>
          <t>UPPSALA LÄN</t>
        </is>
      </c>
      <c r="E6383" t="inlineStr">
        <is>
          <t>ENKÖPING</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57369-2024</t>
        </is>
      </c>
      <c r="B6384" s="1" t="n">
        <v>45629</v>
      </c>
      <c r="C6384" s="1" t="n">
        <v>45846</v>
      </c>
      <c r="D6384" t="inlineStr">
        <is>
          <t>UPPSALA LÄN</t>
        </is>
      </c>
      <c r="E6384" t="inlineStr">
        <is>
          <t>TIERP</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57373-2024</t>
        </is>
      </c>
      <c r="B6385" s="1" t="n">
        <v>45629</v>
      </c>
      <c r="C6385" s="1" t="n">
        <v>45846</v>
      </c>
      <c r="D6385" t="inlineStr">
        <is>
          <t>UPPSALA LÄN</t>
        </is>
      </c>
      <c r="E6385" t="inlineStr">
        <is>
          <t>ÖSTHAMMAR</t>
        </is>
      </c>
      <c r="F6385" t="inlineStr">
        <is>
          <t>Bergvik skog öst AB</t>
        </is>
      </c>
      <c r="G6385" t="n">
        <v>8.699999999999999</v>
      </c>
      <c r="H6385" t="n">
        <v>0</v>
      </c>
      <c r="I6385" t="n">
        <v>0</v>
      </c>
      <c r="J6385" t="n">
        <v>0</v>
      </c>
      <c r="K6385" t="n">
        <v>0</v>
      </c>
      <c r="L6385" t="n">
        <v>0</v>
      </c>
      <c r="M6385" t="n">
        <v>0</v>
      </c>
      <c r="N6385" t="n">
        <v>0</v>
      </c>
      <c r="O6385" t="n">
        <v>0</v>
      </c>
      <c r="P6385" t="n">
        <v>0</v>
      </c>
      <c r="Q6385" t="n">
        <v>0</v>
      </c>
      <c r="R6385" s="2" t="inlineStr"/>
    </row>
    <row r="6386" ht="15" customHeight="1">
      <c r="A6386" t="inlineStr">
        <is>
          <t>A 57215-2024</t>
        </is>
      </c>
      <c r="B6386" s="1" t="n">
        <v>45629</v>
      </c>
      <c r="C6386" s="1" t="n">
        <v>45846</v>
      </c>
      <c r="D6386" t="inlineStr">
        <is>
          <t>UPPSALA LÄN</t>
        </is>
      </c>
      <c r="E6386" t="inlineStr">
        <is>
          <t>ENKÖPING</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57335-2024</t>
        </is>
      </c>
      <c r="B6387" s="1" t="n">
        <v>45629</v>
      </c>
      <c r="C6387" s="1" t="n">
        <v>45846</v>
      </c>
      <c r="D6387" t="inlineStr">
        <is>
          <t>UPPSALA LÄN</t>
        </is>
      </c>
      <c r="E6387" t="inlineStr">
        <is>
          <t>ENKÖPING</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57214-2024</t>
        </is>
      </c>
      <c r="B6388" s="1" t="n">
        <v>45629</v>
      </c>
      <c r="C6388" s="1" t="n">
        <v>45846</v>
      </c>
      <c r="D6388" t="inlineStr">
        <is>
          <t>UPPSALA LÄN</t>
        </is>
      </c>
      <c r="E6388" t="inlineStr">
        <is>
          <t>ENKÖPING</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57218-2024</t>
        </is>
      </c>
      <c r="B6389" s="1" t="n">
        <v>45629</v>
      </c>
      <c r="C6389" s="1" t="n">
        <v>45846</v>
      </c>
      <c r="D6389" t="inlineStr">
        <is>
          <t>UPPSALA LÄN</t>
        </is>
      </c>
      <c r="E6389" t="inlineStr">
        <is>
          <t>ENKÖPING</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57402-2024</t>
        </is>
      </c>
      <c r="B6390" s="1" t="n">
        <v>45629</v>
      </c>
      <c r="C6390" s="1" t="n">
        <v>45846</v>
      </c>
      <c r="D6390" t="inlineStr">
        <is>
          <t>UPPSALA LÄN</t>
        </is>
      </c>
      <c r="E6390" t="inlineStr">
        <is>
          <t>TIERP</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57415-2024</t>
        </is>
      </c>
      <c r="B6391" s="1" t="n">
        <v>45629</v>
      </c>
      <c r="C6391" s="1" t="n">
        <v>45846</v>
      </c>
      <c r="D6391" t="inlineStr">
        <is>
          <t>UPPSALA LÄN</t>
        </is>
      </c>
      <c r="E6391" t="inlineStr">
        <is>
          <t>ENKÖPING</t>
        </is>
      </c>
      <c r="F6391" t="inlineStr">
        <is>
          <t>Allmännings- och besparingsskogar</t>
        </is>
      </c>
      <c r="G6391" t="n">
        <v>11.8</v>
      </c>
      <c r="H6391" t="n">
        <v>0</v>
      </c>
      <c r="I6391" t="n">
        <v>0</v>
      </c>
      <c r="J6391" t="n">
        <v>0</v>
      </c>
      <c r="K6391" t="n">
        <v>0</v>
      </c>
      <c r="L6391" t="n">
        <v>0</v>
      </c>
      <c r="M6391" t="n">
        <v>0</v>
      </c>
      <c r="N6391" t="n">
        <v>0</v>
      </c>
      <c r="O6391" t="n">
        <v>0</v>
      </c>
      <c r="P6391" t="n">
        <v>0</v>
      </c>
      <c r="Q6391" t="n">
        <v>0</v>
      </c>
      <c r="R6391" s="2" t="inlineStr"/>
    </row>
    <row r="6392" ht="15" customHeight="1">
      <c r="A6392" t="inlineStr">
        <is>
          <t>A 57328-2024</t>
        </is>
      </c>
      <c r="B6392" s="1" t="n">
        <v>45629</v>
      </c>
      <c r="C6392" s="1" t="n">
        <v>45846</v>
      </c>
      <c r="D6392" t="inlineStr">
        <is>
          <t>UPPSALA LÄN</t>
        </is>
      </c>
      <c r="E6392" t="inlineStr">
        <is>
          <t>ENKÖPING</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57674-2024</t>
        </is>
      </c>
      <c r="B6393" s="1" t="n">
        <v>45630</v>
      </c>
      <c r="C6393" s="1" t="n">
        <v>45846</v>
      </c>
      <c r="D6393" t="inlineStr">
        <is>
          <t>UPPSALA LÄN</t>
        </is>
      </c>
      <c r="E6393" t="inlineStr">
        <is>
          <t>HEBY</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57614-2024</t>
        </is>
      </c>
      <c r="B6394" s="1" t="n">
        <v>45630</v>
      </c>
      <c r="C6394" s="1" t="n">
        <v>45846</v>
      </c>
      <c r="D6394" t="inlineStr">
        <is>
          <t>UPPSALA LÄN</t>
        </is>
      </c>
      <c r="E6394" t="inlineStr">
        <is>
          <t>UPPSALA</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57618-2024</t>
        </is>
      </c>
      <c r="B6395" s="1" t="n">
        <v>45630</v>
      </c>
      <c r="C6395" s="1" t="n">
        <v>45846</v>
      </c>
      <c r="D6395" t="inlineStr">
        <is>
          <t>UPPSALA LÄN</t>
        </is>
      </c>
      <c r="E6395" t="inlineStr">
        <is>
          <t>UPPSALA</t>
        </is>
      </c>
      <c r="G6395" t="n">
        <v>4.2</v>
      </c>
      <c r="H6395" t="n">
        <v>0</v>
      </c>
      <c r="I6395" t="n">
        <v>0</v>
      </c>
      <c r="J6395" t="n">
        <v>0</v>
      </c>
      <c r="K6395" t="n">
        <v>0</v>
      </c>
      <c r="L6395" t="n">
        <v>0</v>
      </c>
      <c r="M6395" t="n">
        <v>0</v>
      </c>
      <c r="N6395" t="n">
        <v>0</v>
      </c>
      <c r="O6395" t="n">
        <v>0</v>
      </c>
      <c r="P6395" t="n">
        <v>0</v>
      </c>
      <c r="Q6395" t="n">
        <v>0</v>
      </c>
      <c r="R6395" s="2" t="inlineStr"/>
    </row>
    <row r="6396" ht="15" customHeight="1">
      <c r="A6396" t="inlineStr">
        <is>
          <t>A 57643-2024</t>
        </is>
      </c>
      <c r="B6396" s="1" t="n">
        <v>45630</v>
      </c>
      <c r="C6396" s="1" t="n">
        <v>45846</v>
      </c>
      <c r="D6396" t="inlineStr">
        <is>
          <t>UPPSALA LÄN</t>
        </is>
      </c>
      <c r="E6396" t="inlineStr">
        <is>
          <t>UPPSALA</t>
        </is>
      </c>
      <c r="G6396" t="n">
        <v>8.300000000000001</v>
      </c>
      <c r="H6396" t="n">
        <v>0</v>
      </c>
      <c r="I6396" t="n">
        <v>0</v>
      </c>
      <c r="J6396" t="n">
        <v>0</v>
      </c>
      <c r="K6396" t="n">
        <v>0</v>
      </c>
      <c r="L6396" t="n">
        <v>0</v>
      </c>
      <c r="M6396" t="n">
        <v>0</v>
      </c>
      <c r="N6396" t="n">
        <v>0</v>
      </c>
      <c r="O6396" t="n">
        <v>0</v>
      </c>
      <c r="P6396" t="n">
        <v>0</v>
      </c>
      <c r="Q6396" t="n">
        <v>0</v>
      </c>
      <c r="R6396" s="2" t="inlineStr"/>
    </row>
    <row r="6397" ht="15" customHeight="1">
      <c r="A6397" t="inlineStr">
        <is>
          <t>A 57704-2024</t>
        </is>
      </c>
      <c r="B6397" s="1" t="n">
        <v>45630</v>
      </c>
      <c r="C6397" s="1" t="n">
        <v>45846</v>
      </c>
      <c r="D6397" t="inlineStr">
        <is>
          <t>UPPSALA LÄN</t>
        </is>
      </c>
      <c r="E6397" t="inlineStr">
        <is>
          <t>HEBY</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57818-2024</t>
        </is>
      </c>
      <c r="B6398" s="1" t="n">
        <v>45631</v>
      </c>
      <c r="C6398" s="1" t="n">
        <v>45846</v>
      </c>
      <c r="D6398" t="inlineStr">
        <is>
          <t>UPPSALA LÄN</t>
        </is>
      </c>
      <c r="E6398" t="inlineStr">
        <is>
          <t>TIERP</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57822-2024</t>
        </is>
      </c>
      <c r="B6399" s="1" t="n">
        <v>45631</v>
      </c>
      <c r="C6399" s="1" t="n">
        <v>45846</v>
      </c>
      <c r="D6399" t="inlineStr">
        <is>
          <t>UPPSALA LÄN</t>
        </is>
      </c>
      <c r="E6399" t="inlineStr">
        <is>
          <t>TIERP</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57829-2024</t>
        </is>
      </c>
      <c r="B6400" s="1" t="n">
        <v>45631</v>
      </c>
      <c r="C6400" s="1" t="n">
        <v>45846</v>
      </c>
      <c r="D6400" t="inlineStr">
        <is>
          <t>UPPSALA LÄN</t>
        </is>
      </c>
      <c r="E6400" t="inlineStr">
        <is>
          <t>TIERP</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57833-2024</t>
        </is>
      </c>
      <c r="B6401" s="1" t="n">
        <v>45631</v>
      </c>
      <c r="C6401" s="1" t="n">
        <v>45846</v>
      </c>
      <c r="D6401" t="inlineStr">
        <is>
          <t>UPPSALA LÄN</t>
        </is>
      </c>
      <c r="E6401" t="inlineStr">
        <is>
          <t>ENKÖPING</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57831-2024</t>
        </is>
      </c>
      <c r="B6402" s="1" t="n">
        <v>45631</v>
      </c>
      <c r="C6402" s="1" t="n">
        <v>45846</v>
      </c>
      <c r="D6402" t="inlineStr">
        <is>
          <t>UPPSALA LÄN</t>
        </is>
      </c>
      <c r="E6402" t="inlineStr">
        <is>
          <t>ENKÖPING</t>
        </is>
      </c>
      <c r="G6402" t="n">
        <v>7.2</v>
      </c>
      <c r="H6402" t="n">
        <v>0</v>
      </c>
      <c r="I6402" t="n">
        <v>0</v>
      </c>
      <c r="J6402" t="n">
        <v>0</v>
      </c>
      <c r="K6402" t="n">
        <v>0</v>
      </c>
      <c r="L6402" t="n">
        <v>0</v>
      </c>
      <c r="M6402" t="n">
        <v>0</v>
      </c>
      <c r="N6402" t="n">
        <v>0</v>
      </c>
      <c r="O6402" t="n">
        <v>0</v>
      </c>
      <c r="P6402" t="n">
        <v>0</v>
      </c>
      <c r="Q6402" t="n">
        <v>0</v>
      </c>
      <c r="R6402" s="2" t="inlineStr"/>
    </row>
    <row r="6403" ht="15" customHeight="1">
      <c r="A6403" t="inlineStr">
        <is>
          <t>A 57835-2024</t>
        </is>
      </c>
      <c r="B6403" s="1" t="n">
        <v>45631</v>
      </c>
      <c r="C6403" s="1" t="n">
        <v>45846</v>
      </c>
      <c r="D6403" t="inlineStr">
        <is>
          <t>UPPSALA LÄN</t>
        </is>
      </c>
      <c r="E6403" t="inlineStr">
        <is>
          <t>ENKÖPING</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57848-2024</t>
        </is>
      </c>
      <c r="B6404" s="1" t="n">
        <v>45631</v>
      </c>
      <c r="C6404" s="1" t="n">
        <v>45846</v>
      </c>
      <c r="D6404" t="inlineStr">
        <is>
          <t>UPPSALA LÄN</t>
        </is>
      </c>
      <c r="E6404" t="inlineStr">
        <is>
          <t>ENKÖPING</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57937-2024</t>
        </is>
      </c>
      <c r="B6405" s="1" t="n">
        <v>45631</v>
      </c>
      <c r="C6405" s="1" t="n">
        <v>45846</v>
      </c>
      <c r="D6405" t="inlineStr">
        <is>
          <t>UPPSALA LÄN</t>
        </is>
      </c>
      <c r="E6405" t="inlineStr">
        <is>
          <t>ENKÖPING</t>
        </is>
      </c>
      <c r="G6405" t="n">
        <v>4</v>
      </c>
      <c r="H6405" t="n">
        <v>0</v>
      </c>
      <c r="I6405" t="n">
        <v>0</v>
      </c>
      <c r="J6405" t="n">
        <v>0</v>
      </c>
      <c r="K6405" t="n">
        <v>0</v>
      </c>
      <c r="L6405" t="n">
        <v>0</v>
      </c>
      <c r="M6405" t="n">
        <v>0</v>
      </c>
      <c r="N6405" t="n">
        <v>0</v>
      </c>
      <c r="O6405" t="n">
        <v>0</v>
      </c>
      <c r="P6405" t="n">
        <v>0</v>
      </c>
      <c r="Q6405" t="n">
        <v>0</v>
      </c>
      <c r="R6405" s="2" t="inlineStr"/>
    </row>
    <row r="6406" ht="15" customHeight="1">
      <c r="A6406" t="inlineStr">
        <is>
          <t>A 57961-2024</t>
        </is>
      </c>
      <c r="B6406" s="1" t="n">
        <v>45631</v>
      </c>
      <c r="C6406" s="1" t="n">
        <v>45846</v>
      </c>
      <c r="D6406" t="inlineStr">
        <is>
          <t>UPPSALA LÄN</t>
        </is>
      </c>
      <c r="E6406" t="inlineStr">
        <is>
          <t>TIERP</t>
        </is>
      </c>
      <c r="F6406" t="inlineStr">
        <is>
          <t>Bergvik skog väst AB</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57931-2024</t>
        </is>
      </c>
      <c r="B6407" s="1" t="n">
        <v>45631</v>
      </c>
      <c r="C6407" s="1" t="n">
        <v>45846</v>
      </c>
      <c r="D6407" t="inlineStr">
        <is>
          <t>UPPSALA LÄN</t>
        </is>
      </c>
      <c r="E6407" t="inlineStr">
        <is>
          <t>TIERP</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57841-2024</t>
        </is>
      </c>
      <c r="B6408" s="1" t="n">
        <v>45631</v>
      </c>
      <c r="C6408" s="1" t="n">
        <v>45846</v>
      </c>
      <c r="D6408" t="inlineStr">
        <is>
          <t>UPPSALA LÄN</t>
        </is>
      </c>
      <c r="E6408" t="inlineStr">
        <is>
          <t>ENKÖPING</t>
        </is>
      </c>
      <c r="G6408" t="n">
        <v>3.4</v>
      </c>
      <c r="H6408" t="n">
        <v>0</v>
      </c>
      <c r="I6408" t="n">
        <v>0</v>
      </c>
      <c r="J6408" t="n">
        <v>0</v>
      </c>
      <c r="K6408" t="n">
        <v>0</v>
      </c>
      <c r="L6408" t="n">
        <v>0</v>
      </c>
      <c r="M6408" t="n">
        <v>0</v>
      </c>
      <c r="N6408" t="n">
        <v>0</v>
      </c>
      <c r="O6408" t="n">
        <v>0</v>
      </c>
      <c r="P6408" t="n">
        <v>0</v>
      </c>
      <c r="Q6408" t="n">
        <v>0</v>
      </c>
      <c r="R6408" s="2" t="inlineStr"/>
    </row>
    <row r="6409" ht="15" customHeight="1">
      <c r="A6409" t="inlineStr">
        <is>
          <t>A 57871-2024</t>
        </is>
      </c>
      <c r="B6409" s="1" t="n">
        <v>45631</v>
      </c>
      <c r="C6409" s="1" t="n">
        <v>45846</v>
      </c>
      <c r="D6409" t="inlineStr">
        <is>
          <t>UPPSALA LÄN</t>
        </is>
      </c>
      <c r="E6409" t="inlineStr">
        <is>
          <t>UPPSALA</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57880-2024</t>
        </is>
      </c>
      <c r="B6410" s="1" t="n">
        <v>45631</v>
      </c>
      <c r="C6410" s="1" t="n">
        <v>45846</v>
      </c>
      <c r="D6410" t="inlineStr">
        <is>
          <t>UPPSALA LÄN</t>
        </is>
      </c>
      <c r="E6410" t="inlineStr">
        <is>
          <t>HEBY</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57897-2024</t>
        </is>
      </c>
      <c r="B6411" s="1" t="n">
        <v>45631</v>
      </c>
      <c r="C6411" s="1" t="n">
        <v>45846</v>
      </c>
      <c r="D6411" t="inlineStr">
        <is>
          <t>UPPSALA LÄN</t>
        </is>
      </c>
      <c r="E6411" t="inlineStr">
        <is>
          <t>HEBY</t>
        </is>
      </c>
      <c r="G6411" t="n">
        <v>4.1</v>
      </c>
      <c r="H6411" t="n">
        <v>0</v>
      </c>
      <c r="I6411" t="n">
        <v>0</v>
      </c>
      <c r="J6411" t="n">
        <v>0</v>
      </c>
      <c r="K6411" t="n">
        <v>0</v>
      </c>
      <c r="L6411" t="n">
        <v>0</v>
      </c>
      <c r="M6411" t="n">
        <v>0</v>
      </c>
      <c r="N6411" t="n">
        <v>0</v>
      </c>
      <c r="O6411" t="n">
        <v>0</v>
      </c>
      <c r="P6411" t="n">
        <v>0</v>
      </c>
      <c r="Q6411" t="n">
        <v>0</v>
      </c>
      <c r="R6411" s="2" t="inlineStr"/>
    </row>
    <row r="6412" ht="15" customHeight="1">
      <c r="A6412" t="inlineStr">
        <is>
          <t>A 57934-2024</t>
        </is>
      </c>
      <c r="B6412" s="1" t="n">
        <v>45631</v>
      </c>
      <c r="C6412" s="1" t="n">
        <v>45846</v>
      </c>
      <c r="D6412" t="inlineStr">
        <is>
          <t>UPPSALA LÄN</t>
        </is>
      </c>
      <c r="E6412" t="inlineStr">
        <is>
          <t>TIERP</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57938-2024</t>
        </is>
      </c>
      <c r="B6413" s="1" t="n">
        <v>45631</v>
      </c>
      <c r="C6413" s="1" t="n">
        <v>45846</v>
      </c>
      <c r="D6413" t="inlineStr">
        <is>
          <t>UPPSALA LÄN</t>
        </is>
      </c>
      <c r="E6413" t="inlineStr">
        <is>
          <t>TIERP</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57998-2024</t>
        </is>
      </c>
      <c r="B6414" s="1" t="n">
        <v>45631</v>
      </c>
      <c r="C6414" s="1" t="n">
        <v>45846</v>
      </c>
      <c r="D6414" t="inlineStr">
        <is>
          <t>UPPSALA LÄN</t>
        </is>
      </c>
      <c r="E6414" t="inlineStr">
        <is>
          <t>ENKÖPING</t>
        </is>
      </c>
      <c r="G6414" t="n">
        <v>8.699999999999999</v>
      </c>
      <c r="H6414" t="n">
        <v>0</v>
      </c>
      <c r="I6414" t="n">
        <v>0</v>
      </c>
      <c r="J6414" t="n">
        <v>0</v>
      </c>
      <c r="K6414" t="n">
        <v>0</v>
      </c>
      <c r="L6414" t="n">
        <v>0</v>
      </c>
      <c r="M6414" t="n">
        <v>0</v>
      </c>
      <c r="N6414" t="n">
        <v>0</v>
      </c>
      <c r="O6414" t="n">
        <v>0</v>
      </c>
      <c r="P6414" t="n">
        <v>0</v>
      </c>
      <c r="Q6414" t="n">
        <v>0</v>
      </c>
      <c r="R6414" s="2" t="inlineStr"/>
    </row>
    <row r="6415" ht="15" customHeight="1">
      <c r="A6415" t="inlineStr">
        <is>
          <t>A 58092-2024</t>
        </is>
      </c>
      <c r="B6415" s="1" t="n">
        <v>45632</v>
      </c>
      <c r="C6415" s="1" t="n">
        <v>45846</v>
      </c>
      <c r="D6415" t="inlineStr">
        <is>
          <t>UPPSALA LÄN</t>
        </is>
      </c>
      <c r="E6415" t="inlineStr">
        <is>
          <t>ENKÖPING</t>
        </is>
      </c>
      <c r="G6415" t="n">
        <v>4.8</v>
      </c>
      <c r="H6415" t="n">
        <v>0</v>
      </c>
      <c r="I6415" t="n">
        <v>0</v>
      </c>
      <c r="J6415" t="n">
        <v>0</v>
      </c>
      <c r="K6415" t="n">
        <v>0</v>
      </c>
      <c r="L6415" t="n">
        <v>0</v>
      </c>
      <c r="M6415" t="n">
        <v>0</v>
      </c>
      <c r="N6415" t="n">
        <v>0</v>
      </c>
      <c r="O6415" t="n">
        <v>0</v>
      </c>
      <c r="P6415" t="n">
        <v>0</v>
      </c>
      <c r="Q6415" t="n">
        <v>0</v>
      </c>
      <c r="R6415" s="2" t="inlineStr"/>
    </row>
    <row r="6416" ht="15" customHeight="1">
      <c r="A6416" t="inlineStr">
        <is>
          <t>A 58242-2024</t>
        </is>
      </c>
      <c r="B6416" s="1" t="n">
        <v>45632</v>
      </c>
      <c r="C6416" s="1" t="n">
        <v>45846</v>
      </c>
      <c r="D6416" t="inlineStr">
        <is>
          <t>UPPSALA LÄN</t>
        </is>
      </c>
      <c r="E6416" t="inlineStr">
        <is>
          <t>ÖSTHAMMAR</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58252-2024</t>
        </is>
      </c>
      <c r="B6417" s="1" t="n">
        <v>45632</v>
      </c>
      <c r="C6417" s="1" t="n">
        <v>45846</v>
      </c>
      <c r="D6417" t="inlineStr">
        <is>
          <t>UPPSALA LÄN</t>
        </is>
      </c>
      <c r="E6417" t="inlineStr">
        <is>
          <t>TIERP</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58264-2024</t>
        </is>
      </c>
      <c r="B6418" s="1" t="n">
        <v>45632</v>
      </c>
      <c r="C6418" s="1" t="n">
        <v>45846</v>
      </c>
      <c r="D6418" t="inlineStr">
        <is>
          <t>UPPSALA LÄN</t>
        </is>
      </c>
      <c r="E6418" t="inlineStr">
        <is>
          <t>TIERP</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58147-2024</t>
        </is>
      </c>
      <c r="B6419" s="1" t="n">
        <v>45632</v>
      </c>
      <c r="C6419" s="1" t="n">
        <v>45846</v>
      </c>
      <c r="D6419" t="inlineStr">
        <is>
          <t>UPPSALA LÄN</t>
        </is>
      </c>
      <c r="E6419" t="inlineStr">
        <is>
          <t>ENKÖPING</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58187-2024</t>
        </is>
      </c>
      <c r="B6420" s="1" t="n">
        <v>45632</v>
      </c>
      <c r="C6420" s="1" t="n">
        <v>45846</v>
      </c>
      <c r="D6420" t="inlineStr">
        <is>
          <t>UPPSALA LÄN</t>
        </is>
      </c>
      <c r="E6420" t="inlineStr">
        <is>
          <t>UPPSALA</t>
        </is>
      </c>
      <c r="F6420" t="inlineStr">
        <is>
          <t>Bergvik skog väst AB</t>
        </is>
      </c>
      <c r="G6420" t="n">
        <v>10.4</v>
      </c>
      <c r="H6420" t="n">
        <v>0</v>
      </c>
      <c r="I6420" t="n">
        <v>0</v>
      </c>
      <c r="J6420" t="n">
        <v>0</v>
      </c>
      <c r="K6420" t="n">
        <v>0</v>
      </c>
      <c r="L6420" t="n">
        <v>0</v>
      </c>
      <c r="M6420" t="n">
        <v>0</v>
      </c>
      <c r="N6420" t="n">
        <v>0</v>
      </c>
      <c r="O6420" t="n">
        <v>0</v>
      </c>
      <c r="P6420" t="n">
        <v>0</v>
      </c>
      <c r="Q6420" t="n">
        <v>0</v>
      </c>
      <c r="R6420" s="2" t="inlineStr"/>
    </row>
    <row r="6421" ht="15" customHeight="1">
      <c r="A6421" t="inlineStr">
        <is>
          <t>A 58265-2024</t>
        </is>
      </c>
      <c r="B6421" s="1" t="n">
        <v>45632</v>
      </c>
      <c r="C6421" s="1" t="n">
        <v>45846</v>
      </c>
      <c r="D6421" t="inlineStr">
        <is>
          <t>UPPSALA LÄN</t>
        </is>
      </c>
      <c r="E6421" t="inlineStr">
        <is>
          <t>ÖSTHAMMAR</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58297-2024</t>
        </is>
      </c>
      <c r="B6422" s="1" t="n">
        <v>45632</v>
      </c>
      <c r="C6422" s="1" t="n">
        <v>45846</v>
      </c>
      <c r="D6422" t="inlineStr">
        <is>
          <t>UPPSALA LÄN</t>
        </is>
      </c>
      <c r="E6422" t="inlineStr">
        <is>
          <t>ÖSTHAMMAR</t>
        </is>
      </c>
      <c r="G6422" t="n">
        <v>5.1</v>
      </c>
      <c r="H6422" t="n">
        <v>0</v>
      </c>
      <c r="I6422" t="n">
        <v>0</v>
      </c>
      <c r="J6422" t="n">
        <v>0</v>
      </c>
      <c r="K6422" t="n">
        <v>0</v>
      </c>
      <c r="L6422" t="n">
        <v>0</v>
      </c>
      <c r="M6422" t="n">
        <v>0</v>
      </c>
      <c r="N6422" t="n">
        <v>0</v>
      </c>
      <c r="O6422" t="n">
        <v>0</v>
      </c>
      <c r="P6422" t="n">
        <v>0</v>
      </c>
      <c r="Q6422" t="n">
        <v>0</v>
      </c>
      <c r="R6422" s="2" t="inlineStr"/>
    </row>
    <row r="6423" ht="15" customHeight="1">
      <c r="A6423" t="inlineStr">
        <is>
          <t>A 58366-2024</t>
        </is>
      </c>
      <c r="B6423" s="1" t="n">
        <v>45632</v>
      </c>
      <c r="C6423" s="1" t="n">
        <v>45846</v>
      </c>
      <c r="D6423" t="inlineStr">
        <is>
          <t>UPPSALA LÄN</t>
        </is>
      </c>
      <c r="E6423" t="inlineStr">
        <is>
          <t>ÖSTHAMMAR</t>
        </is>
      </c>
      <c r="G6423" t="n">
        <v>6.1</v>
      </c>
      <c r="H6423" t="n">
        <v>0</v>
      </c>
      <c r="I6423" t="n">
        <v>0</v>
      </c>
      <c r="J6423" t="n">
        <v>0</v>
      </c>
      <c r="K6423" t="n">
        <v>0</v>
      </c>
      <c r="L6423" t="n">
        <v>0</v>
      </c>
      <c r="M6423" t="n">
        <v>0</v>
      </c>
      <c r="N6423" t="n">
        <v>0</v>
      </c>
      <c r="O6423" t="n">
        <v>0</v>
      </c>
      <c r="P6423" t="n">
        <v>0</v>
      </c>
      <c r="Q6423" t="n">
        <v>0</v>
      </c>
      <c r="R6423" s="2" t="inlineStr"/>
    </row>
    <row r="6424" ht="15" customHeight="1">
      <c r="A6424" t="inlineStr">
        <is>
          <t>A 58188-2024</t>
        </is>
      </c>
      <c r="B6424" s="1" t="n">
        <v>45632</v>
      </c>
      <c r="C6424" s="1" t="n">
        <v>45846</v>
      </c>
      <c r="D6424" t="inlineStr">
        <is>
          <t>UPPSALA LÄN</t>
        </is>
      </c>
      <c r="E6424" t="inlineStr">
        <is>
          <t>UPPSALA</t>
        </is>
      </c>
      <c r="F6424" t="inlineStr">
        <is>
          <t>Bergvik skog väst AB</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58232-2024</t>
        </is>
      </c>
      <c r="B6425" s="1" t="n">
        <v>45632</v>
      </c>
      <c r="C6425" s="1" t="n">
        <v>45846</v>
      </c>
      <c r="D6425" t="inlineStr">
        <is>
          <t>UPPSALA LÄN</t>
        </is>
      </c>
      <c r="E6425" t="inlineStr">
        <is>
          <t>TIERP</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58601-2024</t>
        </is>
      </c>
      <c r="B6426" s="1" t="n">
        <v>45635</v>
      </c>
      <c r="C6426" s="1" t="n">
        <v>45846</v>
      </c>
      <c r="D6426" t="inlineStr">
        <is>
          <t>UPPSALA LÄN</t>
        </is>
      </c>
      <c r="E6426" t="inlineStr">
        <is>
          <t>TIERP</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58772-2024</t>
        </is>
      </c>
      <c r="B6427" s="1" t="n">
        <v>45635</v>
      </c>
      <c r="C6427" s="1" t="n">
        <v>45846</v>
      </c>
      <c r="D6427" t="inlineStr">
        <is>
          <t>UPPSALA LÄN</t>
        </is>
      </c>
      <c r="E6427" t="inlineStr">
        <is>
          <t>TIERP</t>
        </is>
      </c>
      <c r="G6427" t="n">
        <v>4.7</v>
      </c>
      <c r="H6427" t="n">
        <v>0</v>
      </c>
      <c r="I6427" t="n">
        <v>0</v>
      </c>
      <c r="J6427" t="n">
        <v>0</v>
      </c>
      <c r="K6427" t="n">
        <v>0</v>
      </c>
      <c r="L6427" t="n">
        <v>0</v>
      </c>
      <c r="M6427" t="n">
        <v>0</v>
      </c>
      <c r="N6427" t="n">
        <v>0</v>
      </c>
      <c r="O6427" t="n">
        <v>0</v>
      </c>
      <c r="P6427" t="n">
        <v>0</v>
      </c>
      <c r="Q6427" t="n">
        <v>0</v>
      </c>
      <c r="R6427" s="2" t="inlineStr"/>
    </row>
    <row r="6428" ht="15" customHeight="1">
      <c r="A6428" t="inlineStr">
        <is>
          <t>A 58961-2024</t>
        </is>
      </c>
      <c r="B6428" s="1" t="n">
        <v>45636</v>
      </c>
      <c r="C6428" s="1" t="n">
        <v>45846</v>
      </c>
      <c r="D6428" t="inlineStr">
        <is>
          <t>UPPSALA LÄN</t>
        </is>
      </c>
      <c r="E6428" t="inlineStr">
        <is>
          <t>ENKÖPING</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59205-2024</t>
        </is>
      </c>
      <c r="B6429" s="1" t="n">
        <v>45636</v>
      </c>
      <c r="C6429" s="1" t="n">
        <v>45846</v>
      </c>
      <c r="D6429" t="inlineStr">
        <is>
          <t>UPPSALA LÄN</t>
        </is>
      </c>
      <c r="E6429" t="inlineStr">
        <is>
          <t>TIERP</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59027-2024</t>
        </is>
      </c>
      <c r="B6430" s="1" t="n">
        <v>45636</v>
      </c>
      <c r="C6430" s="1" t="n">
        <v>45846</v>
      </c>
      <c r="D6430" t="inlineStr">
        <is>
          <t>UPPSALA LÄN</t>
        </is>
      </c>
      <c r="E6430" t="inlineStr">
        <is>
          <t>ENKÖPING</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59098-2024</t>
        </is>
      </c>
      <c r="B6431" s="1" t="n">
        <v>45636</v>
      </c>
      <c r="C6431" s="1" t="n">
        <v>45846</v>
      </c>
      <c r="D6431" t="inlineStr">
        <is>
          <t>UPPSALA LÄN</t>
        </is>
      </c>
      <c r="E6431" t="inlineStr">
        <is>
          <t>UPPSALA</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59114-2024</t>
        </is>
      </c>
      <c r="B6432" s="1" t="n">
        <v>45637</v>
      </c>
      <c r="C6432" s="1" t="n">
        <v>45846</v>
      </c>
      <c r="D6432" t="inlineStr">
        <is>
          <t>UPPSALA LÄN</t>
        </is>
      </c>
      <c r="E6432" t="inlineStr">
        <is>
          <t>UPPSALA</t>
        </is>
      </c>
      <c r="F6432" t="inlineStr">
        <is>
          <t>Sveaskog</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59116-2024</t>
        </is>
      </c>
      <c r="B6433" s="1" t="n">
        <v>45637</v>
      </c>
      <c r="C6433" s="1" t="n">
        <v>45846</v>
      </c>
      <c r="D6433" t="inlineStr">
        <is>
          <t>UPPSALA LÄN</t>
        </is>
      </c>
      <c r="E6433" t="inlineStr">
        <is>
          <t>UPPSALA</t>
        </is>
      </c>
      <c r="F6433" t="inlineStr">
        <is>
          <t>Sveaskog</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59158-2024</t>
        </is>
      </c>
      <c r="B6434" s="1" t="n">
        <v>45637</v>
      </c>
      <c r="C6434" s="1" t="n">
        <v>45846</v>
      </c>
      <c r="D6434" t="inlineStr">
        <is>
          <t>UPPSALA LÄN</t>
        </is>
      </c>
      <c r="E6434" t="inlineStr">
        <is>
          <t>UPPSALA</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59211-2024</t>
        </is>
      </c>
      <c r="B6435" s="1" t="n">
        <v>45637</v>
      </c>
      <c r="C6435" s="1" t="n">
        <v>45846</v>
      </c>
      <c r="D6435" t="inlineStr">
        <is>
          <t>UPPSALA LÄN</t>
        </is>
      </c>
      <c r="E6435" t="inlineStr">
        <is>
          <t>TIERP</t>
        </is>
      </c>
      <c r="G6435" t="n">
        <v>5.1</v>
      </c>
      <c r="H6435" t="n">
        <v>0</v>
      </c>
      <c r="I6435" t="n">
        <v>0</v>
      </c>
      <c r="J6435" t="n">
        <v>0</v>
      </c>
      <c r="K6435" t="n">
        <v>0</v>
      </c>
      <c r="L6435" t="n">
        <v>0</v>
      </c>
      <c r="M6435" t="n">
        <v>0</v>
      </c>
      <c r="N6435" t="n">
        <v>0</v>
      </c>
      <c r="O6435" t="n">
        <v>0</v>
      </c>
      <c r="P6435" t="n">
        <v>0</v>
      </c>
      <c r="Q6435" t="n">
        <v>0</v>
      </c>
      <c r="R6435" s="2" t="inlineStr"/>
    </row>
    <row r="6436" ht="15" customHeight="1">
      <c r="A6436" t="inlineStr">
        <is>
          <t>A 59244-2024</t>
        </is>
      </c>
      <c r="B6436" s="1" t="n">
        <v>45637</v>
      </c>
      <c r="C6436" s="1" t="n">
        <v>45846</v>
      </c>
      <c r="D6436" t="inlineStr">
        <is>
          <t>UPPSALA LÄN</t>
        </is>
      </c>
      <c r="E6436" t="inlineStr">
        <is>
          <t>TIERP</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59267-2024</t>
        </is>
      </c>
      <c r="B6437" s="1" t="n">
        <v>45637</v>
      </c>
      <c r="C6437" s="1" t="n">
        <v>45846</v>
      </c>
      <c r="D6437" t="inlineStr">
        <is>
          <t>UPPSALA LÄN</t>
        </is>
      </c>
      <c r="E6437" t="inlineStr">
        <is>
          <t>TIERP</t>
        </is>
      </c>
      <c r="G6437" t="n">
        <v>4.1</v>
      </c>
      <c r="H6437" t="n">
        <v>0</v>
      </c>
      <c r="I6437" t="n">
        <v>0</v>
      </c>
      <c r="J6437" t="n">
        <v>0</v>
      </c>
      <c r="K6437" t="n">
        <v>0</v>
      </c>
      <c r="L6437" t="n">
        <v>0</v>
      </c>
      <c r="M6437" t="n">
        <v>0</v>
      </c>
      <c r="N6437" t="n">
        <v>0</v>
      </c>
      <c r="O6437" t="n">
        <v>0</v>
      </c>
      <c r="P6437" t="n">
        <v>0</v>
      </c>
      <c r="Q6437" t="n">
        <v>0</v>
      </c>
      <c r="R6437" s="2" t="inlineStr"/>
    </row>
    <row r="6438" ht="15" customHeight="1">
      <c r="A6438" t="inlineStr">
        <is>
          <t>A 59358-2024</t>
        </is>
      </c>
      <c r="B6438" s="1" t="n">
        <v>45638</v>
      </c>
      <c r="C6438" s="1" t="n">
        <v>45846</v>
      </c>
      <c r="D6438" t="inlineStr">
        <is>
          <t>UPPSALA LÄN</t>
        </is>
      </c>
      <c r="E6438" t="inlineStr">
        <is>
          <t>UPPSALA</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59549-2024</t>
        </is>
      </c>
      <c r="B6439" s="1" t="n">
        <v>45638</v>
      </c>
      <c r="C6439" s="1" t="n">
        <v>45846</v>
      </c>
      <c r="D6439" t="inlineStr">
        <is>
          <t>UPPSALA LÄN</t>
        </is>
      </c>
      <c r="E6439" t="inlineStr">
        <is>
          <t>UPPSALA</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59562-2024</t>
        </is>
      </c>
      <c r="B6440" s="1" t="n">
        <v>45638</v>
      </c>
      <c r="C6440" s="1" t="n">
        <v>45846</v>
      </c>
      <c r="D6440" t="inlineStr">
        <is>
          <t>UPPSALA LÄN</t>
        </is>
      </c>
      <c r="E6440" t="inlineStr">
        <is>
          <t>UPPSALA</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59570-2024</t>
        </is>
      </c>
      <c r="B6441" s="1" t="n">
        <v>45638</v>
      </c>
      <c r="C6441" s="1" t="n">
        <v>45846</v>
      </c>
      <c r="D6441" t="inlineStr">
        <is>
          <t>UPPSALA LÄN</t>
        </is>
      </c>
      <c r="E6441" t="inlineStr">
        <is>
          <t>ENKÖPING</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59597-2024</t>
        </is>
      </c>
      <c r="B6442" s="1" t="n">
        <v>45638</v>
      </c>
      <c r="C6442" s="1" t="n">
        <v>45846</v>
      </c>
      <c r="D6442" t="inlineStr">
        <is>
          <t>UPPSALA LÄN</t>
        </is>
      </c>
      <c r="E6442" t="inlineStr">
        <is>
          <t>TIERP</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59547-2024</t>
        </is>
      </c>
      <c r="B6443" s="1" t="n">
        <v>45638</v>
      </c>
      <c r="C6443" s="1" t="n">
        <v>45846</v>
      </c>
      <c r="D6443" t="inlineStr">
        <is>
          <t>UPPSALA LÄN</t>
        </is>
      </c>
      <c r="E6443" t="inlineStr">
        <is>
          <t>UPPSALA</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59602-2024</t>
        </is>
      </c>
      <c r="B6444" s="1" t="n">
        <v>45638</v>
      </c>
      <c r="C6444" s="1" t="n">
        <v>45846</v>
      </c>
      <c r="D6444" t="inlineStr">
        <is>
          <t>UPPSALA LÄN</t>
        </is>
      </c>
      <c r="E6444" t="inlineStr">
        <is>
          <t>ENKÖPING</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59587-2024</t>
        </is>
      </c>
      <c r="B6445" s="1" t="n">
        <v>45638</v>
      </c>
      <c r="C6445" s="1" t="n">
        <v>45846</v>
      </c>
      <c r="D6445" t="inlineStr">
        <is>
          <t>UPPSALA LÄN</t>
        </is>
      </c>
      <c r="E6445" t="inlineStr">
        <is>
          <t>UPPSALA</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59382-2024</t>
        </is>
      </c>
      <c r="B6446" s="1" t="n">
        <v>45638</v>
      </c>
      <c r="C6446" s="1" t="n">
        <v>45846</v>
      </c>
      <c r="D6446" t="inlineStr">
        <is>
          <t>UPPSALA LÄN</t>
        </is>
      </c>
      <c r="E6446" t="inlineStr">
        <is>
          <t>HEBY</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59391-2024</t>
        </is>
      </c>
      <c r="B6447" s="1" t="n">
        <v>45638</v>
      </c>
      <c r="C6447" s="1" t="n">
        <v>45846</v>
      </c>
      <c r="D6447" t="inlineStr">
        <is>
          <t>UPPSALA LÄN</t>
        </is>
      </c>
      <c r="E6447" t="inlineStr">
        <is>
          <t>HEBY</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59387-2024</t>
        </is>
      </c>
      <c r="B6448" s="1" t="n">
        <v>45638</v>
      </c>
      <c r="C6448" s="1" t="n">
        <v>45846</v>
      </c>
      <c r="D6448" t="inlineStr">
        <is>
          <t>UPPSALA LÄN</t>
        </is>
      </c>
      <c r="E6448" t="inlineStr">
        <is>
          <t>HEBY</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59824-2024</t>
        </is>
      </c>
      <c r="B6449" s="1" t="n">
        <v>45639</v>
      </c>
      <c r="C6449" s="1" t="n">
        <v>45846</v>
      </c>
      <c r="D6449" t="inlineStr">
        <is>
          <t>UPPSALA LÄN</t>
        </is>
      </c>
      <c r="E6449" t="inlineStr">
        <is>
          <t>HEBY</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59815-2024</t>
        </is>
      </c>
      <c r="B6450" s="1" t="n">
        <v>45639</v>
      </c>
      <c r="C6450" s="1" t="n">
        <v>45846</v>
      </c>
      <c r="D6450" t="inlineStr">
        <is>
          <t>UPPSALA LÄN</t>
        </is>
      </c>
      <c r="E6450" t="inlineStr">
        <is>
          <t>HEBY</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59858-2024</t>
        </is>
      </c>
      <c r="B6451" s="1" t="n">
        <v>45639</v>
      </c>
      <c r="C6451" s="1" t="n">
        <v>45846</v>
      </c>
      <c r="D6451" t="inlineStr">
        <is>
          <t>UPPSALA LÄN</t>
        </is>
      </c>
      <c r="E6451" t="inlineStr">
        <is>
          <t>HEBY</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59658-2024</t>
        </is>
      </c>
      <c r="B6452" s="1" t="n">
        <v>45639</v>
      </c>
      <c r="C6452" s="1" t="n">
        <v>45846</v>
      </c>
      <c r="D6452" t="inlineStr">
        <is>
          <t>UPPSALA LÄN</t>
        </is>
      </c>
      <c r="E6452" t="inlineStr">
        <is>
          <t>TIERP</t>
        </is>
      </c>
      <c r="G6452" t="n">
        <v>4.9</v>
      </c>
      <c r="H6452" t="n">
        <v>0</v>
      </c>
      <c r="I6452" t="n">
        <v>0</v>
      </c>
      <c r="J6452" t="n">
        <v>0</v>
      </c>
      <c r="K6452" t="n">
        <v>0</v>
      </c>
      <c r="L6452" t="n">
        <v>0</v>
      </c>
      <c r="M6452" t="n">
        <v>0</v>
      </c>
      <c r="N6452" t="n">
        <v>0</v>
      </c>
      <c r="O6452" t="n">
        <v>0</v>
      </c>
      <c r="P6452" t="n">
        <v>0</v>
      </c>
      <c r="Q6452" t="n">
        <v>0</v>
      </c>
      <c r="R6452" s="2" t="inlineStr"/>
    </row>
    <row r="6453" ht="15" customHeight="1">
      <c r="A6453" t="inlineStr">
        <is>
          <t>A 60167-2024</t>
        </is>
      </c>
      <c r="B6453" s="1" t="n">
        <v>45642</v>
      </c>
      <c r="C6453" s="1" t="n">
        <v>45846</v>
      </c>
      <c r="D6453" t="inlineStr">
        <is>
          <t>UPPSALA LÄN</t>
        </is>
      </c>
      <c r="E6453" t="inlineStr">
        <is>
          <t>UPPSALA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60123-2024</t>
        </is>
      </c>
      <c r="B6454" s="1" t="n">
        <v>45642</v>
      </c>
      <c r="C6454" s="1" t="n">
        <v>45846</v>
      </c>
      <c r="D6454" t="inlineStr">
        <is>
          <t>UPPSALA LÄN</t>
        </is>
      </c>
      <c r="E6454" t="inlineStr">
        <is>
          <t>TIERP</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60129-2024</t>
        </is>
      </c>
      <c r="B6455" s="1" t="n">
        <v>45642</v>
      </c>
      <c r="C6455" s="1" t="n">
        <v>45846</v>
      </c>
      <c r="D6455" t="inlineStr">
        <is>
          <t>UPPSALA LÄN</t>
        </is>
      </c>
      <c r="E6455" t="inlineStr">
        <is>
          <t>TIERP</t>
        </is>
      </c>
      <c r="G6455" t="n">
        <v>4.7</v>
      </c>
      <c r="H6455" t="n">
        <v>0</v>
      </c>
      <c r="I6455" t="n">
        <v>0</v>
      </c>
      <c r="J6455" t="n">
        <v>0</v>
      </c>
      <c r="K6455" t="n">
        <v>0</v>
      </c>
      <c r="L6455" t="n">
        <v>0</v>
      </c>
      <c r="M6455" t="n">
        <v>0</v>
      </c>
      <c r="N6455" t="n">
        <v>0</v>
      </c>
      <c r="O6455" t="n">
        <v>0</v>
      </c>
      <c r="P6455" t="n">
        <v>0</v>
      </c>
      <c r="Q6455" t="n">
        <v>0</v>
      </c>
      <c r="R6455" s="2" t="inlineStr"/>
    </row>
    <row r="6456" ht="15" customHeight="1">
      <c r="A6456" t="inlineStr">
        <is>
          <t>A 60136-2024</t>
        </is>
      </c>
      <c r="B6456" s="1" t="n">
        <v>45642</v>
      </c>
      <c r="C6456" s="1" t="n">
        <v>45846</v>
      </c>
      <c r="D6456" t="inlineStr">
        <is>
          <t>UPPSALA LÄN</t>
        </is>
      </c>
      <c r="E6456" t="inlineStr">
        <is>
          <t>TIERP</t>
        </is>
      </c>
      <c r="G6456" t="n">
        <v>6</v>
      </c>
      <c r="H6456" t="n">
        <v>0</v>
      </c>
      <c r="I6456" t="n">
        <v>0</v>
      </c>
      <c r="J6456" t="n">
        <v>0</v>
      </c>
      <c r="K6456" t="n">
        <v>0</v>
      </c>
      <c r="L6456" t="n">
        <v>0</v>
      </c>
      <c r="M6456" t="n">
        <v>0</v>
      </c>
      <c r="N6456" t="n">
        <v>0</v>
      </c>
      <c r="O6456" t="n">
        <v>0</v>
      </c>
      <c r="P6456" t="n">
        <v>0</v>
      </c>
      <c r="Q6456" t="n">
        <v>0</v>
      </c>
      <c r="R6456" s="2" t="inlineStr"/>
    </row>
    <row r="6457" ht="15" customHeight="1">
      <c r="A6457" t="inlineStr">
        <is>
          <t>A 60011-2024</t>
        </is>
      </c>
      <c r="B6457" s="1" t="n">
        <v>45642</v>
      </c>
      <c r="C6457" s="1" t="n">
        <v>45846</v>
      </c>
      <c r="D6457" t="inlineStr">
        <is>
          <t>UPPSALA LÄN</t>
        </is>
      </c>
      <c r="E6457" t="inlineStr">
        <is>
          <t>TIERP</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60125-2024</t>
        </is>
      </c>
      <c r="B6458" s="1" t="n">
        <v>45642</v>
      </c>
      <c r="C6458" s="1" t="n">
        <v>45846</v>
      </c>
      <c r="D6458" t="inlineStr">
        <is>
          <t>UPPSALA LÄN</t>
        </is>
      </c>
      <c r="E6458" t="inlineStr">
        <is>
          <t>ENKÖPING</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60018-2024</t>
        </is>
      </c>
      <c r="B6459" s="1" t="n">
        <v>45642</v>
      </c>
      <c r="C6459" s="1" t="n">
        <v>45846</v>
      </c>
      <c r="D6459" t="inlineStr">
        <is>
          <t>UPPSALA LÄN</t>
        </is>
      </c>
      <c r="E6459" t="inlineStr">
        <is>
          <t>KNIVSTA</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60014-2024</t>
        </is>
      </c>
      <c r="B6460" s="1" t="n">
        <v>45642</v>
      </c>
      <c r="C6460" s="1" t="n">
        <v>45846</v>
      </c>
      <c r="D6460" t="inlineStr">
        <is>
          <t>UPPSALA LÄN</t>
        </is>
      </c>
      <c r="E6460" t="inlineStr">
        <is>
          <t>TIERP</t>
        </is>
      </c>
      <c r="F6460" t="inlineStr">
        <is>
          <t>Bergvik skog väst AB</t>
        </is>
      </c>
      <c r="G6460" t="n">
        <v>8.4</v>
      </c>
      <c r="H6460" t="n">
        <v>0</v>
      </c>
      <c r="I6460" t="n">
        <v>0</v>
      </c>
      <c r="J6460" t="n">
        <v>0</v>
      </c>
      <c r="K6460" t="n">
        <v>0</v>
      </c>
      <c r="L6460" t="n">
        <v>0</v>
      </c>
      <c r="M6460" t="n">
        <v>0</v>
      </c>
      <c r="N6460" t="n">
        <v>0</v>
      </c>
      <c r="O6460" t="n">
        <v>0</v>
      </c>
      <c r="P6460" t="n">
        <v>0</v>
      </c>
      <c r="Q6460" t="n">
        <v>0</v>
      </c>
      <c r="R6460" s="2" t="inlineStr"/>
    </row>
    <row r="6461" ht="15" customHeight="1">
      <c r="A6461" t="inlineStr">
        <is>
          <t>A 60003-2024</t>
        </is>
      </c>
      <c r="B6461" s="1" t="n">
        <v>45642</v>
      </c>
      <c r="C6461" s="1" t="n">
        <v>45846</v>
      </c>
      <c r="D6461" t="inlineStr">
        <is>
          <t>UPPSALA LÄN</t>
        </is>
      </c>
      <c r="E6461" t="inlineStr">
        <is>
          <t>UPPSALA</t>
        </is>
      </c>
      <c r="F6461" t="inlineStr">
        <is>
          <t>Bergvik skog väst AB</t>
        </is>
      </c>
      <c r="G6461" t="n">
        <v>14.5</v>
      </c>
      <c r="H6461" t="n">
        <v>0</v>
      </c>
      <c r="I6461" t="n">
        <v>0</v>
      </c>
      <c r="J6461" t="n">
        <v>0</v>
      </c>
      <c r="K6461" t="n">
        <v>0</v>
      </c>
      <c r="L6461" t="n">
        <v>0</v>
      </c>
      <c r="M6461" t="n">
        <v>0</v>
      </c>
      <c r="N6461" t="n">
        <v>0</v>
      </c>
      <c r="O6461" t="n">
        <v>0</v>
      </c>
      <c r="P6461" t="n">
        <v>0</v>
      </c>
      <c r="Q6461" t="n">
        <v>0</v>
      </c>
      <c r="R6461" s="2" t="inlineStr"/>
    </row>
    <row r="6462" ht="15" customHeight="1">
      <c r="A6462" t="inlineStr">
        <is>
          <t>A 59996-2024</t>
        </is>
      </c>
      <c r="B6462" s="1" t="n">
        <v>45642</v>
      </c>
      <c r="C6462" s="1" t="n">
        <v>45846</v>
      </c>
      <c r="D6462" t="inlineStr">
        <is>
          <t>UPPSALA LÄN</t>
        </is>
      </c>
      <c r="E6462" t="inlineStr">
        <is>
          <t>UPPSALA</t>
        </is>
      </c>
      <c r="F6462" t="inlineStr">
        <is>
          <t>Bergvik skog väst AB</t>
        </is>
      </c>
      <c r="G6462" t="n">
        <v>14.5</v>
      </c>
      <c r="H6462" t="n">
        <v>0</v>
      </c>
      <c r="I6462" t="n">
        <v>0</v>
      </c>
      <c r="J6462" t="n">
        <v>0</v>
      </c>
      <c r="K6462" t="n">
        <v>0</v>
      </c>
      <c r="L6462" t="n">
        <v>0</v>
      </c>
      <c r="M6462" t="n">
        <v>0</v>
      </c>
      <c r="N6462" t="n">
        <v>0</v>
      </c>
      <c r="O6462" t="n">
        <v>0</v>
      </c>
      <c r="P6462" t="n">
        <v>0</v>
      </c>
      <c r="Q6462" t="n">
        <v>0</v>
      </c>
      <c r="R6462" s="2" t="inlineStr"/>
    </row>
    <row r="6463" ht="15" customHeight="1">
      <c r="A6463" t="inlineStr">
        <is>
          <t>A 60357-2024</t>
        </is>
      </c>
      <c r="B6463" s="1" t="n">
        <v>45643</v>
      </c>
      <c r="C6463" s="1" t="n">
        <v>45846</v>
      </c>
      <c r="D6463" t="inlineStr">
        <is>
          <t>UPPSALA LÄN</t>
        </is>
      </c>
      <c r="E6463" t="inlineStr">
        <is>
          <t>TIERP</t>
        </is>
      </c>
      <c r="F6463" t="inlineStr">
        <is>
          <t>Bergvik skog öst AB</t>
        </is>
      </c>
      <c r="G6463" t="n">
        <v>9.6</v>
      </c>
      <c r="H6463" t="n">
        <v>0</v>
      </c>
      <c r="I6463" t="n">
        <v>0</v>
      </c>
      <c r="J6463" t="n">
        <v>0</v>
      </c>
      <c r="K6463" t="n">
        <v>0</v>
      </c>
      <c r="L6463" t="n">
        <v>0</v>
      </c>
      <c r="M6463" t="n">
        <v>0</v>
      </c>
      <c r="N6463" t="n">
        <v>0</v>
      </c>
      <c r="O6463" t="n">
        <v>0</v>
      </c>
      <c r="P6463" t="n">
        <v>0</v>
      </c>
      <c r="Q6463" t="n">
        <v>0</v>
      </c>
      <c r="R6463" s="2" t="inlineStr"/>
    </row>
    <row r="6464" ht="15" customHeight="1">
      <c r="A6464" t="inlineStr">
        <is>
          <t>A 60445-2024</t>
        </is>
      </c>
      <c r="B6464" s="1" t="n">
        <v>45643</v>
      </c>
      <c r="C6464" s="1" t="n">
        <v>45846</v>
      </c>
      <c r="D6464" t="inlineStr">
        <is>
          <t>UPPSALA LÄN</t>
        </is>
      </c>
      <c r="E6464" t="inlineStr">
        <is>
          <t>UPPSALA</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60314-2024</t>
        </is>
      </c>
      <c r="B6465" s="1" t="n">
        <v>45643</v>
      </c>
      <c r="C6465" s="1" t="n">
        <v>45846</v>
      </c>
      <c r="D6465" t="inlineStr">
        <is>
          <t>UPPSALA LÄN</t>
        </is>
      </c>
      <c r="E6465" t="inlineStr">
        <is>
          <t>TIERP</t>
        </is>
      </c>
      <c r="F6465" t="inlineStr">
        <is>
          <t>Bergvik skog öst AB</t>
        </is>
      </c>
      <c r="G6465" t="n">
        <v>4.4</v>
      </c>
      <c r="H6465" t="n">
        <v>0</v>
      </c>
      <c r="I6465" t="n">
        <v>0</v>
      </c>
      <c r="J6465" t="n">
        <v>0</v>
      </c>
      <c r="K6465" t="n">
        <v>0</v>
      </c>
      <c r="L6465" t="n">
        <v>0</v>
      </c>
      <c r="M6465" t="n">
        <v>0</v>
      </c>
      <c r="N6465" t="n">
        <v>0</v>
      </c>
      <c r="O6465" t="n">
        <v>0</v>
      </c>
      <c r="P6465" t="n">
        <v>0</v>
      </c>
      <c r="Q6465" t="n">
        <v>0</v>
      </c>
      <c r="R6465" s="2" t="inlineStr"/>
    </row>
    <row r="6466" ht="15" customHeight="1">
      <c r="A6466" t="inlineStr">
        <is>
          <t>A 60538-2024</t>
        </is>
      </c>
      <c r="B6466" s="1" t="n">
        <v>45643</v>
      </c>
      <c r="C6466" s="1" t="n">
        <v>45846</v>
      </c>
      <c r="D6466" t="inlineStr">
        <is>
          <t>UPPSALA LÄN</t>
        </is>
      </c>
      <c r="E6466" t="inlineStr">
        <is>
          <t>ENKÖPING</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60304-2024</t>
        </is>
      </c>
      <c r="B6467" s="1" t="n">
        <v>45643</v>
      </c>
      <c r="C6467" s="1" t="n">
        <v>45846</v>
      </c>
      <c r="D6467" t="inlineStr">
        <is>
          <t>UPPSALA LÄN</t>
        </is>
      </c>
      <c r="E6467" t="inlineStr">
        <is>
          <t>TIERP</t>
        </is>
      </c>
      <c r="F6467" t="inlineStr">
        <is>
          <t>Bergvik skog öst AB</t>
        </is>
      </c>
      <c r="G6467" t="n">
        <v>3.4</v>
      </c>
      <c r="H6467" t="n">
        <v>0</v>
      </c>
      <c r="I6467" t="n">
        <v>0</v>
      </c>
      <c r="J6467" t="n">
        <v>0</v>
      </c>
      <c r="K6467" t="n">
        <v>0</v>
      </c>
      <c r="L6467" t="n">
        <v>0</v>
      </c>
      <c r="M6467" t="n">
        <v>0</v>
      </c>
      <c r="N6467" t="n">
        <v>0</v>
      </c>
      <c r="O6467" t="n">
        <v>0</v>
      </c>
      <c r="P6467" t="n">
        <v>0</v>
      </c>
      <c r="Q6467" t="n">
        <v>0</v>
      </c>
      <c r="R6467" s="2" t="inlineStr"/>
    </row>
    <row r="6468" ht="15" customHeight="1">
      <c r="A6468" t="inlineStr">
        <is>
          <t>A 60519-2024</t>
        </is>
      </c>
      <c r="B6468" s="1" t="n">
        <v>45643</v>
      </c>
      <c r="C6468" s="1" t="n">
        <v>45846</v>
      </c>
      <c r="D6468" t="inlineStr">
        <is>
          <t>UPPSALA LÄN</t>
        </is>
      </c>
      <c r="E6468" t="inlineStr">
        <is>
          <t>ENKÖPING</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60539-2024</t>
        </is>
      </c>
      <c r="B6469" s="1" t="n">
        <v>45643</v>
      </c>
      <c r="C6469" s="1" t="n">
        <v>45846</v>
      </c>
      <c r="D6469" t="inlineStr">
        <is>
          <t>UPPSALA LÄN</t>
        </is>
      </c>
      <c r="E6469" t="inlineStr">
        <is>
          <t>ENKÖPING</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60329-2024</t>
        </is>
      </c>
      <c r="B6470" s="1" t="n">
        <v>45643</v>
      </c>
      <c r="C6470" s="1" t="n">
        <v>45846</v>
      </c>
      <c r="D6470" t="inlineStr">
        <is>
          <t>UPPSALA LÄN</t>
        </is>
      </c>
      <c r="E6470" t="inlineStr">
        <is>
          <t>HEBY</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60698-2024</t>
        </is>
      </c>
      <c r="B6471" s="1" t="n">
        <v>45644</v>
      </c>
      <c r="C6471" s="1" t="n">
        <v>45846</v>
      </c>
      <c r="D6471" t="inlineStr">
        <is>
          <t>UPPSALA LÄN</t>
        </is>
      </c>
      <c r="E6471" t="inlineStr">
        <is>
          <t>UPPSALA</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60735-2024</t>
        </is>
      </c>
      <c r="B6472" s="1" t="n">
        <v>45644</v>
      </c>
      <c r="C6472" s="1" t="n">
        <v>45846</v>
      </c>
      <c r="D6472" t="inlineStr">
        <is>
          <t>UPPSALA LÄN</t>
        </is>
      </c>
      <c r="E6472" t="inlineStr">
        <is>
          <t>UPPSALA</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60648-2024</t>
        </is>
      </c>
      <c r="B6473" s="1" t="n">
        <v>45644</v>
      </c>
      <c r="C6473" s="1" t="n">
        <v>45846</v>
      </c>
      <c r="D6473" t="inlineStr">
        <is>
          <t>UPPSALA LÄN</t>
        </is>
      </c>
      <c r="E6473" t="inlineStr">
        <is>
          <t>TIERP</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60807-2024</t>
        </is>
      </c>
      <c r="B6474" s="1" t="n">
        <v>45644</v>
      </c>
      <c r="C6474" s="1" t="n">
        <v>45846</v>
      </c>
      <c r="D6474" t="inlineStr">
        <is>
          <t>UPPSALA LÄN</t>
        </is>
      </c>
      <c r="E6474" t="inlineStr">
        <is>
          <t>UPPSALA</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60820-2024</t>
        </is>
      </c>
      <c r="B6475" s="1" t="n">
        <v>45644</v>
      </c>
      <c r="C6475" s="1" t="n">
        <v>45846</v>
      </c>
      <c r="D6475" t="inlineStr">
        <is>
          <t>UPPSALA LÄN</t>
        </is>
      </c>
      <c r="E6475" t="inlineStr">
        <is>
          <t>UPPSALA</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60729-2024</t>
        </is>
      </c>
      <c r="B6476" s="1" t="n">
        <v>45644</v>
      </c>
      <c r="C6476" s="1" t="n">
        <v>45846</v>
      </c>
      <c r="D6476" t="inlineStr">
        <is>
          <t>UPPSALA LÄN</t>
        </is>
      </c>
      <c r="E6476" t="inlineStr">
        <is>
          <t>UPPSALA</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60691-2024</t>
        </is>
      </c>
      <c r="B6477" s="1" t="n">
        <v>45644</v>
      </c>
      <c r="C6477" s="1" t="n">
        <v>45846</v>
      </c>
      <c r="D6477" t="inlineStr">
        <is>
          <t>UPPSALA LÄN</t>
        </is>
      </c>
      <c r="E6477" t="inlineStr">
        <is>
          <t>UPPSALA</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60811-2024</t>
        </is>
      </c>
      <c r="B6478" s="1" t="n">
        <v>45644</v>
      </c>
      <c r="C6478" s="1" t="n">
        <v>45846</v>
      </c>
      <c r="D6478" t="inlineStr">
        <is>
          <t>UPPSALA LÄN</t>
        </is>
      </c>
      <c r="E6478" t="inlineStr">
        <is>
          <t>UPPSALA</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60949-2024</t>
        </is>
      </c>
      <c r="B6479" s="1" t="n">
        <v>45645</v>
      </c>
      <c r="C6479" s="1" t="n">
        <v>45846</v>
      </c>
      <c r="D6479" t="inlineStr">
        <is>
          <t>UPPSALA LÄN</t>
        </is>
      </c>
      <c r="E6479" t="inlineStr">
        <is>
          <t>UPPSALA</t>
        </is>
      </c>
      <c r="F6479" t="inlineStr">
        <is>
          <t>Kommuner</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60954-2024</t>
        </is>
      </c>
      <c r="B6480" s="1" t="n">
        <v>45645</v>
      </c>
      <c r="C6480" s="1" t="n">
        <v>45846</v>
      </c>
      <c r="D6480" t="inlineStr">
        <is>
          <t>UPPSALA LÄN</t>
        </is>
      </c>
      <c r="E6480" t="inlineStr">
        <is>
          <t>UPPSALA</t>
        </is>
      </c>
      <c r="F6480" t="inlineStr">
        <is>
          <t>Kommuner</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60985-2024</t>
        </is>
      </c>
      <c r="B6481" s="1" t="n">
        <v>45645</v>
      </c>
      <c r="C6481" s="1" t="n">
        <v>45846</v>
      </c>
      <c r="D6481" t="inlineStr">
        <is>
          <t>UPPSALA LÄN</t>
        </is>
      </c>
      <c r="E6481" t="inlineStr">
        <is>
          <t>TIERP</t>
        </is>
      </c>
      <c r="G6481" t="n">
        <v>5.5</v>
      </c>
      <c r="H6481" t="n">
        <v>0</v>
      </c>
      <c r="I6481" t="n">
        <v>0</v>
      </c>
      <c r="J6481" t="n">
        <v>0</v>
      </c>
      <c r="K6481" t="n">
        <v>0</v>
      </c>
      <c r="L6481" t="n">
        <v>0</v>
      </c>
      <c r="M6481" t="n">
        <v>0</v>
      </c>
      <c r="N6481" t="n">
        <v>0</v>
      </c>
      <c r="O6481" t="n">
        <v>0</v>
      </c>
      <c r="P6481" t="n">
        <v>0</v>
      </c>
      <c r="Q6481" t="n">
        <v>0</v>
      </c>
      <c r="R6481" s="2" t="inlineStr"/>
    </row>
    <row r="6482" ht="15" customHeight="1">
      <c r="A6482" t="inlineStr">
        <is>
          <t>A 61038-2024</t>
        </is>
      </c>
      <c r="B6482" s="1" t="n">
        <v>45645</v>
      </c>
      <c r="C6482" s="1" t="n">
        <v>45846</v>
      </c>
      <c r="D6482" t="inlineStr">
        <is>
          <t>UPPSALA LÄN</t>
        </is>
      </c>
      <c r="E6482" t="inlineStr">
        <is>
          <t>HEBY</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61248-2024</t>
        </is>
      </c>
      <c r="B6483" s="1" t="n">
        <v>45645</v>
      </c>
      <c r="C6483" s="1" t="n">
        <v>45846</v>
      </c>
      <c r="D6483" t="inlineStr">
        <is>
          <t>UPPSALA LÄN</t>
        </is>
      </c>
      <c r="E6483" t="inlineStr">
        <is>
          <t>TIERP</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61071-2024</t>
        </is>
      </c>
      <c r="B6484" s="1" t="n">
        <v>45645</v>
      </c>
      <c r="C6484" s="1" t="n">
        <v>45846</v>
      </c>
      <c r="D6484" t="inlineStr">
        <is>
          <t>UPPSALA LÄN</t>
        </is>
      </c>
      <c r="E6484" t="inlineStr">
        <is>
          <t>UPPSALA</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61149-2024</t>
        </is>
      </c>
      <c r="B6485" s="1" t="n">
        <v>45645</v>
      </c>
      <c r="C6485" s="1" t="n">
        <v>45846</v>
      </c>
      <c r="D6485" t="inlineStr">
        <is>
          <t>UPPSALA LÄN</t>
        </is>
      </c>
      <c r="E6485" t="inlineStr">
        <is>
          <t>TIERP</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61156-2024</t>
        </is>
      </c>
      <c r="B6486" s="1" t="n">
        <v>45645</v>
      </c>
      <c r="C6486" s="1" t="n">
        <v>45846</v>
      </c>
      <c r="D6486" t="inlineStr">
        <is>
          <t>UPPSALA LÄN</t>
        </is>
      </c>
      <c r="E6486" t="inlineStr">
        <is>
          <t>TIERP</t>
        </is>
      </c>
      <c r="F6486" t="inlineStr">
        <is>
          <t>Bergvik skog väst AB</t>
        </is>
      </c>
      <c r="G6486" t="n">
        <v>10.6</v>
      </c>
      <c r="H6486" t="n">
        <v>0</v>
      </c>
      <c r="I6486" t="n">
        <v>0</v>
      </c>
      <c r="J6486" t="n">
        <v>0</v>
      </c>
      <c r="K6486" t="n">
        <v>0</v>
      </c>
      <c r="L6486" t="n">
        <v>0</v>
      </c>
      <c r="M6486" t="n">
        <v>0</v>
      </c>
      <c r="N6486" t="n">
        <v>0</v>
      </c>
      <c r="O6486" t="n">
        <v>0</v>
      </c>
      <c r="P6486" t="n">
        <v>0</v>
      </c>
      <c r="Q6486" t="n">
        <v>0</v>
      </c>
      <c r="R6486" s="2" t="inlineStr"/>
    </row>
    <row r="6487" ht="15" customHeight="1">
      <c r="A6487" t="inlineStr">
        <is>
          <t>A 61230-2024</t>
        </is>
      </c>
      <c r="B6487" s="1" t="n">
        <v>45645</v>
      </c>
      <c r="C6487" s="1" t="n">
        <v>45846</v>
      </c>
      <c r="D6487" t="inlineStr">
        <is>
          <t>UPPSALA LÄN</t>
        </is>
      </c>
      <c r="E6487" t="inlineStr">
        <is>
          <t>TIERP</t>
        </is>
      </c>
      <c r="G6487" t="n">
        <v>1.8</v>
      </c>
      <c r="H6487" t="n">
        <v>0</v>
      </c>
      <c r="I6487" t="n">
        <v>0</v>
      </c>
      <c r="J6487" t="n">
        <v>0</v>
      </c>
      <c r="K6487" t="n">
        <v>0</v>
      </c>
      <c r="L6487" t="n">
        <v>0</v>
      </c>
      <c r="M6487" t="n">
        <v>0</v>
      </c>
      <c r="N6487" t="n">
        <v>0</v>
      </c>
      <c r="O6487" t="n">
        <v>0</v>
      </c>
      <c r="P6487" t="n">
        <v>0</v>
      </c>
      <c r="Q6487" t="n">
        <v>0</v>
      </c>
      <c r="R6487" s="2" t="inlineStr"/>
      <c r="U6487">
        <f>HYPERLINK("https://klasma.github.io/Logging_0360/knärot/A 61230-2024 karta knärot.png", "A 61230-2024")</f>
        <v/>
      </c>
      <c r="V6487">
        <f>HYPERLINK("https://klasma.github.io/Logging_0360/klagomål/A 61230-2024 FSC-klagomål.docx", "A 61230-2024")</f>
        <v/>
      </c>
      <c r="W6487">
        <f>HYPERLINK("https://klasma.github.io/Logging_0360/klagomålsmail/A 61230-2024 FSC-klagomål mail.docx", "A 61230-2024")</f>
        <v/>
      </c>
      <c r="X6487">
        <f>HYPERLINK("https://klasma.github.io/Logging_0360/tillsyn/A 61230-2024 tillsynsbegäran.docx", "A 61230-2024")</f>
        <v/>
      </c>
      <c r="Y6487">
        <f>HYPERLINK("https://klasma.github.io/Logging_0360/tillsynsmail/A 61230-2024 tillsynsbegäran mail.docx", "A 61230-2024")</f>
        <v/>
      </c>
    </row>
    <row r="6488" ht="15" customHeight="1">
      <c r="A6488" t="inlineStr">
        <is>
          <t>A 61235-2024</t>
        </is>
      </c>
      <c r="B6488" s="1" t="n">
        <v>45645</v>
      </c>
      <c r="C6488" s="1" t="n">
        <v>45846</v>
      </c>
      <c r="D6488" t="inlineStr">
        <is>
          <t>UPPSALA LÄN</t>
        </is>
      </c>
      <c r="E6488" t="inlineStr">
        <is>
          <t>ÖSTHAMMAR</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61280-2024</t>
        </is>
      </c>
      <c r="B6489" s="1" t="n">
        <v>45645</v>
      </c>
      <c r="C6489" s="1" t="n">
        <v>45846</v>
      </c>
      <c r="D6489" t="inlineStr">
        <is>
          <t>UPPSALA LÄN</t>
        </is>
      </c>
      <c r="E6489" t="inlineStr">
        <is>
          <t>TIERP</t>
        </is>
      </c>
      <c r="G6489" t="n">
        <v>5.4</v>
      </c>
      <c r="H6489" t="n">
        <v>0</v>
      </c>
      <c r="I6489" t="n">
        <v>0</v>
      </c>
      <c r="J6489" t="n">
        <v>0</v>
      </c>
      <c r="K6489" t="n">
        <v>0</v>
      </c>
      <c r="L6489" t="n">
        <v>0</v>
      </c>
      <c r="M6489" t="n">
        <v>0</v>
      </c>
      <c r="N6489" t="n">
        <v>0</v>
      </c>
      <c r="O6489" t="n">
        <v>0</v>
      </c>
      <c r="P6489" t="n">
        <v>0</v>
      </c>
      <c r="Q6489" t="n">
        <v>0</v>
      </c>
      <c r="R6489" s="2" t="inlineStr"/>
    </row>
    <row r="6490" ht="15" customHeight="1">
      <c r="A6490" t="inlineStr">
        <is>
          <t>A 61152-2024</t>
        </is>
      </c>
      <c r="B6490" s="1" t="n">
        <v>45645</v>
      </c>
      <c r="C6490" s="1" t="n">
        <v>45846</v>
      </c>
      <c r="D6490" t="inlineStr">
        <is>
          <t>UPPSALA LÄN</t>
        </is>
      </c>
      <c r="E6490" t="inlineStr">
        <is>
          <t>TIERP</t>
        </is>
      </c>
      <c r="F6490" t="inlineStr">
        <is>
          <t>Bergvik skog väst AB</t>
        </is>
      </c>
      <c r="G6490" t="n">
        <v>4.8</v>
      </c>
      <c r="H6490" t="n">
        <v>0</v>
      </c>
      <c r="I6490" t="n">
        <v>0</v>
      </c>
      <c r="J6490" t="n">
        <v>0</v>
      </c>
      <c r="K6490" t="n">
        <v>0</v>
      </c>
      <c r="L6490" t="n">
        <v>0</v>
      </c>
      <c r="M6490" t="n">
        <v>0</v>
      </c>
      <c r="N6490" t="n">
        <v>0</v>
      </c>
      <c r="O6490" t="n">
        <v>0</v>
      </c>
      <c r="P6490" t="n">
        <v>0</v>
      </c>
      <c r="Q6490" t="n">
        <v>0</v>
      </c>
      <c r="R6490" s="2" t="inlineStr"/>
    </row>
    <row r="6491" ht="15" customHeight="1">
      <c r="A6491" t="inlineStr">
        <is>
          <t>A 61033-2024</t>
        </is>
      </c>
      <c r="B6491" s="1" t="n">
        <v>45645</v>
      </c>
      <c r="C6491" s="1" t="n">
        <v>45846</v>
      </c>
      <c r="D6491" t="inlineStr">
        <is>
          <t>UPPSALA LÄN</t>
        </is>
      </c>
      <c r="E6491" t="inlineStr">
        <is>
          <t>HEBY</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61154-2024</t>
        </is>
      </c>
      <c r="B6492" s="1" t="n">
        <v>45645</v>
      </c>
      <c r="C6492" s="1" t="n">
        <v>45846</v>
      </c>
      <c r="D6492" t="inlineStr">
        <is>
          <t>UPPSALA LÄN</t>
        </is>
      </c>
      <c r="E6492" t="inlineStr">
        <is>
          <t>TIERP</t>
        </is>
      </c>
      <c r="F6492" t="inlineStr">
        <is>
          <t>Bergvik skog väst AB</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61246-2024</t>
        </is>
      </c>
      <c r="B6493" s="1" t="n">
        <v>45645</v>
      </c>
      <c r="C6493" s="1" t="n">
        <v>45846</v>
      </c>
      <c r="D6493" t="inlineStr">
        <is>
          <t>UPPSALA LÄN</t>
        </is>
      </c>
      <c r="E6493" t="inlineStr">
        <is>
          <t>TIERP</t>
        </is>
      </c>
      <c r="G6493" t="n">
        <v>4.7</v>
      </c>
      <c r="H6493" t="n">
        <v>0</v>
      </c>
      <c r="I6493" t="n">
        <v>0</v>
      </c>
      <c r="J6493" t="n">
        <v>0</v>
      </c>
      <c r="K6493" t="n">
        <v>0</v>
      </c>
      <c r="L6493" t="n">
        <v>0</v>
      </c>
      <c r="M6493" t="n">
        <v>0</v>
      </c>
      <c r="N6493" t="n">
        <v>0</v>
      </c>
      <c r="O6493" t="n">
        <v>0</v>
      </c>
      <c r="P6493" t="n">
        <v>0</v>
      </c>
      <c r="Q6493" t="n">
        <v>0</v>
      </c>
      <c r="R6493" s="2" t="inlineStr"/>
    </row>
    <row r="6494" ht="15" customHeight="1">
      <c r="A6494" t="inlineStr">
        <is>
          <t>A 61412-2024</t>
        </is>
      </c>
      <c r="B6494" s="1" t="n">
        <v>45646</v>
      </c>
      <c r="C6494" s="1" t="n">
        <v>45846</v>
      </c>
      <c r="D6494" t="inlineStr">
        <is>
          <t>UPPSALA LÄN</t>
        </is>
      </c>
      <c r="E6494" t="inlineStr">
        <is>
          <t>TIERP</t>
        </is>
      </c>
      <c r="F6494" t="inlineStr">
        <is>
          <t>Bergvik skog väst AB</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61443-2024</t>
        </is>
      </c>
      <c r="B6495" s="1" t="n">
        <v>45646</v>
      </c>
      <c r="C6495" s="1" t="n">
        <v>45846</v>
      </c>
      <c r="D6495" t="inlineStr">
        <is>
          <t>UPPSALA LÄN</t>
        </is>
      </c>
      <c r="E6495" t="inlineStr">
        <is>
          <t>ÖSTHAMMAR</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61455-2024</t>
        </is>
      </c>
      <c r="B6496" s="1" t="n">
        <v>45646</v>
      </c>
      <c r="C6496" s="1" t="n">
        <v>45846</v>
      </c>
      <c r="D6496" t="inlineStr">
        <is>
          <t>UPPSALA LÄN</t>
        </is>
      </c>
      <c r="E6496" t="inlineStr">
        <is>
          <t>ÖSTHAMMAR</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61463-2024</t>
        </is>
      </c>
      <c r="B6497" s="1" t="n">
        <v>45646</v>
      </c>
      <c r="C6497" s="1" t="n">
        <v>45846</v>
      </c>
      <c r="D6497" t="inlineStr">
        <is>
          <t>UPPSALA LÄN</t>
        </is>
      </c>
      <c r="E6497" t="inlineStr">
        <is>
          <t>UPPSALA</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61461-2024</t>
        </is>
      </c>
      <c r="B6498" s="1" t="n">
        <v>45646</v>
      </c>
      <c r="C6498" s="1" t="n">
        <v>45846</v>
      </c>
      <c r="D6498" t="inlineStr">
        <is>
          <t>UPPSALA LÄN</t>
        </is>
      </c>
      <c r="E6498" t="inlineStr">
        <is>
          <t>ÖSTHAMMAR</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61518-2024</t>
        </is>
      </c>
      <c r="B6499" s="1" t="n">
        <v>45646</v>
      </c>
      <c r="C6499" s="1" t="n">
        <v>45846</v>
      </c>
      <c r="D6499" t="inlineStr">
        <is>
          <t>UPPSALA LÄN</t>
        </is>
      </c>
      <c r="E6499" t="inlineStr">
        <is>
          <t>TIERP</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61526-2024</t>
        </is>
      </c>
      <c r="B6500" s="1" t="n">
        <v>45646</v>
      </c>
      <c r="C6500" s="1" t="n">
        <v>45846</v>
      </c>
      <c r="D6500" t="inlineStr">
        <is>
          <t>UPPSALA LÄN</t>
        </is>
      </c>
      <c r="E6500" t="inlineStr">
        <is>
          <t>TIERP</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61574-2024</t>
        </is>
      </c>
      <c r="B6501" s="1" t="n">
        <v>45646</v>
      </c>
      <c r="C6501" s="1" t="n">
        <v>45846</v>
      </c>
      <c r="D6501" t="inlineStr">
        <is>
          <t>UPPSALA LÄN</t>
        </is>
      </c>
      <c r="E6501" t="inlineStr">
        <is>
          <t>UPPSALA</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61395-2024</t>
        </is>
      </c>
      <c r="B6502" s="1" t="n">
        <v>45646</v>
      </c>
      <c r="C6502" s="1" t="n">
        <v>45846</v>
      </c>
      <c r="D6502" t="inlineStr">
        <is>
          <t>UPPSALA LÄN</t>
        </is>
      </c>
      <c r="E6502" t="inlineStr">
        <is>
          <t>TIERP</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61464-2024</t>
        </is>
      </c>
      <c r="B6503" s="1" t="n">
        <v>45646</v>
      </c>
      <c r="C6503" s="1" t="n">
        <v>45846</v>
      </c>
      <c r="D6503" t="inlineStr">
        <is>
          <t>UPPSALA LÄN</t>
        </is>
      </c>
      <c r="E6503" t="inlineStr">
        <is>
          <t>ÖSTHAMMAR</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61458-2024</t>
        </is>
      </c>
      <c r="B6504" s="1" t="n">
        <v>45646</v>
      </c>
      <c r="C6504" s="1" t="n">
        <v>45846</v>
      </c>
      <c r="D6504" t="inlineStr">
        <is>
          <t>UPPSALA LÄN</t>
        </is>
      </c>
      <c r="E6504" t="inlineStr">
        <is>
          <t>ÖSTHAMMAR</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61739-2024</t>
        </is>
      </c>
      <c r="B6505" s="1" t="n">
        <v>45649</v>
      </c>
      <c r="C6505" s="1" t="n">
        <v>45846</v>
      </c>
      <c r="D6505" t="inlineStr">
        <is>
          <t>UPPSALA LÄN</t>
        </is>
      </c>
      <c r="E6505" t="inlineStr">
        <is>
          <t>TIERP</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61827-2024</t>
        </is>
      </c>
      <c r="B6506" s="1" t="n">
        <v>45649</v>
      </c>
      <c r="C6506" s="1" t="n">
        <v>45846</v>
      </c>
      <c r="D6506" t="inlineStr">
        <is>
          <t>UPPSALA LÄN</t>
        </is>
      </c>
      <c r="E6506" t="inlineStr">
        <is>
          <t>TIERP</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192-2025</t>
        </is>
      </c>
      <c r="B6507" s="1" t="n">
        <v>45649</v>
      </c>
      <c r="C6507" s="1" t="n">
        <v>45846</v>
      </c>
      <c r="D6507" t="inlineStr">
        <is>
          <t>UPPSALA LÄN</t>
        </is>
      </c>
      <c r="E6507" t="inlineStr">
        <is>
          <t>ENKÖPING</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61836-2024</t>
        </is>
      </c>
      <c r="B6508" s="1" t="n">
        <v>45649</v>
      </c>
      <c r="C6508" s="1" t="n">
        <v>45846</v>
      </c>
      <c r="D6508" t="inlineStr">
        <is>
          <t>UPPSALA LÄN</t>
        </is>
      </c>
      <c r="E6508" t="inlineStr">
        <is>
          <t>TIERP</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61832-2024</t>
        </is>
      </c>
      <c r="B6509" s="1" t="n">
        <v>45649</v>
      </c>
      <c r="C6509" s="1" t="n">
        <v>45846</v>
      </c>
      <c r="D6509" t="inlineStr">
        <is>
          <t>UPPSALA LÄN</t>
        </is>
      </c>
      <c r="E6509" t="inlineStr">
        <is>
          <t>TIERP</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61842-2024</t>
        </is>
      </c>
      <c r="B6510" s="1" t="n">
        <v>45649</v>
      </c>
      <c r="C6510" s="1" t="n">
        <v>45846</v>
      </c>
      <c r="D6510" t="inlineStr">
        <is>
          <t>UPPSALA LÄN</t>
        </is>
      </c>
      <c r="E6510" t="inlineStr">
        <is>
          <t>TIERP</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61956-2024</t>
        </is>
      </c>
      <c r="B6511" s="1" t="n">
        <v>45653</v>
      </c>
      <c r="C6511" s="1" t="n">
        <v>45846</v>
      </c>
      <c r="D6511" t="inlineStr">
        <is>
          <t>UPPSALA LÄN</t>
        </is>
      </c>
      <c r="E6511" t="inlineStr">
        <is>
          <t>TIERP</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62006-2024</t>
        </is>
      </c>
      <c r="B6512" s="1" t="n">
        <v>45655</v>
      </c>
      <c r="C6512" s="1" t="n">
        <v>45846</v>
      </c>
      <c r="D6512" t="inlineStr">
        <is>
          <t>UPPSALA LÄN</t>
        </is>
      </c>
      <c r="E6512" t="inlineStr">
        <is>
          <t>TIERP</t>
        </is>
      </c>
      <c r="G6512" t="n">
        <v>4.2</v>
      </c>
      <c r="H6512" t="n">
        <v>0</v>
      </c>
      <c r="I6512" t="n">
        <v>0</v>
      </c>
      <c r="J6512" t="n">
        <v>0</v>
      </c>
      <c r="K6512" t="n">
        <v>0</v>
      </c>
      <c r="L6512" t="n">
        <v>0</v>
      </c>
      <c r="M6512" t="n">
        <v>0</v>
      </c>
      <c r="N6512" t="n">
        <v>0</v>
      </c>
      <c r="O6512" t="n">
        <v>0</v>
      </c>
      <c r="P6512" t="n">
        <v>0</v>
      </c>
      <c r="Q6512" t="n">
        <v>0</v>
      </c>
      <c r="R6512" s="2" t="inlineStr"/>
    </row>
    <row r="6513" ht="15" customHeight="1">
      <c r="A6513" t="inlineStr">
        <is>
          <t>A 62044-2024</t>
        </is>
      </c>
      <c r="B6513" s="1" t="n">
        <v>45656</v>
      </c>
      <c r="C6513" s="1" t="n">
        <v>45846</v>
      </c>
      <c r="D6513" t="inlineStr">
        <is>
          <t>UPPSALA LÄN</t>
        </is>
      </c>
      <c r="E6513" t="inlineStr">
        <is>
          <t>UPPSALA</t>
        </is>
      </c>
      <c r="F6513" t="inlineStr">
        <is>
          <t>Övriga statliga verk och myndigheter</t>
        </is>
      </c>
      <c r="G6513" t="n">
        <v>11.6</v>
      </c>
      <c r="H6513" t="n">
        <v>0</v>
      </c>
      <c r="I6513" t="n">
        <v>0</v>
      </c>
      <c r="J6513" t="n">
        <v>0</v>
      </c>
      <c r="K6513" t="n">
        <v>0</v>
      </c>
      <c r="L6513" t="n">
        <v>0</v>
      </c>
      <c r="M6513" t="n">
        <v>0</v>
      </c>
      <c r="N6513" t="n">
        <v>0</v>
      </c>
      <c r="O6513" t="n">
        <v>0</v>
      </c>
      <c r="P6513" t="n">
        <v>0</v>
      </c>
      <c r="Q6513" t="n">
        <v>0</v>
      </c>
      <c r="R6513" s="2" t="inlineStr"/>
    </row>
    <row r="6514" ht="15" customHeight="1">
      <c r="A6514" t="inlineStr">
        <is>
          <t>A 62054-2024</t>
        </is>
      </c>
      <c r="B6514" s="1" t="n">
        <v>45656</v>
      </c>
      <c r="C6514" s="1" t="n">
        <v>45846</v>
      </c>
      <c r="D6514" t="inlineStr">
        <is>
          <t>UPPSALA LÄN</t>
        </is>
      </c>
      <c r="E6514" t="inlineStr">
        <is>
          <t>UPPSALA</t>
        </is>
      </c>
      <c r="F6514" t="inlineStr">
        <is>
          <t>Övriga statliga verk och myndigheter</t>
        </is>
      </c>
      <c r="G6514" t="n">
        <v>29.3</v>
      </c>
      <c r="H6514" t="n">
        <v>0</v>
      </c>
      <c r="I6514" t="n">
        <v>0</v>
      </c>
      <c r="J6514" t="n">
        <v>0</v>
      </c>
      <c r="K6514" t="n">
        <v>0</v>
      </c>
      <c r="L6514" t="n">
        <v>0</v>
      </c>
      <c r="M6514" t="n">
        <v>0</v>
      </c>
      <c r="N6514" t="n">
        <v>0</v>
      </c>
      <c r="O6514" t="n">
        <v>0</v>
      </c>
      <c r="P6514" t="n">
        <v>0</v>
      </c>
      <c r="Q6514" t="n">
        <v>0</v>
      </c>
      <c r="R6514" s="2" t="inlineStr"/>
    </row>
    <row r="6515" ht="15" customHeight="1">
      <c r="A6515" t="inlineStr">
        <is>
          <t>A 62155-2024</t>
        </is>
      </c>
      <c r="B6515" s="1" t="n">
        <v>45656</v>
      </c>
      <c r="C6515" s="1" t="n">
        <v>45846</v>
      </c>
      <c r="D6515" t="inlineStr">
        <is>
          <t>UPPSALA LÄN</t>
        </is>
      </c>
      <c r="E6515" t="inlineStr">
        <is>
          <t>HEBY</t>
        </is>
      </c>
      <c r="G6515" t="n">
        <v>5</v>
      </c>
      <c r="H6515" t="n">
        <v>0</v>
      </c>
      <c r="I6515" t="n">
        <v>0</v>
      </c>
      <c r="J6515" t="n">
        <v>0</v>
      </c>
      <c r="K6515" t="n">
        <v>0</v>
      </c>
      <c r="L6515" t="n">
        <v>0</v>
      </c>
      <c r="M6515" t="n">
        <v>0</v>
      </c>
      <c r="N6515" t="n">
        <v>0</v>
      </c>
      <c r="O6515" t="n">
        <v>0</v>
      </c>
      <c r="P6515" t="n">
        <v>0</v>
      </c>
      <c r="Q6515" t="n">
        <v>0</v>
      </c>
      <c r="R6515" s="2" t="inlineStr"/>
    </row>
    <row r="6516" ht="15" customHeight="1">
      <c r="A6516" t="inlineStr">
        <is>
          <t>A 314-2025</t>
        </is>
      </c>
      <c r="B6516" s="1" t="n">
        <v>45656</v>
      </c>
      <c r="C6516" s="1" t="n">
        <v>45846</v>
      </c>
      <c r="D6516" t="inlineStr">
        <is>
          <t>UPPSALA LÄN</t>
        </is>
      </c>
      <c r="E6516" t="inlineStr">
        <is>
          <t>ENKÖPING</t>
        </is>
      </c>
      <c r="G6516" t="n">
        <v>9</v>
      </c>
      <c r="H6516" t="n">
        <v>0</v>
      </c>
      <c r="I6516" t="n">
        <v>0</v>
      </c>
      <c r="J6516" t="n">
        <v>0</v>
      </c>
      <c r="K6516" t="n">
        <v>0</v>
      </c>
      <c r="L6516" t="n">
        <v>0</v>
      </c>
      <c r="M6516" t="n">
        <v>0</v>
      </c>
      <c r="N6516" t="n">
        <v>0</v>
      </c>
      <c r="O6516" t="n">
        <v>0</v>
      </c>
      <c r="P6516" t="n">
        <v>0</v>
      </c>
      <c r="Q6516" t="n">
        <v>0</v>
      </c>
      <c r="R6516" s="2" t="inlineStr"/>
    </row>
    <row r="6517" ht="15" customHeight="1">
      <c r="A6517" t="inlineStr">
        <is>
          <t>A 62078-2024</t>
        </is>
      </c>
      <c r="B6517" s="1" t="n">
        <v>45656</v>
      </c>
      <c r="C6517" s="1" t="n">
        <v>45846</v>
      </c>
      <c r="D6517" t="inlineStr">
        <is>
          <t>UPPSALA LÄN</t>
        </is>
      </c>
      <c r="E6517" t="inlineStr">
        <is>
          <t>TIERP</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66-2025</t>
        </is>
      </c>
      <c r="B6518" s="1" t="n">
        <v>45659</v>
      </c>
      <c r="C6518" s="1" t="n">
        <v>45846</v>
      </c>
      <c r="D6518" t="inlineStr">
        <is>
          <t>UPPSALA LÄN</t>
        </is>
      </c>
      <c r="E6518" t="inlineStr">
        <is>
          <t>TIERP</t>
        </is>
      </c>
      <c r="F6518" t="inlineStr">
        <is>
          <t>Bergvik skog öst AB</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89-2025</t>
        </is>
      </c>
      <c r="B6519" s="1" t="n">
        <v>45659</v>
      </c>
      <c r="C6519" s="1" t="n">
        <v>45846</v>
      </c>
      <c r="D6519" t="inlineStr">
        <is>
          <t>UPPSALA LÄN</t>
        </is>
      </c>
      <c r="E6519" t="inlineStr">
        <is>
          <t>HEBY</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128-2025</t>
        </is>
      </c>
      <c r="B6520" s="1" t="n">
        <v>45659</v>
      </c>
      <c r="C6520" s="1" t="n">
        <v>45846</v>
      </c>
      <c r="D6520" t="inlineStr">
        <is>
          <t>UPPSALA LÄN</t>
        </is>
      </c>
      <c r="E6520" t="inlineStr">
        <is>
          <t>TIERP</t>
        </is>
      </c>
      <c r="F6520" t="inlineStr">
        <is>
          <t>Bergvik skog öst AB</t>
        </is>
      </c>
      <c r="G6520" t="n">
        <v>7.8</v>
      </c>
      <c r="H6520" t="n">
        <v>0</v>
      </c>
      <c r="I6520" t="n">
        <v>0</v>
      </c>
      <c r="J6520" t="n">
        <v>0</v>
      </c>
      <c r="K6520" t="n">
        <v>0</v>
      </c>
      <c r="L6520" t="n">
        <v>0</v>
      </c>
      <c r="M6520" t="n">
        <v>0</v>
      </c>
      <c r="N6520" t="n">
        <v>0</v>
      </c>
      <c r="O6520" t="n">
        <v>0</v>
      </c>
      <c r="P6520" t="n">
        <v>0</v>
      </c>
      <c r="Q6520" t="n">
        <v>0</v>
      </c>
      <c r="R6520" s="2" t="inlineStr"/>
    </row>
    <row r="6521" ht="15" customHeight="1">
      <c r="A6521" t="inlineStr">
        <is>
          <t>A 129-2025</t>
        </is>
      </c>
      <c r="B6521" s="1" t="n">
        <v>45659</v>
      </c>
      <c r="C6521" s="1" t="n">
        <v>45846</v>
      </c>
      <c r="D6521" t="inlineStr">
        <is>
          <t>UPPSALA LÄN</t>
        </is>
      </c>
      <c r="E6521" t="inlineStr">
        <is>
          <t>TIERP</t>
        </is>
      </c>
      <c r="F6521" t="inlineStr">
        <is>
          <t>Bergvik skog öst AB</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130-2025</t>
        </is>
      </c>
      <c r="B6522" s="1" t="n">
        <v>45659</v>
      </c>
      <c r="C6522" s="1" t="n">
        <v>45846</v>
      </c>
      <c r="D6522" t="inlineStr">
        <is>
          <t>UPPSALA LÄN</t>
        </is>
      </c>
      <c r="E6522" t="inlineStr">
        <is>
          <t>TIERP</t>
        </is>
      </c>
      <c r="F6522" t="inlineStr">
        <is>
          <t>Bergvik skog öst AB</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357-2025</t>
        </is>
      </c>
      <c r="B6523" s="1" t="n">
        <v>45659</v>
      </c>
      <c r="C6523" s="1" t="n">
        <v>45846</v>
      </c>
      <c r="D6523" t="inlineStr">
        <is>
          <t>UPPSALA LÄN</t>
        </is>
      </c>
      <c r="E6523" t="inlineStr">
        <is>
          <t>ÖSTHAMMAR</t>
        </is>
      </c>
      <c r="G6523" t="n">
        <v>15.8</v>
      </c>
      <c r="H6523" t="n">
        <v>0</v>
      </c>
      <c r="I6523" t="n">
        <v>0</v>
      </c>
      <c r="J6523" t="n">
        <v>0</v>
      </c>
      <c r="K6523" t="n">
        <v>0</v>
      </c>
      <c r="L6523" t="n">
        <v>0</v>
      </c>
      <c r="M6523" t="n">
        <v>0</v>
      </c>
      <c r="N6523" t="n">
        <v>0</v>
      </c>
      <c r="O6523" t="n">
        <v>0</v>
      </c>
      <c r="P6523" t="n">
        <v>0</v>
      </c>
      <c r="Q6523" t="n">
        <v>0</v>
      </c>
      <c r="R6523" s="2" t="inlineStr"/>
    </row>
    <row r="6524" ht="15" customHeight="1">
      <c r="A6524" t="inlineStr">
        <is>
          <t>A 358-2025</t>
        </is>
      </c>
      <c r="B6524" s="1" t="n">
        <v>45659</v>
      </c>
      <c r="C6524" s="1" t="n">
        <v>45846</v>
      </c>
      <c r="D6524" t="inlineStr">
        <is>
          <t>UPPSALA LÄN</t>
        </is>
      </c>
      <c r="E6524" t="inlineStr">
        <is>
          <t>ÖSTHAMMAR</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387-2025</t>
        </is>
      </c>
      <c r="B6525" s="1" t="n">
        <v>45662</v>
      </c>
      <c r="C6525" s="1" t="n">
        <v>45846</v>
      </c>
      <c r="D6525" t="inlineStr">
        <is>
          <t>UPPSALA LÄN</t>
        </is>
      </c>
      <c r="E6525" t="inlineStr">
        <is>
          <t>HEBY</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385-2025</t>
        </is>
      </c>
      <c r="B6526" s="1" t="n">
        <v>45662</v>
      </c>
      <c r="C6526" s="1" t="n">
        <v>45846</v>
      </c>
      <c r="D6526" t="inlineStr">
        <is>
          <t>UPPSALA LÄN</t>
        </is>
      </c>
      <c r="E6526" t="inlineStr">
        <is>
          <t>HEBY</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478-2025</t>
        </is>
      </c>
      <c r="B6527" s="1" t="n">
        <v>45664</v>
      </c>
      <c r="C6527" s="1" t="n">
        <v>45846</v>
      </c>
      <c r="D6527" t="inlineStr">
        <is>
          <t>UPPSALA LÄN</t>
        </is>
      </c>
      <c r="E6527" t="inlineStr">
        <is>
          <t>HEBY</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668-2025</t>
        </is>
      </c>
      <c r="B6528" s="1" t="n">
        <v>45664</v>
      </c>
      <c r="C6528" s="1" t="n">
        <v>45846</v>
      </c>
      <c r="D6528" t="inlineStr">
        <is>
          <t>UPPSALA LÄN</t>
        </is>
      </c>
      <c r="E6528" t="inlineStr">
        <is>
          <t>UPPSALA</t>
        </is>
      </c>
      <c r="F6528" t="inlineStr">
        <is>
          <t>Bergvik skog öst AB</t>
        </is>
      </c>
      <c r="G6528" t="n">
        <v>4.7</v>
      </c>
      <c r="H6528" t="n">
        <v>0</v>
      </c>
      <c r="I6528" t="n">
        <v>0</v>
      </c>
      <c r="J6528" t="n">
        <v>0</v>
      </c>
      <c r="K6528" t="n">
        <v>0</v>
      </c>
      <c r="L6528" t="n">
        <v>0</v>
      </c>
      <c r="M6528" t="n">
        <v>0</v>
      </c>
      <c r="N6528" t="n">
        <v>0</v>
      </c>
      <c r="O6528" t="n">
        <v>0</v>
      </c>
      <c r="P6528" t="n">
        <v>0</v>
      </c>
      <c r="Q6528" t="n">
        <v>0</v>
      </c>
      <c r="R6528" s="2" t="inlineStr"/>
    </row>
    <row r="6529" ht="15" customHeight="1">
      <c r="A6529" t="inlineStr">
        <is>
          <t>A 486-2025</t>
        </is>
      </c>
      <c r="B6529" s="1" t="n">
        <v>45664</v>
      </c>
      <c r="C6529" s="1" t="n">
        <v>45846</v>
      </c>
      <c r="D6529" t="inlineStr">
        <is>
          <t>UPPSALA LÄN</t>
        </is>
      </c>
      <c r="E6529" t="inlineStr">
        <is>
          <t>HEBY</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819-2025</t>
        </is>
      </c>
      <c r="B6530" s="1" t="n">
        <v>45665</v>
      </c>
      <c r="C6530" s="1" t="n">
        <v>45846</v>
      </c>
      <c r="D6530" t="inlineStr">
        <is>
          <t>UPPSALA LÄN</t>
        </is>
      </c>
      <c r="E6530" t="inlineStr">
        <is>
          <t>ENKÖPING</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845-2025</t>
        </is>
      </c>
      <c r="B6531" s="1" t="n">
        <v>45665</v>
      </c>
      <c r="C6531" s="1" t="n">
        <v>45846</v>
      </c>
      <c r="D6531" t="inlineStr">
        <is>
          <t>UPPSALA LÄN</t>
        </is>
      </c>
      <c r="E6531" t="inlineStr">
        <is>
          <t>ENKÖPING</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849-2025</t>
        </is>
      </c>
      <c r="B6532" s="1" t="n">
        <v>45665</v>
      </c>
      <c r="C6532" s="1" t="n">
        <v>45846</v>
      </c>
      <c r="D6532" t="inlineStr">
        <is>
          <t>UPPSALA LÄN</t>
        </is>
      </c>
      <c r="E6532" t="inlineStr">
        <is>
          <t>ENKÖPING</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719-2025</t>
        </is>
      </c>
      <c r="B6533" s="1" t="n">
        <v>45665</v>
      </c>
      <c r="C6533" s="1" t="n">
        <v>45846</v>
      </c>
      <c r="D6533" t="inlineStr">
        <is>
          <t>UPPSALA LÄN</t>
        </is>
      </c>
      <c r="E6533" t="inlineStr">
        <is>
          <t>HEBY</t>
        </is>
      </c>
      <c r="G6533" t="n">
        <v>5.3</v>
      </c>
      <c r="H6533" t="n">
        <v>0</v>
      </c>
      <c r="I6533" t="n">
        <v>0</v>
      </c>
      <c r="J6533" t="n">
        <v>0</v>
      </c>
      <c r="K6533" t="n">
        <v>0</v>
      </c>
      <c r="L6533" t="n">
        <v>0</v>
      </c>
      <c r="M6533" t="n">
        <v>0</v>
      </c>
      <c r="N6533" t="n">
        <v>0</v>
      </c>
      <c r="O6533" t="n">
        <v>0</v>
      </c>
      <c r="P6533" t="n">
        <v>0</v>
      </c>
      <c r="Q6533" t="n">
        <v>0</v>
      </c>
      <c r="R6533" s="2" t="inlineStr"/>
    </row>
    <row r="6534" ht="15" customHeight="1">
      <c r="A6534" t="inlineStr">
        <is>
          <t>A 842-2025</t>
        </is>
      </c>
      <c r="B6534" s="1" t="n">
        <v>45665</v>
      </c>
      <c r="C6534" s="1" t="n">
        <v>45846</v>
      </c>
      <c r="D6534" t="inlineStr">
        <is>
          <t>UPPSALA LÄN</t>
        </is>
      </c>
      <c r="E6534" t="inlineStr">
        <is>
          <t>UPPSALA</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834-2025</t>
        </is>
      </c>
      <c r="B6535" s="1" t="n">
        <v>45665</v>
      </c>
      <c r="C6535" s="1" t="n">
        <v>45846</v>
      </c>
      <c r="D6535" t="inlineStr">
        <is>
          <t>UPPSALA LÄN</t>
        </is>
      </c>
      <c r="E6535" t="inlineStr">
        <is>
          <t>HEBY</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835-2025</t>
        </is>
      </c>
      <c r="B6536" s="1" t="n">
        <v>45665</v>
      </c>
      <c r="C6536" s="1" t="n">
        <v>45846</v>
      </c>
      <c r="D6536" t="inlineStr">
        <is>
          <t>UPPSALA LÄN</t>
        </is>
      </c>
      <c r="E6536" t="inlineStr">
        <is>
          <t>ÖSTHAMMAR</t>
        </is>
      </c>
      <c r="F6536" t="inlineStr">
        <is>
          <t>Övriga Aktiebolag</t>
        </is>
      </c>
      <c r="G6536" t="n">
        <v>4.8</v>
      </c>
      <c r="H6536" t="n">
        <v>0</v>
      </c>
      <c r="I6536" t="n">
        <v>0</v>
      </c>
      <c r="J6536" t="n">
        <v>0</v>
      </c>
      <c r="K6536" t="n">
        <v>0</v>
      </c>
      <c r="L6536" t="n">
        <v>0</v>
      </c>
      <c r="M6536" t="n">
        <v>0</v>
      </c>
      <c r="N6536" t="n">
        <v>0</v>
      </c>
      <c r="O6536" t="n">
        <v>0</v>
      </c>
      <c r="P6536" t="n">
        <v>0</v>
      </c>
      <c r="Q6536" t="n">
        <v>0</v>
      </c>
      <c r="R6536" s="2" t="inlineStr"/>
    </row>
    <row r="6537" ht="15" customHeight="1">
      <c r="A6537" t="inlineStr">
        <is>
          <t>A 724-2025</t>
        </is>
      </c>
      <c r="B6537" s="1" t="n">
        <v>45665</v>
      </c>
      <c r="C6537" s="1" t="n">
        <v>45846</v>
      </c>
      <c r="D6537" t="inlineStr">
        <is>
          <t>UPPSALA LÄN</t>
        </is>
      </c>
      <c r="E6537" t="inlineStr">
        <is>
          <t>HEBY</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697-2025</t>
        </is>
      </c>
      <c r="B6538" s="1" t="n">
        <v>45665</v>
      </c>
      <c r="C6538" s="1" t="n">
        <v>45846</v>
      </c>
      <c r="D6538" t="inlineStr">
        <is>
          <t>UPPSALA LÄN</t>
        </is>
      </c>
      <c r="E6538" t="inlineStr">
        <is>
          <t>TIERP</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840-2025</t>
        </is>
      </c>
      <c r="B6539" s="1" t="n">
        <v>45665</v>
      </c>
      <c r="C6539" s="1" t="n">
        <v>45846</v>
      </c>
      <c r="D6539" t="inlineStr">
        <is>
          <t>UPPSALA LÄN</t>
        </is>
      </c>
      <c r="E6539" t="inlineStr">
        <is>
          <t>ENKÖPING</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844-2025</t>
        </is>
      </c>
      <c r="B6540" s="1" t="n">
        <v>45665</v>
      </c>
      <c r="C6540" s="1" t="n">
        <v>45846</v>
      </c>
      <c r="D6540" t="inlineStr">
        <is>
          <t>UPPSALA LÄN</t>
        </is>
      </c>
      <c r="E6540" t="inlineStr">
        <is>
          <t>UPPSALA</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1063-2025</t>
        </is>
      </c>
      <c r="B6541" s="1" t="n">
        <v>45666</v>
      </c>
      <c r="C6541" s="1" t="n">
        <v>45846</v>
      </c>
      <c r="D6541" t="inlineStr">
        <is>
          <t>UPPSALA LÄN</t>
        </is>
      </c>
      <c r="E6541" t="inlineStr">
        <is>
          <t>ÖSTHAMMAR</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1086-2025</t>
        </is>
      </c>
      <c r="B6542" s="1" t="n">
        <v>45666</v>
      </c>
      <c r="C6542" s="1" t="n">
        <v>45846</v>
      </c>
      <c r="D6542" t="inlineStr">
        <is>
          <t>UPPSALA LÄN</t>
        </is>
      </c>
      <c r="E6542" t="inlineStr">
        <is>
          <t>HEBY</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1056-2025</t>
        </is>
      </c>
      <c r="B6543" s="1" t="n">
        <v>45666</v>
      </c>
      <c r="C6543" s="1" t="n">
        <v>45846</v>
      </c>
      <c r="D6543" t="inlineStr">
        <is>
          <t>UPPSALA LÄN</t>
        </is>
      </c>
      <c r="E6543" t="inlineStr">
        <is>
          <t>TIERP</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1229-2025</t>
        </is>
      </c>
      <c r="B6544" s="1" t="n">
        <v>45667</v>
      </c>
      <c r="C6544" s="1" t="n">
        <v>45846</v>
      </c>
      <c r="D6544" t="inlineStr">
        <is>
          <t>UPPSALA LÄN</t>
        </is>
      </c>
      <c r="E6544" t="inlineStr">
        <is>
          <t>TIERP</t>
        </is>
      </c>
      <c r="F6544" t="inlineStr">
        <is>
          <t>Bergvik skog öst AB</t>
        </is>
      </c>
      <c r="G6544" t="n">
        <v>7.7</v>
      </c>
      <c r="H6544" t="n">
        <v>0</v>
      </c>
      <c r="I6544" t="n">
        <v>0</v>
      </c>
      <c r="J6544" t="n">
        <v>0</v>
      </c>
      <c r="K6544" t="n">
        <v>0</v>
      </c>
      <c r="L6544" t="n">
        <v>0</v>
      </c>
      <c r="M6544" t="n">
        <v>0</v>
      </c>
      <c r="N6544" t="n">
        <v>0</v>
      </c>
      <c r="O6544" t="n">
        <v>0</v>
      </c>
      <c r="P6544" t="n">
        <v>0</v>
      </c>
      <c r="Q6544" t="n">
        <v>0</v>
      </c>
      <c r="R6544" s="2" t="inlineStr"/>
    </row>
    <row r="6545" ht="15" customHeight="1">
      <c r="A6545" t="inlineStr">
        <is>
          <t>A 1245-2025</t>
        </is>
      </c>
      <c r="B6545" s="1" t="n">
        <v>45667</v>
      </c>
      <c r="C6545" s="1" t="n">
        <v>45846</v>
      </c>
      <c r="D6545" t="inlineStr">
        <is>
          <t>UPPSALA LÄN</t>
        </is>
      </c>
      <c r="E6545" t="inlineStr">
        <is>
          <t>TIERP</t>
        </is>
      </c>
      <c r="F6545" t="inlineStr">
        <is>
          <t>Bergvik skog öst AB</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1202-2025</t>
        </is>
      </c>
      <c r="B6546" s="1" t="n">
        <v>45667</v>
      </c>
      <c r="C6546" s="1" t="n">
        <v>45846</v>
      </c>
      <c r="D6546" t="inlineStr">
        <is>
          <t>UPPSALA LÄN</t>
        </is>
      </c>
      <c r="E6546" t="inlineStr">
        <is>
          <t>TIERP</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1436-2025</t>
        </is>
      </c>
      <c r="B6547" s="1" t="n">
        <v>45669</v>
      </c>
      <c r="C6547" s="1" t="n">
        <v>45846</v>
      </c>
      <c r="D6547" t="inlineStr">
        <is>
          <t>UPPSALA LÄN</t>
        </is>
      </c>
      <c r="E6547" t="inlineStr">
        <is>
          <t>ÖSTHAMMAR</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1439-2025</t>
        </is>
      </c>
      <c r="B6548" s="1" t="n">
        <v>45669</v>
      </c>
      <c r="C6548" s="1" t="n">
        <v>45846</v>
      </c>
      <c r="D6548" t="inlineStr">
        <is>
          <t>UPPSALA LÄN</t>
        </is>
      </c>
      <c r="E6548" t="inlineStr">
        <is>
          <t>ÖSTHAMMAR</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1695-2025</t>
        </is>
      </c>
      <c r="B6549" s="1" t="n">
        <v>45670</v>
      </c>
      <c r="C6549" s="1" t="n">
        <v>45846</v>
      </c>
      <c r="D6549" t="inlineStr">
        <is>
          <t>UPPSALA LÄN</t>
        </is>
      </c>
      <c r="E6549" t="inlineStr">
        <is>
          <t>ENKÖPING</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1586-2025</t>
        </is>
      </c>
      <c r="B6550" s="1" t="n">
        <v>45670</v>
      </c>
      <c r="C6550" s="1" t="n">
        <v>45846</v>
      </c>
      <c r="D6550" t="inlineStr">
        <is>
          <t>UPPSALA LÄN</t>
        </is>
      </c>
      <c r="E6550" t="inlineStr">
        <is>
          <t>ÖSTHAMMAR</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1561-2025</t>
        </is>
      </c>
      <c r="B6551" s="1" t="n">
        <v>45670</v>
      </c>
      <c r="C6551" s="1" t="n">
        <v>45846</v>
      </c>
      <c r="D6551" t="inlineStr">
        <is>
          <t>UPPSALA LÄN</t>
        </is>
      </c>
      <c r="E6551" t="inlineStr">
        <is>
          <t>HEBY</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1525-2025</t>
        </is>
      </c>
      <c r="B6552" s="1" t="n">
        <v>45670</v>
      </c>
      <c r="C6552" s="1" t="n">
        <v>45846</v>
      </c>
      <c r="D6552" t="inlineStr">
        <is>
          <t>UPPSALA LÄN</t>
        </is>
      </c>
      <c r="E6552" t="inlineStr">
        <is>
          <t>ÖSTHAMMAR</t>
        </is>
      </c>
      <c r="F6552" t="inlineStr">
        <is>
          <t>Bergvik skog öst AB</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1584-2025</t>
        </is>
      </c>
      <c r="B6553" s="1" t="n">
        <v>45670</v>
      </c>
      <c r="C6553" s="1" t="n">
        <v>45846</v>
      </c>
      <c r="D6553" t="inlineStr">
        <is>
          <t>UPPSALA LÄN</t>
        </is>
      </c>
      <c r="E6553" t="inlineStr">
        <is>
          <t>ÖSTHAMMAR</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1588-2025</t>
        </is>
      </c>
      <c r="B6554" s="1" t="n">
        <v>45670</v>
      </c>
      <c r="C6554" s="1" t="n">
        <v>45846</v>
      </c>
      <c r="D6554" t="inlineStr">
        <is>
          <t>UPPSALA LÄN</t>
        </is>
      </c>
      <c r="E6554" t="inlineStr">
        <is>
          <t>UPPSALA</t>
        </is>
      </c>
      <c r="F6554" t="inlineStr">
        <is>
          <t>Bergvik skog väst AB</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1656-2025</t>
        </is>
      </c>
      <c r="B6555" s="1" t="n">
        <v>45670</v>
      </c>
      <c r="C6555" s="1" t="n">
        <v>45846</v>
      </c>
      <c r="D6555" t="inlineStr">
        <is>
          <t>UPPSALA LÄN</t>
        </is>
      </c>
      <c r="E6555" t="inlineStr">
        <is>
          <t>ENKÖPING</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1592-2025</t>
        </is>
      </c>
      <c r="B6556" s="1" t="n">
        <v>45670</v>
      </c>
      <c r="C6556" s="1" t="n">
        <v>45846</v>
      </c>
      <c r="D6556" t="inlineStr">
        <is>
          <t>UPPSALA LÄN</t>
        </is>
      </c>
      <c r="E6556" t="inlineStr">
        <is>
          <t>UPPSALA</t>
        </is>
      </c>
      <c r="F6556" t="inlineStr">
        <is>
          <t>Bergvik skog väst AB</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1575-2025</t>
        </is>
      </c>
      <c r="B6557" s="1" t="n">
        <v>45670</v>
      </c>
      <c r="C6557" s="1" t="n">
        <v>45846</v>
      </c>
      <c r="D6557" t="inlineStr">
        <is>
          <t>UPPSALA LÄN</t>
        </is>
      </c>
      <c r="E6557" t="inlineStr">
        <is>
          <t>ÖSTHAMMAR</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1567-2025</t>
        </is>
      </c>
      <c r="B6558" s="1" t="n">
        <v>45670</v>
      </c>
      <c r="C6558" s="1" t="n">
        <v>45846</v>
      </c>
      <c r="D6558" t="inlineStr">
        <is>
          <t>UPPSALA LÄN</t>
        </is>
      </c>
      <c r="E6558" t="inlineStr">
        <is>
          <t>ÖSTHAMMAR</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1471-2025</t>
        </is>
      </c>
      <c r="B6559" s="1" t="n">
        <v>45670</v>
      </c>
      <c r="C6559" s="1" t="n">
        <v>45846</v>
      </c>
      <c r="D6559" t="inlineStr">
        <is>
          <t>UPPSALA LÄN</t>
        </is>
      </c>
      <c r="E6559" t="inlineStr">
        <is>
          <t>HEBY</t>
        </is>
      </c>
      <c r="G6559" t="n">
        <v>4.3</v>
      </c>
      <c r="H6559" t="n">
        <v>0</v>
      </c>
      <c r="I6559" t="n">
        <v>0</v>
      </c>
      <c r="J6559" t="n">
        <v>0</v>
      </c>
      <c r="K6559" t="n">
        <v>0</v>
      </c>
      <c r="L6559" t="n">
        <v>0</v>
      </c>
      <c r="M6559" t="n">
        <v>0</v>
      </c>
      <c r="N6559" t="n">
        <v>0</v>
      </c>
      <c r="O6559" t="n">
        <v>0</v>
      </c>
      <c r="P6559" t="n">
        <v>0</v>
      </c>
      <c r="Q6559" t="n">
        <v>0</v>
      </c>
      <c r="R6559" s="2" t="inlineStr"/>
    </row>
    <row r="6560" ht="15" customHeight="1">
      <c r="A6560" t="inlineStr">
        <is>
          <t>A 1568-2025</t>
        </is>
      </c>
      <c r="B6560" s="1" t="n">
        <v>45670</v>
      </c>
      <c r="C6560" s="1" t="n">
        <v>45846</v>
      </c>
      <c r="D6560" t="inlineStr">
        <is>
          <t>UPPSALA LÄN</t>
        </is>
      </c>
      <c r="E6560" t="inlineStr">
        <is>
          <t>HEBY</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1527-2025</t>
        </is>
      </c>
      <c r="B6561" s="1" t="n">
        <v>45670</v>
      </c>
      <c r="C6561" s="1" t="n">
        <v>45846</v>
      </c>
      <c r="D6561" t="inlineStr">
        <is>
          <t>UPPSALA LÄN</t>
        </is>
      </c>
      <c r="E6561" t="inlineStr">
        <is>
          <t>ÖSTHAMMAR</t>
        </is>
      </c>
      <c r="F6561" t="inlineStr">
        <is>
          <t>Bergvik skog öst AB</t>
        </is>
      </c>
      <c r="G6561" t="n">
        <v>7.7</v>
      </c>
      <c r="H6561" t="n">
        <v>0</v>
      </c>
      <c r="I6561" t="n">
        <v>0</v>
      </c>
      <c r="J6561" t="n">
        <v>0</v>
      </c>
      <c r="K6561" t="n">
        <v>0</v>
      </c>
      <c r="L6561" t="n">
        <v>0</v>
      </c>
      <c r="M6561" t="n">
        <v>0</v>
      </c>
      <c r="N6561" t="n">
        <v>0</v>
      </c>
      <c r="O6561" t="n">
        <v>0</v>
      </c>
      <c r="P6561" t="n">
        <v>0</v>
      </c>
      <c r="Q6561" t="n">
        <v>0</v>
      </c>
      <c r="R6561" s="2" t="inlineStr"/>
    </row>
    <row r="6562" ht="15" customHeight="1">
      <c r="A6562" t="inlineStr">
        <is>
          <t>A 1810-2025</t>
        </is>
      </c>
      <c r="B6562" s="1" t="n">
        <v>45671</v>
      </c>
      <c r="C6562" s="1" t="n">
        <v>45846</v>
      </c>
      <c r="D6562" t="inlineStr">
        <is>
          <t>UPPSALA LÄN</t>
        </is>
      </c>
      <c r="E6562" t="inlineStr">
        <is>
          <t>HEBY</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2068-2025</t>
        </is>
      </c>
      <c r="B6563" s="1" t="n">
        <v>45672</v>
      </c>
      <c r="C6563" s="1" t="n">
        <v>45846</v>
      </c>
      <c r="D6563" t="inlineStr">
        <is>
          <t>UPPSALA LÄN</t>
        </is>
      </c>
      <c r="E6563" t="inlineStr">
        <is>
          <t>KNIVSTA</t>
        </is>
      </c>
      <c r="G6563" t="n">
        <v>6.4</v>
      </c>
      <c r="H6563" t="n">
        <v>0</v>
      </c>
      <c r="I6563" t="n">
        <v>0</v>
      </c>
      <c r="J6563" t="n">
        <v>0</v>
      </c>
      <c r="K6563" t="n">
        <v>0</v>
      </c>
      <c r="L6563" t="n">
        <v>0</v>
      </c>
      <c r="M6563" t="n">
        <v>0</v>
      </c>
      <c r="N6563" t="n">
        <v>0</v>
      </c>
      <c r="O6563" t="n">
        <v>0</v>
      </c>
      <c r="P6563" t="n">
        <v>0</v>
      </c>
      <c r="Q6563" t="n">
        <v>0</v>
      </c>
      <c r="R6563" s="2" t="inlineStr"/>
    </row>
    <row r="6564" ht="15" customHeight="1">
      <c r="A6564" t="inlineStr">
        <is>
          <t>A 2099-2025</t>
        </is>
      </c>
      <c r="B6564" s="1" t="n">
        <v>45672</v>
      </c>
      <c r="C6564" s="1" t="n">
        <v>45846</v>
      </c>
      <c r="D6564" t="inlineStr">
        <is>
          <t>UPPSALA LÄN</t>
        </is>
      </c>
      <c r="E6564" t="inlineStr">
        <is>
          <t>KNIVSTA</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2309-2025</t>
        </is>
      </c>
      <c r="B6565" s="1" t="n">
        <v>45673</v>
      </c>
      <c r="C6565" s="1" t="n">
        <v>45846</v>
      </c>
      <c r="D6565" t="inlineStr">
        <is>
          <t>UPPSALA LÄN</t>
        </is>
      </c>
      <c r="E6565" t="inlineStr">
        <is>
          <t>HEBY</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2313-2025</t>
        </is>
      </c>
      <c r="B6566" s="1" t="n">
        <v>45673</v>
      </c>
      <c r="C6566" s="1" t="n">
        <v>45846</v>
      </c>
      <c r="D6566" t="inlineStr">
        <is>
          <t>UPPSALA LÄN</t>
        </is>
      </c>
      <c r="E6566" t="inlineStr">
        <is>
          <t>TIERP</t>
        </is>
      </c>
      <c r="G6566" t="n">
        <v>5.4</v>
      </c>
      <c r="H6566" t="n">
        <v>0</v>
      </c>
      <c r="I6566" t="n">
        <v>0</v>
      </c>
      <c r="J6566" t="n">
        <v>0</v>
      </c>
      <c r="K6566" t="n">
        <v>0</v>
      </c>
      <c r="L6566" t="n">
        <v>0</v>
      </c>
      <c r="M6566" t="n">
        <v>0</v>
      </c>
      <c r="N6566" t="n">
        <v>0</v>
      </c>
      <c r="O6566" t="n">
        <v>0</v>
      </c>
      <c r="P6566" t="n">
        <v>0</v>
      </c>
      <c r="Q6566" t="n">
        <v>0</v>
      </c>
      <c r="R6566" s="2" t="inlineStr"/>
    </row>
    <row r="6567" ht="15" customHeight="1">
      <c r="A6567" t="inlineStr">
        <is>
          <t>A 2303-2025</t>
        </is>
      </c>
      <c r="B6567" s="1" t="n">
        <v>45673</v>
      </c>
      <c r="C6567" s="1" t="n">
        <v>45846</v>
      </c>
      <c r="D6567" t="inlineStr">
        <is>
          <t>UPPSALA LÄN</t>
        </is>
      </c>
      <c r="E6567" t="inlineStr">
        <is>
          <t>HEBY</t>
        </is>
      </c>
      <c r="G6567" t="n">
        <v>6.3</v>
      </c>
      <c r="H6567" t="n">
        <v>0</v>
      </c>
      <c r="I6567" t="n">
        <v>0</v>
      </c>
      <c r="J6567" t="n">
        <v>0</v>
      </c>
      <c r="K6567" t="n">
        <v>0</v>
      </c>
      <c r="L6567" t="n">
        <v>0</v>
      </c>
      <c r="M6567" t="n">
        <v>0</v>
      </c>
      <c r="N6567" t="n">
        <v>0</v>
      </c>
      <c r="O6567" t="n">
        <v>0</v>
      </c>
      <c r="P6567" t="n">
        <v>0</v>
      </c>
      <c r="Q6567" t="n">
        <v>0</v>
      </c>
      <c r="R6567" s="2" t="inlineStr"/>
    </row>
    <row r="6568" ht="15" customHeight="1">
      <c r="A6568" t="inlineStr">
        <is>
          <t>A 2396-2025</t>
        </is>
      </c>
      <c r="B6568" s="1" t="n">
        <v>45674</v>
      </c>
      <c r="C6568" s="1" t="n">
        <v>45846</v>
      </c>
      <c r="D6568" t="inlineStr">
        <is>
          <t>UPPSALA LÄN</t>
        </is>
      </c>
      <c r="E6568" t="inlineStr">
        <is>
          <t>TIERP</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2411-2025</t>
        </is>
      </c>
      <c r="B6569" s="1" t="n">
        <v>45674</v>
      </c>
      <c r="C6569" s="1" t="n">
        <v>45846</v>
      </c>
      <c r="D6569" t="inlineStr">
        <is>
          <t>UPPSALA LÄN</t>
        </is>
      </c>
      <c r="E6569" t="inlineStr">
        <is>
          <t>TIERP</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2491-2025</t>
        </is>
      </c>
      <c r="B6570" s="1" t="n">
        <v>45674</v>
      </c>
      <c r="C6570" s="1" t="n">
        <v>45846</v>
      </c>
      <c r="D6570" t="inlineStr">
        <is>
          <t>UPPSALA LÄN</t>
        </is>
      </c>
      <c r="E6570" t="inlineStr">
        <is>
          <t>HEBY</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2487-2025</t>
        </is>
      </c>
      <c r="B6571" s="1" t="n">
        <v>45674</v>
      </c>
      <c r="C6571" s="1" t="n">
        <v>45846</v>
      </c>
      <c r="D6571" t="inlineStr">
        <is>
          <t>UPPSALA LÄN</t>
        </is>
      </c>
      <c r="E6571" t="inlineStr">
        <is>
          <t>HEBY</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2549-2025</t>
        </is>
      </c>
      <c r="B6572" s="1" t="n">
        <v>45674</v>
      </c>
      <c r="C6572" s="1" t="n">
        <v>45846</v>
      </c>
      <c r="D6572" t="inlineStr">
        <is>
          <t>UPPSALA LÄN</t>
        </is>
      </c>
      <c r="E6572" t="inlineStr">
        <is>
          <t>TIERP</t>
        </is>
      </c>
      <c r="G6572" t="n">
        <v>4</v>
      </c>
      <c r="H6572" t="n">
        <v>0</v>
      </c>
      <c r="I6572" t="n">
        <v>0</v>
      </c>
      <c r="J6572" t="n">
        <v>0</v>
      </c>
      <c r="K6572" t="n">
        <v>0</v>
      </c>
      <c r="L6572" t="n">
        <v>0</v>
      </c>
      <c r="M6572" t="n">
        <v>0</v>
      </c>
      <c r="N6572" t="n">
        <v>0</v>
      </c>
      <c r="O6572" t="n">
        <v>0</v>
      </c>
      <c r="P6572" t="n">
        <v>0</v>
      </c>
      <c r="Q6572" t="n">
        <v>0</v>
      </c>
      <c r="R6572" s="2" t="inlineStr"/>
    </row>
    <row r="6573" ht="15" customHeight="1">
      <c r="A6573" t="inlineStr">
        <is>
          <t>A 2407-2025</t>
        </is>
      </c>
      <c r="B6573" s="1" t="n">
        <v>45674</v>
      </c>
      <c r="C6573" s="1" t="n">
        <v>45846</v>
      </c>
      <c r="D6573" t="inlineStr">
        <is>
          <t>UPPSALA LÄN</t>
        </is>
      </c>
      <c r="E6573" t="inlineStr">
        <is>
          <t>TIERP</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2628-2025</t>
        </is>
      </c>
      <c r="B6574" s="1" t="n">
        <v>45675</v>
      </c>
      <c r="C6574" s="1" t="n">
        <v>45846</v>
      </c>
      <c r="D6574" t="inlineStr">
        <is>
          <t>UPPSALA LÄN</t>
        </is>
      </c>
      <c r="E6574" t="inlineStr">
        <is>
          <t>KNIVSTA</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2629-2025</t>
        </is>
      </c>
      <c r="B6575" s="1" t="n">
        <v>45675</v>
      </c>
      <c r="C6575" s="1" t="n">
        <v>45846</v>
      </c>
      <c r="D6575" t="inlineStr">
        <is>
          <t>UPPSALA LÄN</t>
        </is>
      </c>
      <c r="E6575" t="inlineStr">
        <is>
          <t>KNIVSTA</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2790-2025</t>
        </is>
      </c>
      <c r="B6576" s="1" t="n">
        <v>45677</v>
      </c>
      <c r="C6576" s="1" t="n">
        <v>45846</v>
      </c>
      <c r="D6576" t="inlineStr">
        <is>
          <t>UPPSALA LÄN</t>
        </is>
      </c>
      <c r="E6576" t="inlineStr">
        <is>
          <t>UPPSALA</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2695-2025</t>
        </is>
      </c>
      <c r="B6577" s="1" t="n">
        <v>45677</v>
      </c>
      <c r="C6577" s="1" t="n">
        <v>45846</v>
      </c>
      <c r="D6577" t="inlineStr">
        <is>
          <t>UPPSALA LÄN</t>
        </is>
      </c>
      <c r="E6577" t="inlineStr">
        <is>
          <t>UPPSALA</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2839-2025</t>
        </is>
      </c>
      <c r="B6578" s="1" t="n">
        <v>45677</v>
      </c>
      <c r="C6578" s="1" t="n">
        <v>45846</v>
      </c>
      <c r="D6578" t="inlineStr">
        <is>
          <t>UPPSALA LÄN</t>
        </is>
      </c>
      <c r="E6578" t="inlineStr">
        <is>
          <t>ÖSTHAMMAR</t>
        </is>
      </c>
      <c r="F6578" t="inlineStr">
        <is>
          <t>Övriga Aktiebolag</t>
        </is>
      </c>
      <c r="G6578" t="n">
        <v>4</v>
      </c>
      <c r="H6578" t="n">
        <v>0</v>
      </c>
      <c r="I6578" t="n">
        <v>0</v>
      </c>
      <c r="J6578" t="n">
        <v>0</v>
      </c>
      <c r="K6578" t="n">
        <v>0</v>
      </c>
      <c r="L6578" t="n">
        <v>0</v>
      </c>
      <c r="M6578" t="n">
        <v>0</v>
      </c>
      <c r="N6578" t="n">
        <v>0</v>
      </c>
      <c r="O6578" t="n">
        <v>0</v>
      </c>
      <c r="P6578" t="n">
        <v>0</v>
      </c>
      <c r="Q6578" t="n">
        <v>0</v>
      </c>
      <c r="R6578" s="2" t="inlineStr"/>
    </row>
    <row r="6579" ht="15" customHeight="1">
      <c r="A6579" t="inlineStr">
        <is>
          <t>A 2838-2025</t>
        </is>
      </c>
      <c r="B6579" s="1" t="n">
        <v>45677</v>
      </c>
      <c r="C6579" s="1" t="n">
        <v>45846</v>
      </c>
      <c r="D6579" t="inlineStr">
        <is>
          <t>UPPSALA LÄN</t>
        </is>
      </c>
      <c r="E6579" t="inlineStr">
        <is>
          <t>TIERP</t>
        </is>
      </c>
      <c r="F6579" t="inlineStr">
        <is>
          <t>Bergvik skog väst AB</t>
        </is>
      </c>
      <c r="G6579" t="n">
        <v>9.300000000000001</v>
      </c>
      <c r="H6579" t="n">
        <v>0</v>
      </c>
      <c r="I6579" t="n">
        <v>0</v>
      </c>
      <c r="J6579" t="n">
        <v>0</v>
      </c>
      <c r="K6579" t="n">
        <v>0</v>
      </c>
      <c r="L6579" t="n">
        <v>0</v>
      </c>
      <c r="M6579" t="n">
        <v>0</v>
      </c>
      <c r="N6579" t="n">
        <v>0</v>
      </c>
      <c r="O6579" t="n">
        <v>0</v>
      </c>
      <c r="P6579" t="n">
        <v>0</v>
      </c>
      <c r="Q6579" t="n">
        <v>0</v>
      </c>
      <c r="R6579" s="2" t="inlineStr"/>
    </row>
    <row r="6580" ht="15" customHeight="1">
      <c r="A6580" t="inlineStr">
        <is>
          <t>A 2847-2025</t>
        </is>
      </c>
      <c r="B6580" s="1" t="n">
        <v>45677</v>
      </c>
      <c r="C6580" s="1" t="n">
        <v>45846</v>
      </c>
      <c r="D6580" t="inlineStr">
        <is>
          <t>UPPSALA LÄN</t>
        </is>
      </c>
      <c r="E6580" t="inlineStr">
        <is>
          <t>ÖSTHAMMAR</t>
        </is>
      </c>
      <c r="F6580" t="inlineStr">
        <is>
          <t>Övriga Aktiebolag</t>
        </is>
      </c>
      <c r="G6580" t="n">
        <v>6.8</v>
      </c>
      <c r="H6580" t="n">
        <v>0</v>
      </c>
      <c r="I6580" t="n">
        <v>0</v>
      </c>
      <c r="J6580" t="n">
        <v>0</v>
      </c>
      <c r="K6580" t="n">
        <v>0</v>
      </c>
      <c r="L6580" t="n">
        <v>0</v>
      </c>
      <c r="M6580" t="n">
        <v>0</v>
      </c>
      <c r="N6580" t="n">
        <v>0</v>
      </c>
      <c r="O6580" t="n">
        <v>0</v>
      </c>
      <c r="P6580" t="n">
        <v>0</v>
      </c>
      <c r="Q6580" t="n">
        <v>0</v>
      </c>
      <c r="R6580" s="2" t="inlineStr"/>
    </row>
    <row r="6581" ht="15" customHeight="1">
      <c r="A6581" t="inlineStr">
        <is>
          <t>A 2897-2025</t>
        </is>
      </c>
      <c r="B6581" s="1" t="n">
        <v>45677</v>
      </c>
      <c r="C6581" s="1" t="n">
        <v>45846</v>
      </c>
      <c r="D6581" t="inlineStr">
        <is>
          <t>UPPSALA LÄN</t>
        </is>
      </c>
      <c r="E6581" t="inlineStr">
        <is>
          <t>UPPSALA</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2850-2025</t>
        </is>
      </c>
      <c r="B6582" s="1" t="n">
        <v>45677</v>
      </c>
      <c r="C6582" s="1" t="n">
        <v>45846</v>
      </c>
      <c r="D6582" t="inlineStr">
        <is>
          <t>UPPSALA LÄN</t>
        </is>
      </c>
      <c r="E6582" t="inlineStr">
        <is>
          <t>ENKÖPING</t>
        </is>
      </c>
      <c r="G6582" t="n">
        <v>0.3</v>
      </c>
      <c r="H6582" t="n">
        <v>0</v>
      </c>
      <c r="I6582" t="n">
        <v>0</v>
      </c>
      <c r="J6582" t="n">
        <v>0</v>
      </c>
      <c r="K6582" t="n">
        <v>0</v>
      </c>
      <c r="L6582" t="n">
        <v>0</v>
      </c>
      <c r="M6582" t="n">
        <v>0</v>
      </c>
      <c r="N6582" t="n">
        <v>0</v>
      </c>
      <c r="O6582" t="n">
        <v>0</v>
      </c>
      <c r="P6582" t="n">
        <v>0</v>
      </c>
      <c r="Q6582" t="n">
        <v>0</v>
      </c>
      <c r="R6582" s="2" t="inlineStr"/>
    </row>
    <row r="6583" ht="15" customHeight="1">
      <c r="A6583" t="inlineStr">
        <is>
          <t>A 2833-2025</t>
        </is>
      </c>
      <c r="B6583" s="1" t="n">
        <v>45677</v>
      </c>
      <c r="C6583" s="1" t="n">
        <v>45846</v>
      </c>
      <c r="D6583" t="inlineStr">
        <is>
          <t>UPPSALA LÄN</t>
        </is>
      </c>
      <c r="E6583" t="inlineStr">
        <is>
          <t>ENKÖPING</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2974-2025</t>
        </is>
      </c>
      <c r="B6584" s="1" t="n">
        <v>45678</v>
      </c>
      <c r="C6584" s="1" t="n">
        <v>45846</v>
      </c>
      <c r="D6584" t="inlineStr">
        <is>
          <t>UPPSALA LÄN</t>
        </is>
      </c>
      <c r="E6584" t="inlineStr">
        <is>
          <t>ENKÖPING</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3119-2025</t>
        </is>
      </c>
      <c r="B6585" s="1" t="n">
        <v>45678</v>
      </c>
      <c r="C6585" s="1" t="n">
        <v>45846</v>
      </c>
      <c r="D6585" t="inlineStr">
        <is>
          <t>UPPSALA LÄN</t>
        </is>
      </c>
      <c r="E6585" t="inlineStr">
        <is>
          <t>ÖSTHAMMAR</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2968-2025</t>
        </is>
      </c>
      <c r="B6586" s="1" t="n">
        <v>45678</v>
      </c>
      <c r="C6586" s="1" t="n">
        <v>45846</v>
      </c>
      <c r="D6586" t="inlineStr">
        <is>
          <t>UPPSALA LÄN</t>
        </is>
      </c>
      <c r="E6586" t="inlineStr">
        <is>
          <t>ENKÖPING</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2947-2025</t>
        </is>
      </c>
      <c r="B6587" s="1" t="n">
        <v>45678</v>
      </c>
      <c r="C6587" s="1" t="n">
        <v>45846</v>
      </c>
      <c r="D6587" t="inlineStr">
        <is>
          <t>UPPSALA LÄN</t>
        </is>
      </c>
      <c r="E6587" t="inlineStr">
        <is>
          <t>ÖSTHAMMAR</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3301-2025</t>
        </is>
      </c>
      <c r="B6588" s="1" t="n">
        <v>45679</v>
      </c>
      <c r="C6588" s="1" t="n">
        <v>45846</v>
      </c>
      <c r="D6588" t="inlineStr">
        <is>
          <t>UPPSALA LÄN</t>
        </is>
      </c>
      <c r="E6588" t="inlineStr">
        <is>
          <t>ENKÖPING</t>
        </is>
      </c>
      <c r="G6588" t="n">
        <v>20.9</v>
      </c>
      <c r="H6588" t="n">
        <v>0</v>
      </c>
      <c r="I6588" t="n">
        <v>0</v>
      </c>
      <c r="J6588" t="n">
        <v>0</v>
      </c>
      <c r="K6588" t="n">
        <v>0</v>
      </c>
      <c r="L6588" t="n">
        <v>0</v>
      </c>
      <c r="M6588" t="n">
        <v>0</v>
      </c>
      <c r="N6588" t="n">
        <v>0</v>
      </c>
      <c r="O6588" t="n">
        <v>0</v>
      </c>
      <c r="P6588" t="n">
        <v>0</v>
      </c>
      <c r="Q6588" t="n">
        <v>0</v>
      </c>
      <c r="R6588" s="2" t="inlineStr"/>
    </row>
    <row r="6589" ht="15" customHeight="1">
      <c r="A6589" t="inlineStr">
        <is>
          <t>A 3314-2025</t>
        </is>
      </c>
      <c r="B6589" s="1" t="n">
        <v>45679</v>
      </c>
      <c r="C6589" s="1" t="n">
        <v>45846</v>
      </c>
      <c r="D6589" t="inlineStr">
        <is>
          <t>UPPSALA LÄN</t>
        </is>
      </c>
      <c r="E6589" t="inlineStr">
        <is>
          <t>UPPSALA</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3315-2025</t>
        </is>
      </c>
      <c r="B6590" s="1" t="n">
        <v>45679</v>
      </c>
      <c r="C6590" s="1" t="n">
        <v>45846</v>
      </c>
      <c r="D6590" t="inlineStr">
        <is>
          <t>UPPSALA LÄN</t>
        </is>
      </c>
      <c r="E6590" t="inlineStr">
        <is>
          <t>UPPSALA</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3287-2025</t>
        </is>
      </c>
      <c r="B6591" s="1" t="n">
        <v>45679</v>
      </c>
      <c r="C6591" s="1" t="n">
        <v>45846</v>
      </c>
      <c r="D6591" t="inlineStr">
        <is>
          <t>UPPSALA LÄN</t>
        </is>
      </c>
      <c r="E6591" t="inlineStr">
        <is>
          <t>UPPSALA</t>
        </is>
      </c>
      <c r="F6591" t="inlineStr">
        <is>
          <t>Kyrkan</t>
        </is>
      </c>
      <c r="G6591" t="n">
        <v>6.7</v>
      </c>
      <c r="H6591" t="n">
        <v>0</v>
      </c>
      <c r="I6591" t="n">
        <v>0</v>
      </c>
      <c r="J6591" t="n">
        <v>0</v>
      </c>
      <c r="K6591" t="n">
        <v>0</v>
      </c>
      <c r="L6591" t="n">
        <v>0</v>
      </c>
      <c r="M6591" t="n">
        <v>0</v>
      </c>
      <c r="N6591" t="n">
        <v>0</v>
      </c>
      <c r="O6591" t="n">
        <v>0</v>
      </c>
      <c r="P6591" t="n">
        <v>0</v>
      </c>
      <c r="Q6591" t="n">
        <v>0</v>
      </c>
      <c r="R6591" s="2" t="inlineStr"/>
    </row>
    <row r="6592" ht="15" customHeight="1">
      <c r="A6592" t="inlineStr">
        <is>
          <t>A 3259-2025</t>
        </is>
      </c>
      <c r="B6592" s="1" t="n">
        <v>45679</v>
      </c>
      <c r="C6592" s="1" t="n">
        <v>45846</v>
      </c>
      <c r="D6592" t="inlineStr">
        <is>
          <t>UPPSALA LÄN</t>
        </is>
      </c>
      <c r="E6592" t="inlineStr">
        <is>
          <t>ÖSTHAMMAR</t>
        </is>
      </c>
      <c r="G6592" t="n">
        <v>4.4</v>
      </c>
      <c r="H6592" t="n">
        <v>0</v>
      </c>
      <c r="I6592" t="n">
        <v>0</v>
      </c>
      <c r="J6592" t="n">
        <v>0</v>
      </c>
      <c r="K6592" t="n">
        <v>0</v>
      </c>
      <c r="L6592" t="n">
        <v>0</v>
      </c>
      <c r="M6592" t="n">
        <v>0</v>
      </c>
      <c r="N6592" t="n">
        <v>0</v>
      </c>
      <c r="O6592" t="n">
        <v>0</v>
      </c>
      <c r="P6592" t="n">
        <v>0</v>
      </c>
      <c r="Q6592" t="n">
        <v>0</v>
      </c>
      <c r="R6592" s="2" t="inlineStr"/>
    </row>
    <row r="6593" ht="15" customHeight="1">
      <c r="A6593" t="inlineStr">
        <is>
          <t>A 3235-2025</t>
        </is>
      </c>
      <c r="B6593" s="1" t="n">
        <v>45679</v>
      </c>
      <c r="C6593" s="1" t="n">
        <v>45846</v>
      </c>
      <c r="D6593" t="inlineStr">
        <is>
          <t>UPPSALA LÄN</t>
        </is>
      </c>
      <c r="E6593" t="inlineStr">
        <is>
          <t>ENKÖPING</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3197-2025</t>
        </is>
      </c>
      <c r="B6594" s="1" t="n">
        <v>45679</v>
      </c>
      <c r="C6594" s="1" t="n">
        <v>45846</v>
      </c>
      <c r="D6594" t="inlineStr">
        <is>
          <t>UPPSALA LÄN</t>
        </is>
      </c>
      <c r="E6594" t="inlineStr">
        <is>
          <t>ENKÖPING</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3300-2025</t>
        </is>
      </c>
      <c r="B6595" s="1" t="n">
        <v>45679</v>
      </c>
      <c r="C6595" s="1" t="n">
        <v>45846</v>
      </c>
      <c r="D6595" t="inlineStr">
        <is>
          <t>UPPSALA LÄN</t>
        </is>
      </c>
      <c r="E6595" t="inlineStr">
        <is>
          <t>ENKÖPING</t>
        </is>
      </c>
      <c r="G6595" t="n">
        <v>8.9</v>
      </c>
      <c r="H6595" t="n">
        <v>0</v>
      </c>
      <c r="I6595" t="n">
        <v>0</v>
      </c>
      <c r="J6595" t="n">
        <v>0</v>
      </c>
      <c r="K6595" t="n">
        <v>0</v>
      </c>
      <c r="L6595" t="n">
        <v>0</v>
      </c>
      <c r="M6595" t="n">
        <v>0</v>
      </c>
      <c r="N6595" t="n">
        <v>0</v>
      </c>
      <c r="O6595" t="n">
        <v>0</v>
      </c>
      <c r="P6595" t="n">
        <v>0</v>
      </c>
      <c r="Q6595" t="n">
        <v>0</v>
      </c>
      <c r="R6595" s="2" t="inlineStr"/>
    </row>
    <row r="6596" ht="15" customHeight="1">
      <c r="A6596" t="inlineStr">
        <is>
          <t>A 3420-2025</t>
        </is>
      </c>
      <c r="B6596" s="1" t="n">
        <v>45680</v>
      </c>
      <c r="C6596" s="1" t="n">
        <v>45846</v>
      </c>
      <c r="D6596" t="inlineStr">
        <is>
          <t>UPPSALA LÄN</t>
        </is>
      </c>
      <c r="E6596" t="inlineStr">
        <is>
          <t>ÖSTHAMMAR</t>
        </is>
      </c>
      <c r="F6596" t="inlineStr">
        <is>
          <t>Bergvik skog väst AB</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3527-2025</t>
        </is>
      </c>
      <c r="B6597" s="1" t="n">
        <v>45680</v>
      </c>
      <c r="C6597" s="1" t="n">
        <v>45846</v>
      </c>
      <c r="D6597" t="inlineStr">
        <is>
          <t>UPPSALA LÄN</t>
        </is>
      </c>
      <c r="E6597" t="inlineStr">
        <is>
          <t>HEBY</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3499-2025</t>
        </is>
      </c>
      <c r="B6598" s="1" t="n">
        <v>45680</v>
      </c>
      <c r="C6598" s="1" t="n">
        <v>45846</v>
      </c>
      <c r="D6598" t="inlineStr">
        <is>
          <t>UPPSALA LÄN</t>
        </is>
      </c>
      <c r="E6598" t="inlineStr">
        <is>
          <t>ENKÖPING</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3400-2025</t>
        </is>
      </c>
      <c r="B6599" s="1" t="n">
        <v>45680</v>
      </c>
      <c r="C6599" s="1" t="n">
        <v>45846</v>
      </c>
      <c r="D6599" t="inlineStr">
        <is>
          <t>UPPSALA LÄN</t>
        </is>
      </c>
      <c r="E6599" t="inlineStr">
        <is>
          <t>ENKÖPING</t>
        </is>
      </c>
      <c r="G6599" t="n">
        <v>5.3</v>
      </c>
      <c r="H6599" t="n">
        <v>0</v>
      </c>
      <c r="I6599" t="n">
        <v>0</v>
      </c>
      <c r="J6599" t="n">
        <v>0</v>
      </c>
      <c r="K6599" t="n">
        <v>0</v>
      </c>
      <c r="L6599" t="n">
        <v>0</v>
      </c>
      <c r="M6599" t="n">
        <v>0</v>
      </c>
      <c r="N6599" t="n">
        <v>0</v>
      </c>
      <c r="O6599" t="n">
        <v>0</v>
      </c>
      <c r="P6599" t="n">
        <v>0</v>
      </c>
      <c r="Q6599" t="n">
        <v>0</v>
      </c>
      <c r="R6599" s="2" t="inlineStr"/>
    </row>
    <row r="6600" ht="15" customHeight="1">
      <c r="A6600" t="inlineStr">
        <is>
          <t>A 3466-2025</t>
        </is>
      </c>
      <c r="B6600" s="1" t="n">
        <v>45680</v>
      </c>
      <c r="C6600" s="1" t="n">
        <v>45846</v>
      </c>
      <c r="D6600" t="inlineStr">
        <is>
          <t>UPPSALA LÄN</t>
        </is>
      </c>
      <c r="E6600" t="inlineStr">
        <is>
          <t>HEBY</t>
        </is>
      </c>
      <c r="G6600" t="n">
        <v>6.6</v>
      </c>
      <c r="H6600" t="n">
        <v>0</v>
      </c>
      <c r="I6600" t="n">
        <v>0</v>
      </c>
      <c r="J6600" t="n">
        <v>0</v>
      </c>
      <c r="K6600" t="n">
        <v>0</v>
      </c>
      <c r="L6600" t="n">
        <v>0</v>
      </c>
      <c r="M6600" t="n">
        <v>0</v>
      </c>
      <c r="N6600" t="n">
        <v>0</v>
      </c>
      <c r="O6600" t="n">
        <v>0</v>
      </c>
      <c r="P6600" t="n">
        <v>0</v>
      </c>
      <c r="Q6600" t="n">
        <v>0</v>
      </c>
      <c r="R6600" s="2" t="inlineStr"/>
    </row>
    <row r="6601" ht="15" customHeight="1">
      <c r="A6601" t="inlineStr">
        <is>
          <t>A 3418-2025</t>
        </is>
      </c>
      <c r="B6601" s="1" t="n">
        <v>45680</v>
      </c>
      <c r="C6601" s="1" t="n">
        <v>45846</v>
      </c>
      <c r="D6601" t="inlineStr">
        <is>
          <t>UPPSALA LÄN</t>
        </is>
      </c>
      <c r="E6601" t="inlineStr">
        <is>
          <t>ÖSTHAMMAR</t>
        </is>
      </c>
      <c r="F6601" t="inlineStr">
        <is>
          <t>Bergvik skog väst AB</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3950-2025</t>
        </is>
      </c>
      <c r="B6602" s="1" t="n">
        <v>45684</v>
      </c>
      <c r="C6602" s="1" t="n">
        <v>45846</v>
      </c>
      <c r="D6602" t="inlineStr">
        <is>
          <t>UPPSALA LÄN</t>
        </is>
      </c>
      <c r="E6602" t="inlineStr">
        <is>
          <t>ÄLVKARLEBY</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4099-2025</t>
        </is>
      </c>
      <c r="B6603" s="1" t="n">
        <v>45684</v>
      </c>
      <c r="C6603" s="1" t="n">
        <v>45846</v>
      </c>
      <c r="D6603" t="inlineStr">
        <is>
          <t>UPPSALA LÄN</t>
        </is>
      </c>
      <c r="E6603" t="inlineStr">
        <is>
          <t>ÖSTHAMMAR</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3973-2025</t>
        </is>
      </c>
      <c r="B6604" s="1" t="n">
        <v>45684</v>
      </c>
      <c r="C6604" s="1" t="n">
        <v>45846</v>
      </c>
      <c r="D6604" t="inlineStr">
        <is>
          <t>UPPSALA LÄN</t>
        </is>
      </c>
      <c r="E6604" t="inlineStr">
        <is>
          <t>UPPSALA</t>
        </is>
      </c>
      <c r="G6604" t="n">
        <v>8</v>
      </c>
      <c r="H6604" t="n">
        <v>0</v>
      </c>
      <c r="I6604" t="n">
        <v>0</v>
      </c>
      <c r="J6604" t="n">
        <v>0</v>
      </c>
      <c r="K6604" t="n">
        <v>0</v>
      </c>
      <c r="L6604" t="n">
        <v>0</v>
      </c>
      <c r="M6604" t="n">
        <v>0</v>
      </c>
      <c r="N6604" t="n">
        <v>0</v>
      </c>
      <c r="O6604" t="n">
        <v>0</v>
      </c>
      <c r="P6604" t="n">
        <v>0</v>
      </c>
      <c r="Q6604" t="n">
        <v>0</v>
      </c>
      <c r="R6604" s="2" t="inlineStr"/>
    </row>
    <row r="6605" ht="15" customHeight="1">
      <c r="A6605" t="inlineStr">
        <is>
          <t>A 4014-2025</t>
        </is>
      </c>
      <c r="B6605" s="1" t="n">
        <v>45684</v>
      </c>
      <c r="C6605" s="1" t="n">
        <v>45846</v>
      </c>
      <c r="D6605" t="inlineStr">
        <is>
          <t>UPPSALA LÄN</t>
        </is>
      </c>
      <c r="E6605" t="inlineStr">
        <is>
          <t>UPPSALA</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4096-2025</t>
        </is>
      </c>
      <c r="B6606" s="1" t="n">
        <v>45684</v>
      </c>
      <c r="C6606" s="1" t="n">
        <v>45846</v>
      </c>
      <c r="D6606" t="inlineStr">
        <is>
          <t>UPPSALA LÄN</t>
        </is>
      </c>
      <c r="E6606" t="inlineStr">
        <is>
          <t>ÖSTHAMMAR</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4292-2025</t>
        </is>
      </c>
      <c r="B6607" s="1" t="n">
        <v>45685</v>
      </c>
      <c r="C6607" s="1" t="n">
        <v>45846</v>
      </c>
      <c r="D6607" t="inlineStr">
        <is>
          <t>UPPSALA LÄN</t>
        </is>
      </c>
      <c r="E6607" t="inlineStr">
        <is>
          <t>ÖSTHAMMAR</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4304-2025</t>
        </is>
      </c>
      <c r="B6608" s="1" t="n">
        <v>45685</v>
      </c>
      <c r="C6608" s="1" t="n">
        <v>45846</v>
      </c>
      <c r="D6608" t="inlineStr">
        <is>
          <t>UPPSALA LÄN</t>
        </is>
      </c>
      <c r="E6608" t="inlineStr">
        <is>
          <t>ÖSTHAMMAR</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4293-2025</t>
        </is>
      </c>
      <c r="B6609" s="1" t="n">
        <v>45685</v>
      </c>
      <c r="C6609" s="1" t="n">
        <v>45846</v>
      </c>
      <c r="D6609" t="inlineStr">
        <is>
          <t>UPPSALA LÄN</t>
        </is>
      </c>
      <c r="E6609" t="inlineStr">
        <is>
          <t>UPPSALA</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4242-2025</t>
        </is>
      </c>
      <c r="B6610" s="1" t="n">
        <v>45685</v>
      </c>
      <c r="C6610" s="1" t="n">
        <v>45846</v>
      </c>
      <c r="D6610" t="inlineStr">
        <is>
          <t>UPPSALA LÄN</t>
        </is>
      </c>
      <c r="E6610" t="inlineStr">
        <is>
          <t>UPPSALA</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4314-2025</t>
        </is>
      </c>
      <c r="B6611" s="1" t="n">
        <v>45685</v>
      </c>
      <c r="C6611" s="1" t="n">
        <v>45846</v>
      </c>
      <c r="D6611" t="inlineStr">
        <is>
          <t>UPPSALA LÄN</t>
        </is>
      </c>
      <c r="E6611" t="inlineStr">
        <is>
          <t>TIERP</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4244-2025</t>
        </is>
      </c>
      <c r="B6612" s="1" t="n">
        <v>45685</v>
      </c>
      <c r="C6612" s="1" t="n">
        <v>45846</v>
      </c>
      <c r="D6612" t="inlineStr">
        <is>
          <t>UPPSALA LÄN</t>
        </is>
      </c>
      <c r="E6612" t="inlineStr">
        <is>
          <t>UPPSALA</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4240-2025</t>
        </is>
      </c>
      <c r="B6613" s="1" t="n">
        <v>45685</v>
      </c>
      <c r="C6613" s="1" t="n">
        <v>45846</v>
      </c>
      <c r="D6613" t="inlineStr">
        <is>
          <t>UPPSALA LÄN</t>
        </is>
      </c>
      <c r="E6613" t="inlineStr">
        <is>
          <t>UPPSALA</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4343-2025</t>
        </is>
      </c>
      <c r="B6614" s="1" t="n">
        <v>45685</v>
      </c>
      <c r="C6614" s="1" t="n">
        <v>45846</v>
      </c>
      <c r="D6614" t="inlineStr">
        <is>
          <t>UPPSALA LÄN</t>
        </is>
      </c>
      <c r="E6614" t="inlineStr">
        <is>
          <t>TIERP</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4356-2025</t>
        </is>
      </c>
      <c r="B6615" s="1" t="n">
        <v>45686</v>
      </c>
      <c r="C6615" s="1" t="n">
        <v>45846</v>
      </c>
      <c r="D6615" t="inlineStr">
        <is>
          <t>UPPSALA LÄN</t>
        </is>
      </c>
      <c r="E6615" t="inlineStr">
        <is>
          <t>ÖSTHAMMAR</t>
        </is>
      </c>
      <c r="F6615" t="inlineStr">
        <is>
          <t>Övriga Aktiebolag</t>
        </is>
      </c>
      <c r="G6615" t="n">
        <v>24.6</v>
      </c>
      <c r="H6615" t="n">
        <v>0</v>
      </c>
      <c r="I6615" t="n">
        <v>0</v>
      </c>
      <c r="J6615" t="n">
        <v>0</v>
      </c>
      <c r="K6615" t="n">
        <v>0</v>
      </c>
      <c r="L6615" t="n">
        <v>0</v>
      </c>
      <c r="M6615" t="n">
        <v>0</v>
      </c>
      <c r="N6615" t="n">
        <v>0</v>
      </c>
      <c r="O6615" t="n">
        <v>0</v>
      </c>
      <c r="P6615" t="n">
        <v>0</v>
      </c>
      <c r="Q6615" t="n">
        <v>0</v>
      </c>
      <c r="R6615" s="2" t="inlineStr"/>
    </row>
    <row r="6616" ht="15" customHeight="1">
      <c r="A6616" t="inlineStr">
        <is>
          <t>A 4524-2025</t>
        </is>
      </c>
      <c r="B6616" s="1" t="n">
        <v>45686</v>
      </c>
      <c r="C6616" s="1" t="n">
        <v>45846</v>
      </c>
      <c r="D6616" t="inlineStr">
        <is>
          <t>UPPSALA LÄN</t>
        </is>
      </c>
      <c r="E6616" t="inlineStr">
        <is>
          <t>TIERP</t>
        </is>
      </c>
      <c r="G6616" t="n">
        <v>6</v>
      </c>
      <c r="H6616" t="n">
        <v>0</v>
      </c>
      <c r="I6616" t="n">
        <v>0</v>
      </c>
      <c r="J6616" t="n">
        <v>0</v>
      </c>
      <c r="K6616" t="n">
        <v>0</v>
      </c>
      <c r="L6616" t="n">
        <v>0</v>
      </c>
      <c r="M6616" t="n">
        <v>0</v>
      </c>
      <c r="N6616" t="n">
        <v>0</v>
      </c>
      <c r="O6616" t="n">
        <v>0</v>
      </c>
      <c r="P6616" t="n">
        <v>0</v>
      </c>
      <c r="Q6616" t="n">
        <v>0</v>
      </c>
      <c r="R6616" s="2" t="inlineStr"/>
    </row>
    <row r="6617" ht="15" customHeight="1">
      <c r="A6617" t="inlineStr">
        <is>
          <t>A 4483-2025</t>
        </is>
      </c>
      <c r="B6617" s="1" t="n">
        <v>45686</v>
      </c>
      <c r="C6617" s="1" t="n">
        <v>45846</v>
      </c>
      <c r="D6617" t="inlineStr">
        <is>
          <t>UPPSALA LÄN</t>
        </is>
      </c>
      <c r="E6617" t="inlineStr">
        <is>
          <t>TIERP</t>
        </is>
      </c>
      <c r="F6617" t="inlineStr">
        <is>
          <t>Bergvik skog öst AB</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4447-2025</t>
        </is>
      </c>
      <c r="B6618" s="1" t="n">
        <v>45686</v>
      </c>
      <c r="C6618" s="1" t="n">
        <v>45846</v>
      </c>
      <c r="D6618" t="inlineStr">
        <is>
          <t>UPPSALA LÄN</t>
        </is>
      </c>
      <c r="E6618" t="inlineStr">
        <is>
          <t>TIERP</t>
        </is>
      </c>
      <c r="F6618" t="inlineStr">
        <is>
          <t>Bergvik skog öst AB</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4388-2025</t>
        </is>
      </c>
      <c r="B6619" s="1" t="n">
        <v>45686</v>
      </c>
      <c r="C6619" s="1" t="n">
        <v>45846</v>
      </c>
      <c r="D6619" t="inlineStr">
        <is>
          <t>UPPSALA LÄN</t>
        </is>
      </c>
      <c r="E6619" t="inlineStr">
        <is>
          <t>HEBY</t>
        </is>
      </c>
      <c r="G6619" t="n">
        <v>4.1</v>
      </c>
      <c r="H6619" t="n">
        <v>0</v>
      </c>
      <c r="I6619" t="n">
        <v>0</v>
      </c>
      <c r="J6619" t="n">
        <v>0</v>
      </c>
      <c r="K6619" t="n">
        <v>0</v>
      </c>
      <c r="L6619" t="n">
        <v>0</v>
      </c>
      <c r="M6619" t="n">
        <v>0</v>
      </c>
      <c r="N6619" t="n">
        <v>0</v>
      </c>
      <c r="O6619" t="n">
        <v>0</v>
      </c>
      <c r="P6619" t="n">
        <v>0</v>
      </c>
      <c r="Q6619" t="n">
        <v>0</v>
      </c>
      <c r="R6619" s="2" t="inlineStr"/>
    </row>
    <row r="6620" ht="15" customHeight="1">
      <c r="A6620" t="inlineStr">
        <is>
          <t>A 4635-2025</t>
        </is>
      </c>
      <c r="B6620" s="1" t="n">
        <v>45687</v>
      </c>
      <c r="C6620" s="1" t="n">
        <v>45846</v>
      </c>
      <c r="D6620" t="inlineStr">
        <is>
          <t>UPPSALA LÄN</t>
        </is>
      </c>
      <c r="E6620" t="inlineStr">
        <is>
          <t>ÖSTHAMMAR</t>
        </is>
      </c>
      <c r="F6620" t="inlineStr">
        <is>
          <t>Övriga Aktiebolag</t>
        </is>
      </c>
      <c r="G6620" t="n">
        <v>5.9</v>
      </c>
      <c r="H6620" t="n">
        <v>0</v>
      </c>
      <c r="I6620" t="n">
        <v>0</v>
      </c>
      <c r="J6620" t="n">
        <v>0</v>
      </c>
      <c r="K6620" t="n">
        <v>0</v>
      </c>
      <c r="L6620" t="n">
        <v>0</v>
      </c>
      <c r="M6620" t="n">
        <v>0</v>
      </c>
      <c r="N6620" t="n">
        <v>0</v>
      </c>
      <c r="O6620" t="n">
        <v>0</v>
      </c>
      <c r="P6620" t="n">
        <v>0</v>
      </c>
      <c r="Q6620" t="n">
        <v>0</v>
      </c>
      <c r="R6620" s="2" t="inlineStr"/>
    </row>
    <row r="6621" ht="15" customHeight="1">
      <c r="A6621" t="inlineStr">
        <is>
          <t>A 4643-2025</t>
        </is>
      </c>
      <c r="B6621" s="1" t="n">
        <v>45687</v>
      </c>
      <c r="C6621" s="1" t="n">
        <v>45846</v>
      </c>
      <c r="D6621" t="inlineStr">
        <is>
          <t>UPPSALA LÄN</t>
        </is>
      </c>
      <c r="E6621" t="inlineStr">
        <is>
          <t>ÖSTHAMMAR</t>
        </is>
      </c>
      <c r="F6621" t="inlineStr">
        <is>
          <t>Övriga Aktiebolag</t>
        </is>
      </c>
      <c r="G6621" t="n">
        <v>7.2</v>
      </c>
      <c r="H6621" t="n">
        <v>0</v>
      </c>
      <c r="I6621" t="n">
        <v>0</v>
      </c>
      <c r="J6621" t="n">
        <v>0</v>
      </c>
      <c r="K6621" t="n">
        <v>0</v>
      </c>
      <c r="L6621" t="n">
        <v>0</v>
      </c>
      <c r="M6621" t="n">
        <v>0</v>
      </c>
      <c r="N6621" t="n">
        <v>0</v>
      </c>
      <c r="O6621" t="n">
        <v>0</v>
      </c>
      <c r="P6621" t="n">
        <v>0</v>
      </c>
      <c r="Q6621" t="n">
        <v>0</v>
      </c>
      <c r="R6621" s="2" t="inlineStr"/>
    </row>
    <row r="6622" ht="15" customHeight="1">
      <c r="A6622" t="inlineStr">
        <is>
          <t>A 4658-2025</t>
        </is>
      </c>
      <c r="B6622" s="1" t="n">
        <v>45687</v>
      </c>
      <c r="C6622" s="1" t="n">
        <v>45846</v>
      </c>
      <c r="D6622" t="inlineStr">
        <is>
          <t>UPPSALA LÄN</t>
        </is>
      </c>
      <c r="E6622" t="inlineStr">
        <is>
          <t>KNIVSTA</t>
        </is>
      </c>
      <c r="F6622" t="inlineStr">
        <is>
          <t>Övriga Aktiebolag</t>
        </is>
      </c>
      <c r="G6622" t="n">
        <v>12.3</v>
      </c>
      <c r="H6622" t="n">
        <v>0</v>
      </c>
      <c r="I6622" t="n">
        <v>0</v>
      </c>
      <c r="J6622" t="n">
        <v>0</v>
      </c>
      <c r="K6622" t="n">
        <v>0</v>
      </c>
      <c r="L6622" t="n">
        <v>0</v>
      </c>
      <c r="M6622" t="n">
        <v>0</v>
      </c>
      <c r="N6622" t="n">
        <v>0</v>
      </c>
      <c r="O6622" t="n">
        <v>0</v>
      </c>
      <c r="P6622" t="n">
        <v>0</v>
      </c>
      <c r="Q6622" t="n">
        <v>0</v>
      </c>
      <c r="R6622" s="2" t="inlineStr"/>
    </row>
    <row r="6623" ht="15" customHeight="1">
      <c r="A6623" t="inlineStr">
        <is>
          <t>A 4666-2025</t>
        </is>
      </c>
      <c r="B6623" s="1" t="n">
        <v>45687</v>
      </c>
      <c r="C6623" s="1" t="n">
        <v>45846</v>
      </c>
      <c r="D6623" t="inlineStr">
        <is>
          <t>UPPSALA LÄN</t>
        </is>
      </c>
      <c r="E6623" t="inlineStr">
        <is>
          <t>HEBY</t>
        </is>
      </c>
      <c r="F6623" t="inlineStr">
        <is>
          <t>Övriga Aktiebolag</t>
        </is>
      </c>
      <c r="G6623" t="n">
        <v>4.9</v>
      </c>
      <c r="H6623" t="n">
        <v>0</v>
      </c>
      <c r="I6623" t="n">
        <v>0</v>
      </c>
      <c r="J6623" t="n">
        <v>0</v>
      </c>
      <c r="K6623" t="n">
        <v>0</v>
      </c>
      <c r="L6623" t="n">
        <v>0</v>
      </c>
      <c r="M6623" t="n">
        <v>0</v>
      </c>
      <c r="N6623" t="n">
        <v>0</v>
      </c>
      <c r="O6623" t="n">
        <v>0</v>
      </c>
      <c r="P6623" t="n">
        <v>0</v>
      </c>
      <c r="Q6623" t="n">
        <v>0</v>
      </c>
      <c r="R6623" s="2" t="inlineStr"/>
    </row>
    <row r="6624" ht="15" customHeight="1">
      <c r="A6624" t="inlineStr">
        <is>
          <t>A 4676-2025</t>
        </is>
      </c>
      <c r="B6624" s="1" t="n">
        <v>45687</v>
      </c>
      <c r="C6624" s="1" t="n">
        <v>45846</v>
      </c>
      <c r="D6624" t="inlineStr">
        <is>
          <t>UPPSALA LÄN</t>
        </is>
      </c>
      <c r="E6624" t="inlineStr">
        <is>
          <t>ÖSTHAMMAR</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4637-2025</t>
        </is>
      </c>
      <c r="B6625" s="1" t="n">
        <v>45687</v>
      </c>
      <c r="C6625" s="1" t="n">
        <v>45846</v>
      </c>
      <c r="D6625" t="inlineStr">
        <is>
          <t>UPPSALA LÄN</t>
        </is>
      </c>
      <c r="E6625" t="inlineStr">
        <is>
          <t>ÖSTHAMMAR</t>
        </is>
      </c>
      <c r="F6625" t="inlineStr">
        <is>
          <t>Övriga Aktiebolag</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4641-2025</t>
        </is>
      </c>
      <c r="B6626" s="1" t="n">
        <v>45687</v>
      </c>
      <c r="C6626" s="1" t="n">
        <v>45846</v>
      </c>
      <c r="D6626" t="inlineStr">
        <is>
          <t>UPPSALA LÄN</t>
        </is>
      </c>
      <c r="E6626" t="inlineStr">
        <is>
          <t>ÖSTHAMMAR</t>
        </is>
      </c>
      <c r="F6626" t="inlineStr">
        <is>
          <t>Övriga Aktiebolag</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4569-2025</t>
        </is>
      </c>
      <c r="B6627" s="1" t="n">
        <v>45687</v>
      </c>
      <c r="C6627" s="1" t="n">
        <v>45846</v>
      </c>
      <c r="D6627" t="inlineStr">
        <is>
          <t>UPPSALA LÄN</t>
        </is>
      </c>
      <c r="E6627" t="inlineStr">
        <is>
          <t>UPPSALA</t>
        </is>
      </c>
      <c r="G6627" t="n">
        <v>4.4</v>
      </c>
      <c r="H6627" t="n">
        <v>0</v>
      </c>
      <c r="I6627" t="n">
        <v>0</v>
      </c>
      <c r="J6627" t="n">
        <v>0</v>
      </c>
      <c r="K6627" t="n">
        <v>0</v>
      </c>
      <c r="L6627" t="n">
        <v>0</v>
      </c>
      <c r="M6627" t="n">
        <v>0</v>
      </c>
      <c r="N6627" t="n">
        <v>0</v>
      </c>
      <c r="O6627" t="n">
        <v>0</v>
      </c>
      <c r="P6627" t="n">
        <v>0</v>
      </c>
      <c r="Q6627" t="n">
        <v>0</v>
      </c>
      <c r="R6627" s="2" t="inlineStr"/>
    </row>
    <row r="6628" ht="15" customHeight="1">
      <c r="A6628" t="inlineStr">
        <is>
          <t>A 4562-2025</t>
        </is>
      </c>
      <c r="B6628" s="1" t="n">
        <v>45687</v>
      </c>
      <c r="C6628" s="1" t="n">
        <v>45846</v>
      </c>
      <c r="D6628" t="inlineStr">
        <is>
          <t>UPPSALA LÄN</t>
        </is>
      </c>
      <c r="E6628" t="inlineStr">
        <is>
          <t>ENKÖPING</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4737-2025</t>
        </is>
      </c>
      <c r="B6629" s="1" t="n">
        <v>45688</v>
      </c>
      <c r="C6629" s="1" t="n">
        <v>45846</v>
      </c>
      <c r="D6629" t="inlineStr">
        <is>
          <t>UPPSALA LÄN</t>
        </is>
      </c>
      <c r="E6629" t="inlineStr">
        <is>
          <t>HEBY</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4701-2025</t>
        </is>
      </c>
      <c r="B6630" s="1" t="n">
        <v>45688</v>
      </c>
      <c r="C6630" s="1" t="n">
        <v>45846</v>
      </c>
      <c r="D6630" t="inlineStr">
        <is>
          <t>UPPSALA LÄN</t>
        </is>
      </c>
      <c r="E6630" t="inlineStr">
        <is>
          <t>ÖSTHAMMAR</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4690-2025</t>
        </is>
      </c>
      <c r="B6631" s="1" t="n">
        <v>45688</v>
      </c>
      <c r="C6631" s="1" t="n">
        <v>45846</v>
      </c>
      <c r="D6631" t="inlineStr">
        <is>
          <t>UPPSALA LÄN</t>
        </is>
      </c>
      <c r="E6631" t="inlineStr">
        <is>
          <t>TIERP</t>
        </is>
      </c>
      <c r="F6631" t="inlineStr">
        <is>
          <t>Bergvik skog öst AB</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4735-2025</t>
        </is>
      </c>
      <c r="B6632" s="1" t="n">
        <v>45688</v>
      </c>
      <c r="C6632" s="1" t="n">
        <v>45846</v>
      </c>
      <c r="D6632" t="inlineStr">
        <is>
          <t>UPPSALA LÄN</t>
        </is>
      </c>
      <c r="E6632" t="inlineStr">
        <is>
          <t>HEBY</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5068-2025</t>
        </is>
      </c>
      <c r="B6633" s="1" t="n">
        <v>45691</v>
      </c>
      <c r="C6633" s="1" t="n">
        <v>45846</v>
      </c>
      <c r="D6633" t="inlineStr">
        <is>
          <t>UPPSALA LÄN</t>
        </is>
      </c>
      <c r="E6633" t="inlineStr">
        <is>
          <t>UPPSALA</t>
        </is>
      </c>
      <c r="G6633" t="n">
        <v>5.9</v>
      </c>
      <c r="H6633" t="n">
        <v>0</v>
      </c>
      <c r="I6633" t="n">
        <v>0</v>
      </c>
      <c r="J6633" t="n">
        <v>0</v>
      </c>
      <c r="K6633" t="n">
        <v>0</v>
      </c>
      <c r="L6633" t="n">
        <v>0</v>
      </c>
      <c r="M6633" t="n">
        <v>0</v>
      </c>
      <c r="N6633" t="n">
        <v>0</v>
      </c>
      <c r="O6633" t="n">
        <v>0</v>
      </c>
      <c r="P6633" t="n">
        <v>0</v>
      </c>
      <c r="Q6633" t="n">
        <v>0</v>
      </c>
      <c r="R6633" s="2" t="inlineStr"/>
    </row>
    <row r="6634" ht="15" customHeight="1">
      <c r="A6634" t="inlineStr">
        <is>
          <t>A 5076-2025</t>
        </is>
      </c>
      <c r="B6634" s="1" t="n">
        <v>45691</v>
      </c>
      <c r="C6634" s="1" t="n">
        <v>45846</v>
      </c>
      <c r="D6634" t="inlineStr">
        <is>
          <t>UPPSALA LÄN</t>
        </is>
      </c>
      <c r="E6634" t="inlineStr">
        <is>
          <t>ÖSTHAMMAR</t>
        </is>
      </c>
      <c r="G6634" t="n">
        <v>5.8</v>
      </c>
      <c r="H6634" t="n">
        <v>0</v>
      </c>
      <c r="I6634" t="n">
        <v>0</v>
      </c>
      <c r="J6634" t="n">
        <v>0</v>
      </c>
      <c r="K6634" t="n">
        <v>0</v>
      </c>
      <c r="L6634" t="n">
        <v>0</v>
      </c>
      <c r="M6634" t="n">
        <v>0</v>
      </c>
      <c r="N6634" t="n">
        <v>0</v>
      </c>
      <c r="O6634" t="n">
        <v>0</v>
      </c>
      <c r="P6634" t="n">
        <v>0</v>
      </c>
      <c r="Q6634" t="n">
        <v>0</v>
      </c>
      <c r="R6634" s="2" t="inlineStr"/>
    </row>
    <row r="6635" ht="15" customHeight="1">
      <c r="A6635" t="inlineStr">
        <is>
          <t>A 4993-2025</t>
        </is>
      </c>
      <c r="B6635" s="1" t="n">
        <v>45691</v>
      </c>
      <c r="C6635" s="1" t="n">
        <v>45846</v>
      </c>
      <c r="D6635" t="inlineStr">
        <is>
          <t>UPPSALA LÄN</t>
        </is>
      </c>
      <c r="E6635" t="inlineStr">
        <is>
          <t>UPPSALA</t>
        </is>
      </c>
      <c r="F6635" t="inlineStr">
        <is>
          <t>Kyrkan</t>
        </is>
      </c>
      <c r="G6635" t="n">
        <v>6.7</v>
      </c>
      <c r="H6635" t="n">
        <v>0</v>
      </c>
      <c r="I6635" t="n">
        <v>0</v>
      </c>
      <c r="J6635" t="n">
        <v>0</v>
      </c>
      <c r="K6635" t="n">
        <v>0</v>
      </c>
      <c r="L6635" t="n">
        <v>0</v>
      </c>
      <c r="M6635" t="n">
        <v>0</v>
      </c>
      <c r="N6635" t="n">
        <v>0</v>
      </c>
      <c r="O6635" t="n">
        <v>0</v>
      </c>
      <c r="P6635" t="n">
        <v>0</v>
      </c>
      <c r="Q6635" t="n">
        <v>0</v>
      </c>
      <c r="R6635" s="2" t="inlineStr"/>
    </row>
    <row r="6636" ht="15" customHeight="1">
      <c r="A6636" t="inlineStr">
        <is>
          <t>A 5188-2025</t>
        </is>
      </c>
      <c r="B6636" s="1" t="n">
        <v>45691</v>
      </c>
      <c r="C6636" s="1" t="n">
        <v>45846</v>
      </c>
      <c r="D6636" t="inlineStr">
        <is>
          <t>UPPSALA LÄN</t>
        </is>
      </c>
      <c r="E6636" t="inlineStr">
        <is>
          <t>ÖSTHAMMAR</t>
        </is>
      </c>
      <c r="F6636" t="inlineStr">
        <is>
          <t>Bergvik skog öst AB</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5013-2025</t>
        </is>
      </c>
      <c r="B6637" s="1" t="n">
        <v>45691</v>
      </c>
      <c r="C6637" s="1" t="n">
        <v>45846</v>
      </c>
      <c r="D6637" t="inlineStr">
        <is>
          <t>UPPSALA LÄN</t>
        </is>
      </c>
      <c r="E6637" t="inlineStr">
        <is>
          <t>ENKÖPING</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5189-2025</t>
        </is>
      </c>
      <c r="B6638" s="1" t="n">
        <v>45691</v>
      </c>
      <c r="C6638" s="1" t="n">
        <v>45846</v>
      </c>
      <c r="D6638" t="inlineStr">
        <is>
          <t>UPPSALA LÄN</t>
        </is>
      </c>
      <c r="E6638" t="inlineStr">
        <is>
          <t>ÖSTHAMMAR</t>
        </is>
      </c>
      <c r="F6638" t="inlineStr">
        <is>
          <t>Bergvik skog öst AB</t>
        </is>
      </c>
      <c r="G6638" t="n">
        <v>24.4</v>
      </c>
      <c r="H6638" t="n">
        <v>0</v>
      </c>
      <c r="I6638" t="n">
        <v>0</v>
      </c>
      <c r="J6638" t="n">
        <v>0</v>
      </c>
      <c r="K6638" t="n">
        <v>0</v>
      </c>
      <c r="L6638" t="n">
        <v>0</v>
      </c>
      <c r="M6638" t="n">
        <v>0</v>
      </c>
      <c r="N6638" t="n">
        <v>0</v>
      </c>
      <c r="O6638" t="n">
        <v>0</v>
      </c>
      <c r="P6638" t="n">
        <v>0</v>
      </c>
      <c r="Q6638" t="n">
        <v>0</v>
      </c>
      <c r="R6638" s="2" t="inlineStr"/>
    </row>
    <row r="6639" ht="15" customHeight="1">
      <c r="A6639" t="inlineStr">
        <is>
          <t>A 5204-2025</t>
        </is>
      </c>
      <c r="B6639" s="1" t="n">
        <v>45691</v>
      </c>
      <c r="C6639" s="1" t="n">
        <v>45846</v>
      </c>
      <c r="D6639" t="inlineStr">
        <is>
          <t>UPPSALA LÄN</t>
        </is>
      </c>
      <c r="E6639" t="inlineStr">
        <is>
          <t>UPPSALA</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5215-2025</t>
        </is>
      </c>
      <c r="B6640" s="1" t="n">
        <v>45691</v>
      </c>
      <c r="C6640" s="1" t="n">
        <v>45846</v>
      </c>
      <c r="D6640" t="inlineStr">
        <is>
          <t>UPPSALA LÄN</t>
        </is>
      </c>
      <c r="E6640" t="inlineStr">
        <is>
          <t>ÖSTHAMMAR</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5253-2025</t>
        </is>
      </c>
      <c r="B6641" s="1" t="n">
        <v>45692</v>
      </c>
      <c r="C6641" s="1" t="n">
        <v>45846</v>
      </c>
      <c r="D6641" t="inlineStr">
        <is>
          <t>UPPSALA LÄN</t>
        </is>
      </c>
      <c r="E6641" t="inlineStr">
        <is>
          <t>TIERP</t>
        </is>
      </c>
      <c r="F6641" t="inlineStr">
        <is>
          <t>Bergvik skog öst AB</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5261-2025</t>
        </is>
      </c>
      <c r="B6642" s="1" t="n">
        <v>45692</v>
      </c>
      <c r="C6642" s="1" t="n">
        <v>45846</v>
      </c>
      <c r="D6642" t="inlineStr">
        <is>
          <t>UPPSALA LÄN</t>
        </is>
      </c>
      <c r="E6642" t="inlineStr">
        <is>
          <t>ÖSTHAMMAR</t>
        </is>
      </c>
      <c r="F6642" t="inlineStr">
        <is>
          <t>Övriga Aktiebolag</t>
        </is>
      </c>
      <c r="G6642" t="n">
        <v>12.4</v>
      </c>
      <c r="H6642" t="n">
        <v>0</v>
      </c>
      <c r="I6642" t="n">
        <v>0</v>
      </c>
      <c r="J6642" t="n">
        <v>0</v>
      </c>
      <c r="K6642" t="n">
        <v>0</v>
      </c>
      <c r="L6642" t="n">
        <v>0</v>
      </c>
      <c r="M6642" t="n">
        <v>0</v>
      </c>
      <c r="N6642" t="n">
        <v>0</v>
      </c>
      <c r="O6642" t="n">
        <v>0</v>
      </c>
      <c r="P6642" t="n">
        <v>0</v>
      </c>
      <c r="Q6642" t="n">
        <v>0</v>
      </c>
      <c r="R6642" s="2" t="inlineStr"/>
    </row>
    <row r="6643" ht="15" customHeight="1">
      <c r="A6643" t="inlineStr">
        <is>
          <t>A 5344-2025</t>
        </is>
      </c>
      <c r="B6643" s="1" t="n">
        <v>45692</v>
      </c>
      <c r="C6643" s="1" t="n">
        <v>45846</v>
      </c>
      <c r="D6643" t="inlineStr">
        <is>
          <t>UPPSALA LÄN</t>
        </is>
      </c>
      <c r="E6643" t="inlineStr">
        <is>
          <t>ÖSTHAMMAR</t>
        </is>
      </c>
      <c r="F6643" t="inlineStr">
        <is>
          <t>Bergvik skog öst AB</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5254-2025</t>
        </is>
      </c>
      <c r="B6644" s="1" t="n">
        <v>45692</v>
      </c>
      <c r="C6644" s="1" t="n">
        <v>45846</v>
      </c>
      <c r="D6644" t="inlineStr">
        <is>
          <t>UPPSALA LÄN</t>
        </is>
      </c>
      <c r="E6644" t="inlineStr">
        <is>
          <t>ÖSTHAMMAR</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5371-2025</t>
        </is>
      </c>
      <c r="B6645" s="1" t="n">
        <v>45692</v>
      </c>
      <c r="C6645" s="1" t="n">
        <v>45846</v>
      </c>
      <c r="D6645" t="inlineStr">
        <is>
          <t>UPPSALA LÄN</t>
        </is>
      </c>
      <c r="E6645" t="inlineStr">
        <is>
          <t>UPPSALA</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5303-2025</t>
        </is>
      </c>
      <c r="B6646" s="1" t="n">
        <v>45692</v>
      </c>
      <c r="C6646" s="1" t="n">
        <v>45846</v>
      </c>
      <c r="D6646" t="inlineStr">
        <is>
          <t>UPPSALA LÄN</t>
        </is>
      </c>
      <c r="E6646" t="inlineStr">
        <is>
          <t>ÖSTHAMMAR</t>
        </is>
      </c>
      <c r="G6646" t="n">
        <v>5</v>
      </c>
      <c r="H6646" t="n">
        <v>0</v>
      </c>
      <c r="I6646" t="n">
        <v>0</v>
      </c>
      <c r="J6646" t="n">
        <v>0</v>
      </c>
      <c r="K6646" t="n">
        <v>0</v>
      </c>
      <c r="L6646" t="n">
        <v>0</v>
      </c>
      <c r="M6646" t="n">
        <v>0</v>
      </c>
      <c r="N6646" t="n">
        <v>0</v>
      </c>
      <c r="O6646" t="n">
        <v>0</v>
      </c>
      <c r="P6646" t="n">
        <v>0</v>
      </c>
      <c r="Q6646" t="n">
        <v>0</v>
      </c>
      <c r="R6646" s="2" t="inlineStr"/>
    </row>
    <row r="6647" ht="15" customHeight="1">
      <c r="A6647" t="inlineStr">
        <is>
          <t>A 5373-2025</t>
        </is>
      </c>
      <c r="B6647" s="1" t="n">
        <v>45692</v>
      </c>
      <c r="C6647" s="1" t="n">
        <v>45846</v>
      </c>
      <c r="D6647" t="inlineStr">
        <is>
          <t>UPPSALA LÄN</t>
        </is>
      </c>
      <c r="E6647" t="inlineStr">
        <is>
          <t>UPPSALA</t>
        </is>
      </c>
      <c r="G6647" t="n">
        <v>8.5</v>
      </c>
      <c r="H6647" t="n">
        <v>0</v>
      </c>
      <c r="I6647" t="n">
        <v>0</v>
      </c>
      <c r="J6647" t="n">
        <v>0</v>
      </c>
      <c r="K6647" t="n">
        <v>0</v>
      </c>
      <c r="L6647" t="n">
        <v>0</v>
      </c>
      <c r="M6647" t="n">
        <v>0</v>
      </c>
      <c r="N6647" t="n">
        <v>0</v>
      </c>
      <c r="O6647" t="n">
        <v>0</v>
      </c>
      <c r="P6647" t="n">
        <v>0</v>
      </c>
      <c r="Q6647" t="n">
        <v>0</v>
      </c>
      <c r="R6647" s="2" t="inlineStr"/>
    </row>
    <row r="6648" ht="15" customHeight="1">
      <c r="A6648" t="inlineStr">
        <is>
          <t>A 5628-2025</t>
        </is>
      </c>
      <c r="B6648" s="1" t="n">
        <v>45693</v>
      </c>
      <c r="C6648" s="1" t="n">
        <v>45846</v>
      </c>
      <c r="D6648" t="inlineStr">
        <is>
          <t>UPPSALA LÄN</t>
        </is>
      </c>
      <c r="E6648" t="inlineStr">
        <is>
          <t>UPPSALA</t>
        </is>
      </c>
      <c r="F6648" t="inlineStr">
        <is>
          <t>Bergvik skog öst AB</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5625-2025</t>
        </is>
      </c>
      <c r="B6649" s="1" t="n">
        <v>45693</v>
      </c>
      <c r="C6649" s="1" t="n">
        <v>45846</v>
      </c>
      <c r="D6649" t="inlineStr">
        <is>
          <t>UPPSALA LÄN</t>
        </is>
      </c>
      <c r="E6649" t="inlineStr">
        <is>
          <t>HEBY</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5455-2025</t>
        </is>
      </c>
      <c r="B6650" s="1" t="n">
        <v>45693</v>
      </c>
      <c r="C6650" s="1" t="n">
        <v>45846</v>
      </c>
      <c r="D6650" t="inlineStr">
        <is>
          <t>UPPSALA LÄN</t>
        </is>
      </c>
      <c r="E6650" t="inlineStr">
        <is>
          <t>KNIVSTA</t>
        </is>
      </c>
      <c r="G6650" t="n">
        <v>17.1</v>
      </c>
      <c r="H6650" t="n">
        <v>0</v>
      </c>
      <c r="I6650" t="n">
        <v>0</v>
      </c>
      <c r="J6650" t="n">
        <v>0</v>
      </c>
      <c r="K6650" t="n">
        <v>0</v>
      </c>
      <c r="L6650" t="n">
        <v>0</v>
      </c>
      <c r="M6650" t="n">
        <v>0</v>
      </c>
      <c r="N6650" t="n">
        <v>0</v>
      </c>
      <c r="O6650" t="n">
        <v>0</v>
      </c>
      <c r="P6650" t="n">
        <v>0</v>
      </c>
      <c r="Q6650" t="n">
        <v>0</v>
      </c>
      <c r="R6650" s="2" t="inlineStr"/>
    </row>
    <row r="6651" ht="15" customHeight="1">
      <c r="A6651" t="inlineStr">
        <is>
          <t>A 6971-2025</t>
        </is>
      </c>
      <c r="B6651" s="1" t="n">
        <v>45693</v>
      </c>
      <c r="C6651" s="1" t="n">
        <v>45846</v>
      </c>
      <c r="D6651" t="inlineStr">
        <is>
          <t>UPPSALA LÄN</t>
        </is>
      </c>
      <c r="E6651" t="inlineStr">
        <is>
          <t>UPPSALA</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5633-2025</t>
        </is>
      </c>
      <c r="B6652" s="1" t="n">
        <v>45693</v>
      </c>
      <c r="C6652" s="1" t="n">
        <v>45846</v>
      </c>
      <c r="D6652" t="inlineStr">
        <is>
          <t>UPPSALA LÄN</t>
        </is>
      </c>
      <c r="E6652" t="inlineStr">
        <is>
          <t>HEBY</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6973-2025</t>
        </is>
      </c>
      <c r="B6653" s="1" t="n">
        <v>45693</v>
      </c>
      <c r="C6653" s="1" t="n">
        <v>45846</v>
      </c>
      <c r="D6653" t="inlineStr">
        <is>
          <t>UPPSALA LÄN</t>
        </is>
      </c>
      <c r="E6653" t="inlineStr">
        <is>
          <t>UPPSALA</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5605-2025</t>
        </is>
      </c>
      <c r="B6654" s="1" t="n">
        <v>45693</v>
      </c>
      <c r="C6654" s="1" t="n">
        <v>45846</v>
      </c>
      <c r="D6654" t="inlineStr">
        <is>
          <t>UPPSALA LÄN</t>
        </is>
      </c>
      <c r="E6654" t="inlineStr">
        <is>
          <t>UPPSALA</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5577-2025</t>
        </is>
      </c>
      <c r="B6655" s="1" t="n">
        <v>45693</v>
      </c>
      <c r="C6655" s="1" t="n">
        <v>45846</v>
      </c>
      <c r="D6655" t="inlineStr">
        <is>
          <t>UPPSALA LÄN</t>
        </is>
      </c>
      <c r="E6655" t="inlineStr">
        <is>
          <t>TIERP</t>
        </is>
      </c>
      <c r="F6655" t="inlineStr">
        <is>
          <t>Bergvik skog väst AB</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5511-2025</t>
        </is>
      </c>
      <c r="B6656" s="1" t="n">
        <v>45693</v>
      </c>
      <c r="C6656" s="1" t="n">
        <v>45846</v>
      </c>
      <c r="D6656" t="inlineStr">
        <is>
          <t>UPPSALA LÄN</t>
        </is>
      </c>
      <c r="E6656" t="inlineStr">
        <is>
          <t>ÖSTHAMMAR</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6988-2025</t>
        </is>
      </c>
      <c r="B6657" s="1" t="n">
        <v>45693</v>
      </c>
      <c r="C6657" s="1" t="n">
        <v>45846</v>
      </c>
      <c r="D6657" t="inlineStr">
        <is>
          <t>UPPSALA LÄN</t>
        </is>
      </c>
      <c r="E6657" t="inlineStr">
        <is>
          <t>UPPSALA</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6970-2025</t>
        </is>
      </c>
      <c r="B6658" s="1" t="n">
        <v>45693</v>
      </c>
      <c r="C6658" s="1" t="n">
        <v>45846</v>
      </c>
      <c r="D6658" t="inlineStr">
        <is>
          <t>UPPSALA LÄN</t>
        </is>
      </c>
      <c r="E6658" t="inlineStr">
        <is>
          <t>UPPSALA</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5712-2025</t>
        </is>
      </c>
      <c r="B6659" s="1" t="n">
        <v>45694</v>
      </c>
      <c r="C6659" s="1" t="n">
        <v>45846</v>
      </c>
      <c r="D6659" t="inlineStr">
        <is>
          <t>UPPSALA LÄN</t>
        </is>
      </c>
      <c r="E6659" t="inlineStr">
        <is>
          <t>ENKÖPING</t>
        </is>
      </c>
      <c r="G6659" t="n">
        <v>5.1</v>
      </c>
      <c r="H6659" t="n">
        <v>0</v>
      </c>
      <c r="I6659" t="n">
        <v>0</v>
      </c>
      <c r="J6659" t="n">
        <v>0</v>
      </c>
      <c r="K6659" t="n">
        <v>0</v>
      </c>
      <c r="L6659" t="n">
        <v>0</v>
      </c>
      <c r="M6659" t="n">
        <v>0</v>
      </c>
      <c r="N6659" t="n">
        <v>0</v>
      </c>
      <c r="O6659" t="n">
        <v>0</v>
      </c>
      <c r="P6659" t="n">
        <v>0</v>
      </c>
      <c r="Q6659" t="n">
        <v>0</v>
      </c>
      <c r="R6659" s="2" t="inlineStr"/>
    </row>
    <row r="6660" ht="15" customHeight="1">
      <c r="A6660" t="inlineStr">
        <is>
          <t>A 5749-2025</t>
        </is>
      </c>
      <c r="B6660" s="1" t="n">
        <v>45694</v>
      </c>
      <c r="C6660" s="1" t="n">
        <v>45846</v>
      </c>
      <c r="D6660" t="inlineStr">
        <is>
          <t>UPPSALA LÄN</t>
        </is>
      </c>
      <c r="E6660" t="inlineStr">
        <is>
          <t>ENKÖPING</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5786-2025</t>
        </is>
      </c>
      <c r="B6661" s="1" t="n">
        <v>45694</v>
      </c>
      <c r="C6661" s="1" t="n">
        <v>45846</v>
      </c>
      <c r="D6661" t="inlineStr">
        <is>
          <t>UPPSALA LÄN</t>
        </is>
      </c>
      <c r="E6661" t="inlineStr">
        <is>
          <t>TIERP</t>
        </is>
      </c>
      <c r="F6661" t="inlineStr">
        <is>
          <t>Bergvik skog öst AB</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5725-2025</t>
        </is>
      </c>
      <c r="B6662" s="1" t="n">
        <v>45694</v>
      </c>
      <c r="C6662" s="1" t="n">
        <v>45846</v>
      </c>
      <c r="D6662" t="inlineStr">
        <is>
          <t>UPPSALA LÄN</t>
        </is>
      </c>
      <c r="E6662" t="inlineStr">
        <is>
          <t>UPPSALA</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5729-2025</t>
        </is>
      </c>
      <c r="B6663" s="1" t="n">
        <v>45694</v>
      </c>
      <c r="C6663" s="1" t="n">
        <v>45846</v>
      </c>
      <c r="D6663" t="inlineStr">
        <is>
          <t>UPPSALA LÄN</t>
        </is>
      </c>
      <c r="E6663" t="inlineStr">
        <is>
          <t>UPPSALA</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5791-2025</t>
        </is>
      </c>
      <c r="B6664" s="1" t="n">
        <v>45694</v>
      </c>
      <c r="C6664" s="1" t="n">
        <v>45846</v>
      </c>
      <c r="D6664" t="inlineStr">
        <is>
          <t>UPPSALA LÄN</t>
        </is>
      </c>
      <c r="E6664" t="inlineStr">
        <is>
          <t>TIERP</t>
        </is>
      </c>
      <c r="F6664" t="inlineStr">
        <is>
          <t>Bergvik skog öst AB</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5671-2025</t>
        </is>
      </c>
      <c r="B6665" s="1" t="n">
        <v>45694</v>
      </c>
      <c r="C6665" s="1" t="n">
        <v>45846</v>
      </c>
      <c r="D6665" t="inlineStr">
        <is>
          <t>UPPSALA LÄN</t>
        </is>
      </c>
      <c r="E6665" t="inlineStr">
        <is>
          <t>UPPSALA</t>
        </is>
      </c>
      <c r="F6665" t="inlineStr">
        <is>
          <t>Bergvik skog öst AB</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5699-2025</t>
        </is>
      </c>
      <c r="B6666" s="1" t="n">
        <v>45694</v>
      </c>
      <c r="C6666" s="1" t="n">
        <v>45846</v>
      </c>
      <c r="D6666" t="inlineStr">
        <is>
          <t>UPPSALA LÄN</t>
        </is>
      </c>
      <c r="E6666" t="inlineStr">
        <is>
          <t>ENKÖPING</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5719-2025</t>
        </is>
      </c>
      <c r="B6667" s="1" t="n">
        <v>45694</v>
      </c>
      <c r="C6667" s="1" t="n">
        <v>45846</v>
      </c>
      <c r="D6667" t="inlineStr">
        <is>
          <t>UPPSALA LÄN</t>
        </is>
      </c>
      <c r="E6667" t="inlineStr">
        <is>
          <t>UPPSALA</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5764-2025</t>
        </is>
      </c>
      <c r="B6668" s="1" t="n">
        <v>45694</v>
      </c>
      <c r="C6668" s="1" t="n">
        <v>45846</v>
      </c>
      <c r="D6668" t="inlineStr">
        <is>
          <t>UPPSALA LÄN</t>
        </is>
      </c>
      <c r="E6668" t="inlineStr">
        <is>
          <t>UPPSALA</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5722-2025</t>
        </is>
      </c>
      <c r="B6669" s="1" t="n">
        <v>45694</v>
      </c>
      <c r="C6669" s="1" t="n">
        <v>45846</v>
      </c>
      <c r="D6669" t="inlineStr">
        <is>
          <t>UPPSALA LÄN</t>
        </is>
      </c>
      <c r="E6669" t="inlineStr">
        <is>
          <t>UPPSALA</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5730-2025</t>
        </is>
      </c>
      <c r="B6670" s="1" t="n">
        <v>45694</v>
      </c>
      <c r="C6670" s="1" t="n">
        <v>45846</v>
      </c>
      <c r="D6670" t="inlineStr">
        <is>
          <t>UPPSALA LÄN</t>
        </is>
      </c>
      <c r="E6670" t="inlineStr">
        <is>
          <t>UPPSALA</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5925-2025</t>
        </is>
      </c>
      <c r="B6671" s="1" t="n">
        <v>45695</v>
      </c>
      <c r="C6671" s="1" t="n">
        <v>45846</v>
      </c>
      <c r="D6671" t="inlineStr">
        <is>
          <t>UPPSALA LÄN</t>
        </is>
      </c>
      <c r="E6671" t="inlineStr">
        <is>
          <t>UPPSALA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5957-2025</t>
        </is>
      </c>
      <c r="B6672" s="1" t="n">
        <v>45695</v>
      </c>
      <c r="C6672" s="1" t="n">
        <v>45846</v>
      </c>
      <c r="D6672" t="inlineStr">
        <is>
          <t>UPPSALA LÄN</t>
        </is>
      </c>
      <c r="E6672" t="inlineStr">
        <is>
          <t>ÖSTHAMMAR</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5854-2025</t>
        </is>
      </c>
      <c r="B6673" s="1" t="n">
        <v>45695</v>
      </c>
      <c r="C6673" s="1" t="n">
        <v>45846</v>
      </c>
      <c r="D6673" t="inlineStr">
        <is>
          <t>UPPSALA LÄN</t>
        </is>
      </c>
      <c r="E6673" t="inlineStr">
        <is>
          <t>TIERP</t>
        </is>
      </c>
      <c r="F6673" t="inlineStr">
        <is>
          <t>Bergvik skog öst AB</t>
        </is>
      </c>
      <c r="G6673" t="n">
        <v>4.5</v>
      </c>
      <c r="H6673" t="n">
        <v>0</v>
      </c>
      <c r="I6673" t="n">
        <v>0</v>
      </c>
      <c r="J6673" t="n">
        <v>0</v>
      </c>
      <c r="K6673" t="n">
        <v>0</v>
      </c>
      <c r="L6673" t="n">
        <v>0</v>
      </c>
      <c r="M6673" t="n">
        <v>0</v>
      </c>
      <c r="N6673" t="n">
        <v>0</v>
      </c>
      <c r="O6673" t="n">
        <v>0</v>
      </c>
      <c r="P6673" t="n">
        <v>0</v>
      </c>
      <c r="Q6673" t="n">
        <v>0</v>
      </c>
      <c r="R6673" s="2" t="inlineStr"/>
    </row>
    <row r="6674" ht="15" customHeight="1">
      <c r="A6674" t="inlineStr">
        <is>
          <t>A 5962-2025</t>
        </is>
      </c>
      <c r="B6674" s="1" t="n">
        <v>45695</v>
      </c>
      <c r="C6674" s="1" t="n">
        <v>45846</v>
      </c>
      <c r="D6674" t="inlineStr">
        <is>
          <t>UPPSALA LÄN</t>
        </is>
      </c>
      <c r="E6674" t="inlineStr">
        <is>
          <t>ÖSTHAMMAR</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6012-2025</t>
        </is>
      </c>
      <c r="B6675" s="1" t="n">
        <v>45695</v>
      </c>
      <c r="C6675" s="1" t="n">
        <v>45846</v>
      </c>
      <c r="D6675" t="inlineStr">
        <is>
          <t>UPPSALA LÄN</t>
        </is>
      </c>
      <c r="E6675" t="inlineStr">
        <is>
          <t>UPPSALA</t>
        </is>
      </c>
      <c r="F6675" t="inlineStr">
        <is>
          <t>Övriga Aktiebolag</t>
        </is>
      </c>
      <c r="G6675" t="n">
        <v>14.3</v>
      </c>
      <c r="H6675" t="n">
        <v>0</v>
      </c>
      <c r="I6675" t="n">
        <v>0</v>
      </c>
      <c r="J6675" t="n">
        <v>0</v>
      </c>
      <c r="K6675" t="n">
        <v>0</v>
      </c>
      <c r="L6675" t="n">
        <v>0</v>
      </c>
      <c r="M6675" t="n">
        <v>0</v>
      </c>
      <c r="N6675" t="n">
        <v>0</v>
      </c>
      <c r="O6675" t="n">
        <v>0</v>
      </c>
      <c r="P6675" t="n">
        <v>0</v>
      </c>
      <c r="Q6675" t="n">
        <v>0</v>
      </c>
      <c r="R6675" s="2" t="inlineStr"/>
    </row>
    <row r="6676" ht="15" customHeight="1">
      <c r="A6676" t="inlineStr">
        <is>
          <t>A 6039-2025</t>
        </is>
      </c>
      <c r="B6676" s="1" t="n">
        <v>45695</v>
      </c>
      <c r="C6676" s="1" t="n">
        <v>45846</v>
      </c>
      <c r="D6676" t="inlineStr">
        <is>
          <t>UPPSALA LÄN</t>
        </is>
      </c>
      <c r="E6676" t="inlineStr">
        <is>
          <t>ÖSTHAMMAR</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6060-2025</t>
        </is>
      </c>
      <c r="B6677" s="1" t="n">
        <v>45695</v>
      </c>
      <c r="C6677" s="1" t="n">
        <v>45846</v>
      </c>
      <c r="D6677" t="inlineStr">
        <is>
          <t>UPPSALA LÄN</t>
        </is>
      </c>
      <c r="E6677" t="inlineStr">
        <is>
          <t>UPPSALA</t>
        </is>
      </c>
      <c r="F6677" t="inlineStr">
        <is>
          <t>Bergvik skog öst AB</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6046-2025</t>
        </is>
      </c>
      <c r="B6678" s="1" t="n">
        <v>45695</v>
      </c>
      <c r="C6678" s="1" t="n">
        <v>45846</v>
      </c>
      <c r="D6678" t="inlineStr">
        <is>
          <t>UPPSALA LÄN</t>
        </is>
      </c>
      <c r="E6678" t="inlineStr">
        <is>
          <t>ÖSTHAMMAR</t>
        </is>
      </c>
      <c r="G6678" t="n">
        <v>0.8</v>
      </c>
      <c r="H6678" t="n">
        <v>0</v>
      </c>
      <c r="I6678" t="n">
        <v>0</v>
      </c>
      <c r="J6678" t="n">
        <v>0</v>
      </c>
      <c r="K6678" t="n">
        <v>0</v>
      </c>
      <c r="L6678" t="n">
        <v>0</v>
      </c>
      <c r="M6678" t="n">
        <v>0</v>
      </c>
      <c r="N6678" t="n">
        <v>0</v>
      </c>
      <c r="O6678" t="n">
        <v>0</v>
      </c>
      <c r="P6678" t="n">
        <v>0</v>
      </c>
      <c r="Q6678" t="n">
        <v>0</v>
      </c>
      <c r="R6678" s="2" t="inlineStr"/>
      <c r="U6678">
        <f>HYPERLINK("https://klasma.github.io/Logging_0382/knärot/A 6046-2025 karta knärot.png", "A 6046-2025")</f>
        <v/>
      </c>
      <c r="V6678">
        <f>HYPERLINK("https://klasma.github.io/Logging_0382/klagomål/A 6046-2025 FSC-klagomål.docx", "A 6046-2025")</f>
        <v/>
      </c>
      <c r="W6678">
        <f>HYPERLINK("https://klasma.github.io/Logging_0382/klagomålsmail/A 6046-2025 FSC-klagomål mail.docx", "A 6046-2025")</f>
        <v/>
      </c>
      <c r="X6678">
        <f>HYPERLINK("https://klasma.github.io/Logging_0382/tillsyn/A 6046-2025 tillsynsbegäran.docx", "A 6046-2025")</f>
        <v/>
      </c>
      <c r="Y6678">
        <f>HYPERLINK("https://klasma.github.io/Logging_0382/tillsynsmail/A 6046-2025 tillsynsbegäran mail.docx", "A 6046-2025")</f>
        <v/>
      </c>
    </row>
    <row r="6679" ht="15" customHeight="1">
      <c r="A6679" t="inlineStr">
        <is>
          <t>A 6048-2025</t>
        </is>
      </c>
      <c r="B6679" s="1" t="n">
        <v>45695</v>
      </c>
      <c r="C6679" s="1" t="n">
        <v>45846</v>
      </c>
      <c r="D6679" t="inlineStr">
        <is>
          <t>UPPSALA LÄN</t>
        </is>
      </c>
      <c r="E6679" t="inlineStr">
        <is>
          <t>ÖSTHAMMAR</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6059-2025</t>
        </is>
      </c>
      <c r="B6680" s="1" t="n">
        <v>45695</v>
      </c>
      <c r="C6680" s="1" t="n">
        <v>45846</v>
      </c>
      <c r="D6680" t="inlineStr">
        <is>
          <t>UPPSALA LÄN</t>
        </is>
      </c>
      <c r="E6680" t="inlineStr">
        <is>
          <t>UPPSALA</t>
        </is>
      </c>
      <c r="F6680" t="inlineStr">
        <is>
          <t>Bergvik skog öst AB</t>
        </is>
      </c>
      <c r="G6680" t="n">
        <v>0.4</v>
      </c>
      <c r="H6680" t="n">
        <v>0</v>
      </c>
      <c r="I6680" t="n">
        <v>0</v>
      </c>
      <c r="J6680" t="n">
        <v>0</v>
      </c>
      <c r="K6680" t="n">
        <v>0</v>
      </c>
      <c r="L6680" t="n">
        <v>0</v>
      </c>
      <c r="M6680" t="n">
        <v>0</v>
      </c>
      <c r="N6680" t="n">
        <v>0</v>
      </c>
      <c r="O6680" t="n">
        <v>0</v>
      </c>
      <c r="P6680" t="n">
        <v>0</v>
      </c>
      <c r="Q6680" t="n">
        <v>0</v>
      </c>
      <c r="R6680" s="2" t="inlineStr"/>
    </row>
    <row r="6681" ht="15" customHeight="1">
      <c r="A6681" t="inlineStr">
        <is>
          <t>A 6006-2025</t>
        </is>
      </c>
      <c r="B6681" s="1" t="n">
        <v>45695</v>
      </c>
      <c r="C6681" s="1" t="n">
        <v>45846</v>
      </c>
      <c r="D6681" t="inlineStr">
        <is>
          <t>UPPSALA LÄN</t>
        </is>
      </c>
      <c r="E6681" t="inlineStr">
        <is>
          <t>UPPSALA</t>
        </is>
      </c>
      <c r="F6681" t="inlineStr">
        <is>
          <t>Övriga Aktiebolag</t>
        </is>
      </c>
      <c r="G6681" t="n">
        <v>13.8</v>
      </c>
      <c r="H6681" t="n">
        <v>0</v>
      </c>
      <c r="I6681" t="n">
        <v>0</v>
      </c>
      <c r="J6681" t="n">
        <v>0</v>
      </c>
      <c r="K6681" t="n">
        <v>0</v>
      </c>
      <c r="L6681" t="n">
        <v>0</v>
      </c>
      <c r="M6681" t="n">
        <v>0</v>
      </c>
      <c r="N6681" t="n">
        <v>0</v>
      </c>
      <c r="O6681" t="n">
        <v>0</v>
      </c>
      <c r="P6681" t="n">
        <v>0</v>
      </c>
      <c r="Q6681" t="n">
        <v>0</v>
      </c>
      <c r="R6681" s="2" t="inlineStr"/>
    </row>
    <row r="6682" ht="15" customHeight="1">
      <c r="A6682" t="inlineStr">
        <is>
          <t>A 6058-2025</t>
        </is>
      </c>
      <c r="B6682" s="1" t="n">
        <v>45695</v>
      </c>
      <c r="C6682" s="1" t="n">
        <v>45846</v>
      </c>
      <c r="D6682" t="inlineStr">
        <is>
          <t>UPPSALA LÄN</t>
        </is>
      </c>
      <c r="E6682" t="inlineStr">
        <is>
          <t>UPPSALA</t>
        </is>
      </c>
      <c r="F6682" t="inlineStr">
        <is>
          <t>Bergvik skog öst AB</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6242-2025</t>
        </is>
      </c>
      <c r="B6683" s="1" t="n">
        <v>45697</v>
      </c>
      <c r="C6683" s="1" t="n">
        <v>45846</v>
      </c>
      <c r="D6683" t="inlineStr">
        <is>
          <t>UPPSALA LÄN</t>
        </is>
      </c>
      <c r="E6683" t="inlineStr">
        <is>
          <t>ENKÖPING</t>
        </is>
      </c>
      <c r="G6683" t="n">
        <v>17.9</v>
      </c>
      <c r="H6683" t="n">
        <v>0</v>
      </c>
      <c r="I6683" t="n">
        <v>0</v>
      </c>
      <c r="J6683" t="n">
        <v>0</v>
      </c>
      <c r="K6683" t="n">
        <v>0</v>
      </c>
      <c r="L6683" t="n">
        <v>0</v>
      </c>
      <c r="M6683" t="n">
        <v>0</v>
      </c>
      <c r="N6683" t="n">
        <v>0</v>
      </c>
      <c r="O6683" t="n">
        <v>0</v>
      </c>
      <c r="P6683" t="n">
        <v>0</v>
      </c>
      <c r="Q6683" t="n">
        <v>0</v>
      </c>
      <c r="R6683" s="2" t="inlineStr"/>
    </row>
    <row r="6684" ht="15" customHeight="1">
      <c r="A6684" t="inlineStr">
        <is>
          <t>A 6290-2025</t>
        </is>
      </c>
      <c r="B6684" s="1" t="n">
        <v>45698</v>
      </c>
      <c r="C6684" s="1" t="n">
        <v>45846</v>
      </c>
      <c r="D6684" t="inlineStr">
        <is>
          <t>UPPSALA LÄN</t>
        </is>
      </c>
      <c r="E6684" t="inlineStr">
        <is>
          <t>UPPSALA</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6325-2025</t>
        </is>
      </c>
      <c r="B6685" s="1" t="n">
        <v>45698</v>
      </c>
      <c r="C6685" s="1" t="n">
        <v>45846</v>
      </c>
      <c r="D6685" t="inlineStr">
        <is>
          <t>UPPSALA LÄN</t>
        </is>
      </c>
      <c r="E6685" t="inlineStr">
        <is>
          <t>ÖSTHAMMAR</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6184-2025</t>
        </is>
      </c>
      <c r="B6686" s="1" t="n">
        <v>45698</v>
      </c>
      <c r="C6686" s="1" t="n">
        <v>45846</v>
      </c>
      <c r="D6686" t="inlineStr">
        <is>
          <t>UPPSALA LÄN</t>
        </is>
      </c>
      <c r="E6686" t="inlineStr">
        <is>
          <t>ÖSTHAMMAR</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6327-2025</t>
        </is>
      </c>
      <c r="B6687" s="1" t="n">
        <v>45698</v>
      </c>
      <c r="C6687" s="1" t="n">
        <v>45846</v>
      </c>
      <c r="D6687" t="inlineStr">
        <is>
          <t>UPPSALA LÄN</t>
        </is>
      </c>
      <c r="E6687" t="inlineStr">
        <is>
          <t>ÖSTHAMMAR</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6537-2025</t>
        </is>
      </c>
      <c r="B6688" s="1" t="n">
        <v>45699</v>
      </c>
      <c r="C6688" s="1" t="n">
        <v>45846</v>
      </c>
      <c r="D6688" t="inlineStr">
        <is>
          <t>UPPSALA LÄN</t>
        </is>
      </c>
      <c r="E6688" t="inlineStr">
        <is>
          <t>ÖSTHAMMAR</t>
        </is>
      </c>
      <c r="G6688" t="n">
        <v>8.1</v>
      </c>
      <c r="H6688" t="n">
        <v>0</v>
      </c>
      <c r="I6688" t="n">
        <v>0</v>
      </c>
      <c r="J6688" t="n">
        <v>0</v>
      </c>
      <c r="K6688" t="n">
        <v>0</v>
      </c>
      <c r="L6688" t="n">
        <v>0</v>
      </c>
      <c r="M6688" t="n">
        <v>0</v>
      </c>
      <c r="N6688" t="n">
        <v>0</v>
      </c>
      <c r="O6688" t="n">
        <v>0</v>
      </c>
      <c r="P6688" t="n">
        <v>0</v>
      </c>
      <c r="Q6688" t="n">
        <v>0</v>
      </c>
      <c r="R6688" s="2" t="inlineStr"/>
    </row>
    <row r="6689" ht="15" customHeight="1">
      <c r="A6689" t="inlineStr">
        <is>
          <t>A 6541-2025</t>
        </is>
      </c>
      <c r="B6689" s="1" t="n">
        <v>45699</v>
      </c>
      <c r="C6689" s="1" t="n">
        <v>45846</v>
      </c>
      <c r="D6689" t="inlineStr">
        <is>
          <t>UPPSALA LÄN</t>
        </is>
      </c>
      <c r="E6689" t="inlineStr">
        <is>
          <t>UPPSALA</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6549-2025</t>
        </is>
      </c>
      <c r="B6690" s="1" t="n">
        <v>45699</v>
      </c>
      <c r="C6690" s="1" t="n">
        <v>45846</v>
      </c>
      <c r="D6690" t="inlineStr">
        <is>
          <t>UPPSALA LÄN</t>
        </is>
      </c>
      <c r="E6690" t="inlineStr">
        <is>
          <t>UPPSALA</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6360-2025</t>
        </is>
      </c>
      <c r="B6691" s="1" t="n">
        <v>45699</v>
      </c>
      <c r="C6691" s="1" t="n">
        <v>45846</v>
      </c>
      <c r="D6691" t="inlineStr">
        <is>
          <t>UPPSALA LÄN</t>
        </is>
      </c>
      <c r="E6691" t="inlineStr">
        <is>
          <t>ÖSTHAMMAR</t>
        </is>
      </c>
      <c r="F6691" t="inlineStr">
        <is>
          <t>Bergvik skog öst AB</t>
        </is>
      </c>
      <c r="G6691" t="n">
        <v>4.3</v>
      </c>
      <c r="H6691" t="n">
        <v>0</v>
      </c>
      <c r="I6691" t="n">
        <v>0</v>
      </c>
      <c r="J6691" t="n">
        <v>0</v>
      </c>
      <c r="K6691" t="n">
        <v>0</v>
      </c>
      <c r="L6691" t="n">
        <v>0</v>
      </c>
      <c r="M6691" t="n">
        <v>0</v>
      </c>
      <c r="N6691" t="n">
        <v>0</v>
      </c>
      <c r="O6691" t="n">
        <v>0</v>
      </c>
      <c r="P6691" t="n">
        <v>0</v>
      </c>
      <c r="Q6691" t="n">
        <v>0</v>
      </c>
      <c r="R6691" s="2" t="inlineStr"/>
    </row>
    <row r="6692" ht="15" customHeight="1">
      <c r="A6692" t="inlineStr">
        <is>
          <t>A 6548-2025</t>
        </is>
      </c>
      <c r="B6692" s="1" t="n">
        <v>45699</v>
      </c>
      <c r="C6692" s="1" t="n">
        <v>45846</v>
      </c>
      <c r="D6692" t="inlineStr">
        <is>
          <t>UPPSALA LÄN</t>
        </is>
      </c>
      <c r="E6692" t="inlineStr">
        <is>
          <t>ÖSTHAMMAR</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6552-2025</t>
        </is>
      </c>
      <c r="B6693" s="1" t="n">
        <v>45699</v>
      </c>
      <c r="C6693" s="1" t="n">
        <v>45846</v>
      </c>
      <c r="D6693" t="inlineStr">
        <is>
          <t>UPPSALA LÄN</t>
        </is>
      </c>
      <c r="E6693" t="inlineStr">
        <is>
          <t>ÖSTHAMMAR</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6543-2025</t>
        </is>
      </c>
      <c r="B6694" s="1" t="n">
        <v>45699</v>
      </c>
      <c r="C6694" s="1" t="n">
        <v>45846</v>
      </c>
      <c r="D6694" t="inlineStr">
        <is>
          <t>UPPSALA LÄN</t>
        </is>
      </c>
      <c r="E6694" t="inlineStr">
        <is>
          <t>ÖSTHAMMAR</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6450-2025</t>
        </is>
      </c>
      <c r="B6695" s="1" t="n">
        <v>45699</v>
      </c>
      <c r="C6695" s="1" t="n">
        <v>45846</v>
      </c>
      <c r="D6695" t="inlineStr">
        <is>
          <t>UPPSALA LÄN</t>
        </is>
      </c>
      <c r="E6695" t="inlineStr">
        <is>
          <t>HEBY</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6359-2025</t>
        </is>
      </c>
      <c r="B6696" s="1" t="n">
        <v>45699</v>
      </c>
      <c r="C6696" s="1" t="n">
        <v>45846</v>
      </c>
      <c r="D6696" t="inlineStr">
        <is>
          <t>UPPSALA LÄN</t>
        </is>
      </c>
      <c r="E6696" t="inlineStr">
        <is>
          <t>ÖSTHAMMAR</t>
        </is>
      </c>
      <c r="F6696" t="inlineStr">
        <is>
          <t>Bergvik skog öst AB</t>
        </is>
      </c>
      <c r="G6696" t="n">
        <v>6.9</v>
      </c>
      <c r="H6696" t="n">
        <v>0</v>
      </c>
      <c r="I6696" t="n">
        <v>0</v>
      </c>
      <c r="J6696" t="n">
        <v>0</v>
      </c>
      <c r="K6696" t="n">
        <v>0</v>
      </c>
      <c r="L6696" t="n">
        <v>0</v>
      </c>
      <c r="M6696" t="n">
        <v>0</v>
      </c>
      <c r="N6696" t="n">
        <v>0</v>
      </c>
      <c r="O6696" t="n">
        <v>0</v>
      </c>
      <c r="P6696" t="n">
        <v>0</v>
      </c>
      <c r="Q6696" t="n">
        <v>0</v>
      </c>
      <c r="R6696" s="2" t="inlineStr"/>
    </row>
    <row r="6697" ht="15" customHeight="1">
      <c r="A6697" t="inlineStr">
        <is>
          <t>A 6343-2025</t>
        </is>
      </c>
      <c r="B6697" s="1" t="n">
        <v>45699</v>
      </c>
      <c r="C6697" s="1" t="n">
        <v>45846</v>
      </c>
      <c r="D6697" t="inlineStr">
        <is>
          <t>UPPSALA LÄN</t>
        </is>
      </c>
      <c r="E6697" t="inlineStr">
        <is>
          <t>ÖSTHAMMAR</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6550-2025</t>
        </is>
      </c>
      <c r="B6698" s="1" t="n">
        <v>45699</v>
      </c>
      <c r="C6698" s="1" t="n">
        <v>45846</v>
      </c>
      <c r="D6698" t="inlineStr">
        <is>
          <t>UPPSALA LÄN</t>
        </is>
      </c>
      <c r="E6698" t="inlineStr">
        <is>
          <t>UPPSALA</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6764-2025</t>
        </is>
      </c>
      <c r="B6699" s="1" t="n">
        <v>45700</v>
      </c>
      <c r="C6699" s="1" t="n">
        <v>45846</v>
      </c>
      <c r="D6699" t="inlineStr">
        <is>
          <t>UPPSALA LÄN</t>
        </is>
      </c>
      <c r="E6699" t="inlineStr">
        <is>
          <t>ÖSTHAMMAR</t>
        </is>
      </c>
      <c r="F6699" t="inlineStr">
        <is>
          <t>Bergvik skog öst AB</t>
        </is>
      </c>
      <c r="G6699" t="n">
        <v>5.3</v>
      </c>
      <c r="H6699" t="n">
        <v>0</v>
      </c>
      <c r="I6699" t="n">
        <v>0</v>
      </c>
      <c r="J6699" t="n">
        <v>0</v>
      </c>
      <c r="K6699" t="n">
        <v>0</v>
      </c>
      <c r="L6699" t="n">
        <v>0</v>
      </c>
      <c r="M6699" t="n">
        <v>0</v>
      </c>
      <c r="N6699" t="n">
        <v>0</v>
      </c>
      <c r="O6699" t="n">
        <v>0</v>
      </c>
      <c r="P6699" t="n">
        <v>0</v>
      </c>
      <c r="Q6699" t="n">
        <v>0</v>
      </c>
      <c r="R6699" s="2" t="inlineStr"/>
    </row>
    <row r="6700" ht="15" customHeight="1">
      <c r="A6700" t="inlineStr">
        <is>
          <t>A 6888-2025</t>
        </is>
      </c>
      <c r="B6700" s="1" t="n">
        <v>45701</v>
      </c>
      <c r="C6700" s="1" t="n">
        <v>45846</v>
      </c>
      <c r="D6700" t="inlineStr">
        <is>
          <t>UPPSALA LÄN</t>
        </is>
      </c>
      <c r="E6700" t="inlineStr">
        <is>
          <t>TIERP</t>
        </is>
      </c>
      <c r="F6700" t="inlineStr">
        <is>
          <t>Bergvik skog väst AB</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7100-2025</t>
        </is>
      </c>
      <c r="B6701" s="1" t="n">
        <v>45701</v>
      </c>
      <c r="C6701" s="1" t="n">
        <v>45846</v>
      </c>
      <c r="D6701" t="inlineStr">
        <is>
          <t>UPPSALA LÄN</t>
        </is>
      </c>
      <c r="E6701" t="inlineStr">
        <is>
          <t>ÖSTHAMMAR</t>
        </is>
      </c>
      <c r="G6701" t="n">
        <v>4.3</v>
      </c>
      <c r="H6701" t="n">
        <v>0</v>
      </c>
      <c r="I6701" t="n">
        <v>0</v>
      </c>
      <c r="J6701" t="n">
        <v>0</v>
      </c>
      <c r="K6701" t="n">
        <v>0</v>
      </c>
      <c r="L6701" t="n">
        <v>0</v>
      </c>
      <c r="M6701" t="n">
        <v>0</v>
      </c>
      <c r="N6701" t="n">
        <v>0</v>
      </c>
      <c r="O6701" t="n">
        <v>0</v>
      </c>
      <c r="P6701" t="n">
        <v>0</v>
      </c>
      <c r="Q6701" t="n">
        <v>0</v>
      </c>
      <c r="R6701" s="2" t="inlineStr"/>
    </row>
    <row r="6702" ht="15" customHeight="1">
      <c r="A6702" t="inlineStr">
        <is>
          <t>A 6959-2025</t>
        </is>
      </c>
      <c r="B6702" s="1" t="n">
        <v>45701</v>
      </c>
      <c r="C6702" s="1" t="n">
        <v>45846</v>
      </c>
      <c r="D6702" t="inlineStr">
        <is>
          <t>UPPSALA LÄN</t>
        </is>
      </c>
      <c r="E6702" t="inlineStr">
        <is>
          <t>ENKÖPING</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6981-2025</t>
        </is>
      </c>
      <c r="B6703" s="1" t="n">
        <v>45701</v>
      </c>
      <c r="C6703" s="1" t="n">
        <v>45846</v>
      </c>
      <c r="D6703" t="inlineStr">
        <is>
          <t>UPPSALA LÄN</t>
        </is>
      </c>
      <c r="E6703" t="inlineStr">
        <is>
          <t>ENKÖPING</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6889-2025</t>
        </is>
      </c>
      <c r="B6704" s="1" t="n">
        <v>45701</v>
      </c>
      <c r="C6704" s="1" t="n">
        <v>45846</v>
      </c>
      <c r="D6704" t="inlineStr">
        <is>
          <t>UPPSALA LÄN</t>
        </is>
      </c>
      <c r="E6704" t="inlineStr">
        <is>
          <t>TIERP</t>
        </is>
      </c>
      <c r="F6704" t="inlineStr">
        <is>
          <t>Bergvik skog väst AB</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7216-2025</t>
        </is>
      </c>
      <c r="B6705" s="1" t="n">
        <v>45702</v>
      </c>
      <c r="C6705" s="1" t="n">
        <v>45846</v>
      </c>
      <c r="D6705" t="inlineStr">
        <is>
          <t>UPPSALA LÄN</t>
        </is>
      </c>
      <c r="E6705" t="inlineStr">
        <is>
          <t>ÖSTHAMMAR</t>
        </is>
      </c>
      <c r="F6705" t="inlineStr">
        <is>
          <t>Övriga Aktiebolag</t>
        </is>
      </c>
      <c r="G6705" t="n">
        <v>12.5</v>
      </c>
      <c r="H6705" t="n">
        <v>0</v>
      </c>
      <c r="I6705" t="n">
        <v>0</v>
      </c>
      <c r="J6705" t="n">
        <v>0</v>
      </c>
      <c r="K6705" t="n">
        <v>0</v>
      </c>
      <c r="L6705" t="n">
        <v>0</v>
      </c>
      <c r="M6705" t="n">
        <v>0</v>
      </c>
      <c r="N6705" t="n">
        <v>0</v>
      </c>
      <c r="O6705" t="n">
        <v>0</v>
      </c>
      <c r="P6705" t="n">
        <v>0</v>
      </c>
      <c r="Q6705" t="n">
        <v>0</v>
      </c>
      <c r="R6705" s="2" t="inlineStr"/>
    </row>
    <row r="6706" ht="15" customHeight="1">
      <c r="A6706" t="inlineStr">
        <is>
          <t>A 7519-2025</t>
        </is>
      </c>
      <c r="B6706" s="1" t="n">
        <v>45703</v>
      </c>
      <c r="C6706" s="1" t="n">
        <v>45846</v>
      </c>
      <c r="D6706" t="inlineStr">
        <is>
          <t>UPPSALA LÄN</t>
        </is>
      </c>
      <c r="E6706" t="inlineStr">
        <is>
          <t>TIERP</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7346-2025</t>
        </is>
      </c>
      <c r="B6707" s="1" t="n">
        <v>45703</v>
      </c>
      <c r="C6707" s="1" t="n">
        <v>45846</v>
      </c>
      <c r="D6707" t="inlineStr">
        <is>
          <t>UPPSALA LÄN</t>
        </is>
      </c>
      <c r="E6707" t="inlineStr">
        <is>
          <t>UPPSALA</t>
        </is>
      </c>
      <c r="F6707" t="inlineStr">
        <is>
          <t>Bergvik skog öst AB</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7645-2025</t>
        </is>
      </c>
      <c r="B6708" s="1" t="n">
        <v>45705</v>
      </c>
      <c r="C6708" s="1" t="n">
        <v>45846</v>
      </c>
      <c r="D6708" t="inlineStr">
        <is>
          <t>UPPSALA LÄN</t>
        </is>
      </c>
      <c r="E6708" t="inlineStr">
        <is>
          <t>UPPSALA</t>
        </is>
      </c>
      <c r="F6708" t="inlineStr">
        <is>
          <t>Bergvik skog öst AB</t>
        </is>
      </c>
      <c r="G6708" t="n">
        <v>5.6</v>
      </c>
      <c r="H6708" t="n">
        <v>0</v>
      </c>
      <c r="I6708" t="n">
        <v>0</v>
      </c>
      <c r="J6708" t="n">
        <v>0</v>
      </c>
      <c r="K6708" t="n">
        <v>0</v>
      </c>
      <c r="L6708" t="n">
        <v>0</v>
      </c>
      <c r="M6708" t="n">
        <v>0</v>
      </c>
      <c r="N6708" t="n">
        <v>0</v>
      </c>
      <c r="O6708" t="n">
        <v>0</v>
      </c>
      <c r="P6708" t="n">
        <v>0</v>
      </c>
      <c r="Q6708" t="n">
        <v>0</v>
      </c>
      <c r="R6708" s="2" t="inlineStr"/>
    </row>
    <row r="6709" ht="15" customHeight="1">
      <c r="A6709" t="inlineStr">
        <is>
          <t>A 7633-2025</t>
        </is>
      </c>
      <c r="B6709" s="1" t="n">
        <v>45705</v>
      </c>
      <c r="C6709" s="1" t="n">
        <v>45846</v>
      </c>
      <c r="D6709" t="inlineStr">
        <is>
          <t>UPPSALA LÄN</t>
        </is>
      </c>
      <c r="E6709" t="inlineStr">
        <is>
          <t>UPPSALA</t>
        </is>
      </c>
      <c r="F6709" t="inlineStr">
        <is>
          <t>Bergvik skog öst AB</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7503-2025</t>
        </is>
      </c>
      <c r="B6710" s="1" t="n">
        <v>45705</v>
      </c>
      <c r="C6710" s="1" t="n">
        <v>45846</v>
      </c>
      <c r="D6710" t="inlineStr">
        <is>
          <t>UPPSALA LÄN</t>
        </is>
      </c>
      <c r="E6710" t="inlineStr">
        <is>
          <t>HEBY</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7502-2025</t>
        </is>
      </c>
      <c r="B6711" s="1" t="n">
        <v>45705</v>
      </c>
      <c r="C6711" s="1" t="n">
        <v>45846</v>
      </c>
      <c r="D6711" t="inlineStr">
        <is>
          <t>UPPSALA LÄN</t>
        </is>
      </c>
      <c r="E6711" t="inlineStr">
        <is>
          <t>HEBY</t>
        </is>
      </c>
      <c r="G6711" t="n">
        <v>3.8</v>
      </c>
      <c r="H6711" t="n">
        <v>0</v>
      </c>
      <c r="I6711" t="n">
        <v>0</v>
      </c>
      <c r="J6711" t="n">
        <v>0</v>
      </c>
      <c r="K6711" t="n">
        <v>0</v>
      </c>
      <c r="L6711" t="n">
        <v>0</v>
      </c>
      <c r="M6711" t="n">
        <v>0</v>
      </c>
      <c r="N6711" t="n">
        <v>0</v>
      </c>
      <c r="O6711" t="n">
        <v>0</v>
      </c>
      <c r="P6711" t="n">
        <v>0</v>
      </c>
      <c r="Q6711" t="n">
        <v>0</v>
      </c>
      <c r="R6711" s="2" t="inlineStr"/>
    </row>
    <row r="6712" ht="15" customHeight="1">
      <c r="A6712" t="inlineStr">
        <is>
          <t>A 7468-2025</t>
        </is>
      </c>
      <c r="B6712" s="1" t="n">
        <v>45705</v>
      </c>
      <c r="C6712" s="1" t="n">
        <v>45846</v>
      </c>
      <c r="D6712" t="inlineStr">
        <is>
          <t>UPPSALA LÄN</t>
        </is>
      </c>
      <c r="E6712" t="inlineStr">
        <is>
          <t>HEBY</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7374-2025</t>
        </is>
      </c>
      <c r="B6713" s="1" t="n">
        <v>45705</v>
      </c>
      <c r="C6713" s="1" t="n">
        <v>45846</v>
      </c>
      <c r="D6713" t="inlineStr">
        <is>
          <t>UPPSALA LÄN</t>
        </is>
      </c>
      <c r="E6713" t="inlineStr">
        <is>
          <t>TIERP</t>
        </is>
      </c>
      <c r="F6713" t="inlineStr">
        <is>
          <t>Bergvik skog väst AB</t>
        </is>
      </c>
      <c r="G6713" t="n">
        <v>5.1</v>
      </c>
      <c r="H6713" t="n">
        <v>0</v>
      </c>
      <c r="I6713" t="n">
        <v>0</v>
      </c>
      <c r="J6713" t="n">
        <v>0</v>
      </c>
      <c r="K6713" t="n">
        <v>0</v>
      </c>
      <c r="L6713" t="n">
        <v>0</v>
      </c>
      <c r="M6713" t="n">
        <v>0</v>
      </c>
      <c r="N6713" t="n">
        <v>0</v>
      </c>
      <c r="O6713" t="n">
        <v>0</v>
      </c>
      <c r="P6713" t="n">
        <v>0</v>
      </c>
      <c r="Q6713" t="n">
        <v>0</v>
      </c>
      <c r="R6713" s="2" t="inlineStr"/>
    </row>
    <row r="6714" ht="15" customHeight="1">
      <c r="A6714" t="inlineStr">
        <is>
          <t>A 7504-2025</t>
        </is>
      </c>
      <c r="B6714" s="1" t="n">
        <v>45705</v>
      </c>
      <c r="C6714" s="1" t="n">
        <v>45846</v>
      </c>
      <c r="D6714" t="inlineStr">
        <is>
          <t>UPPSALA LÄN</t>
        </is>
      </c>
      <c r="E6714" t="inlineStr">
        <is>
          <t>HEBY</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7500-2025</t>
        </is>
      </c>
      <c r="B6715" s="1" t="n">
        <v>45705</v>
      </c>
      <c r="C6715" s="1" t="n">
        <v>45846</v>
      </c>
      <c r="D6715" t="inlineStr">
        <is>
          <t>UPPSALA LÄN</t>
        </is>
      </c>
      <c r="E6715" t="inlineStr">
        <is>
          <t>HEBY</t>
        </is>
      </c>
      <c r="G6715" t="n">
        <v>4.4</v>
      </c>
      <c r="H6715" t="n">
        <v>0</v>
      </c>
      <c r="I6715" t="n">
        <v>0</v>
      </c>
      <c r="J6715" t="n">
        <v>0</v>
      </c>
      <c r="K6715" t="n">
        <v>0</v>
      </c>
      <c r="L6715" t="n">
        <v>0</v>
      </c>
      <c r="M6715" t="n">
        <v>0</v>
      </c>
      <c r="N6715" t="n">
        <v>0</v>
      </c>
      <c r="O6715" t="n">
        <v>0</v>
      </c>
      <c r="P6715" t="n">
        <v>0</v>
      </c>
      <c r="Q6715" t="n">
        <v>0</v>
      </c>
      <c r="R6715" s="2" t="inlineStr"/>
    </row>
    <row r="6716" ht="15" customHeight="1">
      <c r="A6716" t="inlineStr">
        <is>
          <t>A 7375-2025</t>
        </is>
      </c>
      <c r="B6716" s="1" t="n">
        <v>45705</v>
      </c>
      <c r="C6716" s="1" t="n">
        <v>45846</v>
      </c>
      <c r="D6716" t="inlineStr">
        <is>
          <t>UPPSALA LÄN</t>
        </is>
      </c>
      <c r="E6716" t="inlineStr">
        <is>
          <t>TIERP</t>
        </is>
      </c>
      <c r="F6716" t="inlineStr">
        <is>
          <t>Bergvik skog väst AB</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7376-2025</t>
        </is>
      </c>
      <c r="B6717" s="1" t="n">
        <v>45705</v>
      </c>
      <c r="C6717" s="1" t="n">
        <v>45846</v>
      </c>
      <c r="D6717" t="inlineStr">
        <is>
          <t>UPPSALA LÄN</t>
        </is>
      </c>
      <c r="E6717" t="inlineStr">
        <is>
          <t>UPPSALA</t>
        </is>
      </c>
      <c r="F6717" t="inlineStr">
        <is>
          <t>Bergvik skog väst AB</t>
        </is>
      </c>
      <c r="G6717" t="n">
        <v>7.4</v>
      </c>
      <c r="H6717" t="n">
        <v>0</v>
      </c>
      <c r="I6717" t="n">
        <v>0</v>
      </c>
      <c r="J6717" t="n">
        <v>0</v>
      </c>
      <c r="K6717" t="n">
        <v>0</v>
      </c>
      <c r="L6717" t="n">
        <v>0</v>
      </c>
      <c r="M6717" t="n">
        <v>0</v>
      </c>
      <c r="N6717" t="n">
        <v>0</v>
      </c>
      <c r="O6717" t="n">
        <v>0</v>
      </c>
      <c r="P6717" t="n">
        <v>0</v>
      </c>
      <c r="Q6717" t="n">
        <v>0</v>
      </c>
      <c r="R6717" s="2" t="inlineStr"/>
    </row>
    <row r="6718" ht="15" customHeight="1">
      <c r="A6718" t="inlineStr">
        <is>
          <t>A 7501-2025</t>
        </is>
      </c>
      <c r="B6718" s="1" t="n">
        <v>45705</v>
      </c>
      <c r="C6718" s="1" t="n">
        <v>45846</v>
      </c>
      <c r="D6718" t="inlineStr">
        <is>
          <t>UPPSALA LÄN</t>
        </is>
      </c>
      <c r="E6718" t="inlineStr">
        <is>
          <t>UPPSALA</t>
        </is>
      </c>
      <c r="G6718" t="n">
        <v>4.2</v>
      </c>
      <c r="H6718" t="n">
        <v>0</v>
      </c>
      <c r="I6718" t="n">
        <v>0</v>
      </c>
      <c r="J6718" t="n">
        <v>0</v>
      </c>
      <c r="K6718" t="n">
        <v>0</v>
      </c>
      <c r="L6718" t="n">
        <v>0</v>
      </c>
      <c r="M6718" t="n">
        <v>0</v>
      </c>
      <c r="N6718" t="n">
        <v>0</v>
      </c>
      <c r="O6718" t="n">
        <v>0</v>
      </c>
      <c r="P6718" t="n">
        <v>0</v>
      </c>
      <c r="Q6718" t="n">
        <v>0</v>
      </c>
      <c r="R6718" s="2" t="inlineStr"/>
    </row>
    <row r="6719" ht="15" customHeight="1">
      <c r="A6719" t="inlineStr">
        <is>
          <t>A 7497-2025</t>
        </is>
      </c>
      <c r="B6719" s="1" t="n">
        <v>45705</v>
      </c>
      <c r="C6719" s="1" t="n">
        <v>45846</v>
      </c>
      <c r="D6719" t="inlineStr">
        <is>
          <t>UPPSALA LÄN</t>
        </is>
      </c>
      <c r="E6719" t="inlineStr">
        <is>
          <t>HEBY</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7429-2025</t>
        </is>
      </c>
      <c r="B6720" s="1" t="n">
        <v>45705</v>
      </c>
      <c r="C6720" s="1" t="n">
        <v>45846</v>
      </c>
      <c r="D6720" t="inlineStr">
        <is>
          <t>UPPSALA LÄN</t>
        </is>
      </c>
      <c r="E6720" t="inlineStr">
        <is>
          <t>HEBY</t>
        </is>
      </c>
      <c r="F6720" t="inlineStr">
        <is>
          <t>Kyrkan</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7860-2025</t>
        </is>
      </c>
      <c r="B6721" s="1" t="n">
        <v>45706</v>
      </c>
      <c r="C6721" s="1" t="n">
        <v>45846</v>
      </c>
      <c r="D6721" t="inlineStr">
        <is>
          <t>UPPSALA LÄN</t>
        </is>
      </c>
      <c r="E6721" t="inlineStr">
        <is>
          <t>HEBY</t>
        </is>
      </c>
      <c r="F6721" t="inlineStr">
        <is>
          <t>Kyrkan</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7732-2025</t>
        </is>
      </c>
      <c r="B6722" s="1" t="n">
        <v>45706</v>
      </c>
      <c r="C6722" s="1" t="n">
        <v>45846</v>
      </c>
      <c r="D6722" t="inlineStr">
        <is>
          <t>UPPSALA LÄN</t>
        </is>
      </c>
      <c r="E6722" t="inlineStr">
        <is>
          <t>TIERP</t>
        </is>
      </c>
      <c r="F6722" t="inlineStr">
        <is>
          <t>Bergvik skog öst AB</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8030-2025</t>
        </is>
      </c>
      <c r="B6723" s="1" t="n">
        <v>45707</v>
      </c>
      <c r="C6723" s="1" t="n">
        <v>45846</v>
      </c>
      <c r="D6723" t="inlineStr">
        <is>
          <t>UPPSALA LÄN</t>
        </is>
      </c>
      <c r="E6723" t="inlineStr">
        <is>
          <t>ÄLVKARLEBY</t>
        </is>
      </c>
      <c r="F6723" t="inlineStr">
        <is>
          <t>Bergvik skog väst AB</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8137-2025</t>
        </is>
      </c>
      <c r="B6724" s="1" t="n">
        <v>45707</v>
      </c>
      <c r="C6724" s="1" t="n">
        <v>45846</v>
      </c>
      <c r="D6724" t="inlineStr">
        <is>
          <t>UPPSALA LÄN</t>
        </is>
      </c>
      <c r="E6724" t="inlineStr">
        <is>
          <t>ENKÖPING</t>
        </is>
      </c>
      <c r="G6724" t="n">
        <v>0.4</v>
      </c>
      <c r="H6724" t="n">
        <v>0</v>
      </c>
      <c r="I6724" t="n">
        <v>0</v>
      </c>
      <c r="J6724" t="n">
        <v>0</v>
      </c>
      <c r="K6724" t="n">
        <v>0</v>
      </c>
      <c r="L6724" t="n">
        <v>0</v>
      </c>
      <c r="M6724" t="n">
        <v>0</v>
      </c>
      <c r="N6724" t="n">
        <v>0</v>
      </c>
      <c r="O6724" t="n">
        <v>0</v>
      </c>
      <c r="P6724" t="n">
        <v>0</v>
      </c>
      <c r="Q6724" t="n">
        <v>0</v>
      </c>
      <c r="R6724" s="2" t="inlineStr"/>
    </row>
    <row r="6725" ht="15" customHeight="1">
      <c r="A6725" t="inlineStr">
        <is>
          <t>A 8031-2025</t>
        </is>
      </c>
      <c r="B6725" s="1" t="n">
        <v>45707</v>
      </c>
      <c r="C6725" s="1" t="n">
        <v>45846</v>
      </c>
      <c r="D6725" t="inlineStr">
        <is>
          <t>UPPSALA LÄN</t>
        </is>
      </c>
      <c r="E6725" t="inlineStr">
        <is>
          <t>ÄLVKARLEBY</t>
        </is>
      </c>
      <c r="F6725" t="inlineStr">
        <is>
          <t>Bergvik skog väst AB</t>
        </is>
      </c>
      <c r="G6725" t="n">
        <v>4</v>
      </c>
      <c r="H6725" t="n">
        <v>0</v>
      </c>
      <c r="I6725" t="n">
        <v>0</v>
      </c>
      <c r="J6725" t="n">
        <v>0</v>
      </c>
      <c r="K6725" t="n">
        <v>0</v>
      </c>
      <c r="L6725" t="n">
        <v>0</v>
      </c>
      <c r="M6725" t="n">
        <v>0</v>
      </c>
      <c r="N6725" t="n">
        <v>0</v>
      </c>
      <c r="O6725" t="n">
        <v>0</v>
      </c>
      <c r="P6725" t="n">
        <v>0</v>
      </c>
      <c r="Q6725" t="n">
        <v>0</v>
      </c>
      <c r="R6725" s="2" t="inlineStr"/>
    </row>
    <row r="6726" ht="15" customHeight="1">
      <c r="A6726" t="inlineStr">
        <is>
          <t>A 8027-2025</t>
        </is>
      </c>
      <c r="B6726" s="1" t="n">
        <v>45707</v>
      </c>
      <c r="C6726" s="1" t="n">
        <v>45846</v>
      </c>
      <c r="D6726" t="inlineStr">
        <is>
          <t>UPPSALA LÄN</t>
        </is>
      </c>
      <c r="E6726" t="inlineStr">
        <is>
          <t>TIERP</t>
        </is>
      </c>
      <c r="G6726" t="n">
        <v>3.8</v>
      </c>
      <c r="H6726" t="n">
        <v>0</v>
      </c>
      <c r="I6726" t="n">
        <v>0</v>
      </c>
      <c r="J6726" t="n">
        <v>0</v>
      </c>
      <c r="K6726" t="n">
        <v>0</v>
      </c>
      <c r="L6726" t="n">
        <v>0</v>
      </c>
      <c r="M6726" t="n">
        <v>0</v>
      </c>
      <c r="N6726" t="n">
        <v>0</v>
      </c>
      <c r="O6726" t="n">
        <v>0</v>
      </c>
      <c r="P6726" t="n">
        <v>0</v>
      </c>
      <c r="Q6726" t="n">
        <v>0</v>
      </c>
      <c r="R6726" s="2" t="inlineStr"/>
    </row>
    <row r="6727" ht="15" customHeight="1">
      <c r="A6727" t="inlineStr">
        <is>
          <t>A 8164-2025</t>
        </is>
      </c>
      <c r="B6727" s="1" t="n">
        <v>45707</v>
      </c>
      <c r="C6727" s="1" t="n">
        <v>45846</v>
      </c>
      <c r="D6727" t="inlineStr">
        <is>
          <t>UPPSALA LÄN</t>
        </is>
      </c>
      <c r="E6727" t="inlineStr">
        <is>
          <t>UPPSALA</t>
        </is>
      </c>
      <c r="F6727" t="inlineStr">
        <is>
          <t>Övriga Aktiebolag</t>
        </is>
      </c>
      <c r="G6727" t="n">
        <v>12.2</v>
      </c>
      <c r="H6727" t="n">
        <v>0</v>
      </c>
      <c r="I6727" t="n">
        <v>0</v>
      </c>
      <c r="J6727" t="n">
        <v>0</v>
      </c>
      <c r="K6727" t="n">
        <v>0</v>
      </c>
      <c r="L6727" t="n">
        <v>0</v>
      </c>
      <c r="M6727" t="n">
        <v>0</v>
      </c>
      <c r="N6727" t="n">
        <v>0</v>
      </c>
      <c r="O6727" t="n">
        <v>0</v>
      </c>
      <c r="P6727" t="n">
        <v>0</v>
      </c>
      <c r="Q6727" t="n">
        <v>0</v>
      </c>
      <c r="R6727" s="2" t="inlineStr"/>
    </row>
    <row r="6728" ht="15" customHeight="1">
      <c r="A6728" t="inlineStr">
        <is>
          <t>A 8136-2025</t>
        </is>
      </c>
      <c r="B6728" s="1" t="n">
        <v>45707</v>
      </c>
      <c r="C6728" s="1" t="n">
        <v>45846</v>
      </c>
      <c r="D6728" t="inlineStr">
        <is>
          <t>UPPSALA LÄN</t>
        </is>
      </c>
      <c r="E6728" t="inlineStr">
        <is>
          <t>ENKÖPING</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8162-2025</t>
        </is>
      </c>
      <c r="B6729" s="1" t="n">
        <v>45707</v>
      </c>
      <c r="C6729" s="1" t="n">
        <v>45846</v>
      </c>
      <c r="D6729" t="inlineStr">
        <is>
          <t>UPPSALA LÄN</t>
        </is>
      </c>
      <c r="E6729" t="inlineStr">
        <is>
          <t>UPPSALA</t>
        </is>
      </c>
      <c r="F6729" t="inlineStr">
        <is>
          <t>Övriga Aktiebolag</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7955-2025</t>
        </is>
      </c>
      <c r="B6730" s="1" t="n">
        <v>45707</v>
      </c>
      <c r="C6730" s="1" t="n">
        <v>45846</v>
      </c>
      <c r="D6730" t="inlineStr">
        <is>
          <t>UPPSALA LÄN</t>
        </is>
      </c>
      <c r="E6730" t="inlineStr">
        <is>
          <t>TIERP</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8199-2025</t>
        </is>
      </c>
      <c r="B6731" s="1" t="n">
        <v>45708</v>
      </c>
      <c r="C6731" s="1" t="n">
        <v>45846</v>
      </c>
      <c r="D6731" t="inlineStr">
        <is>
          <t>UPPSALA LÄN</t>
        </is>
      </c>
      <c r="E6731" t="inlineStr">
        <is>
          <t>HEBY</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8330-2025</t>
        </is>
      </c>
      <c r="B6732" s="1" t="n">
        <v>45708</v>
      </c>
      <c r="C6732" s="1" t="n">
        <v>45846</v>
      </c>
      <c r="D6732" t="inlineStr">
        <is>
          <t>UPPSALA LÄN</t>
        </is>
      </c>
      <c r="E6732" t="inlineStr">
        <is>
          <t>ÖSTHAMMAR</t>
        </is>
      </c>
      <c r="F6732" t="inlineStr">
        <is>
          <t>Övriga Aktiebolag</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8537-2025</t>
        </is>
      </c>
      <c r="B6733" s="1" t="n">
        <v>45709</v>
      </c>
      <c r="C6733" s="1" t="n">
        <v>45846</v>
      </c>
      <c r="D6733" t="inlineStr">
        <is>
          <t>UPPSALA LÄN</t>
        </is>
      </c>
      <c r="E6733" t="inlineStr">
        <is>
          <t>ENKÖPING</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8396-2025</t>
        </is>
      </c>
      <c r="B6734" s="1" t="n">
        <v>45709</v>
      </c>
      <c r="C6734" s="1" t="n">
        <v>45846</v>
      </c>
      <c r="D6734" t="inlineStr">
        <is>
          <t>UPPSALA LÄN</t>
        </is>
      </c>
      <c r="E6734" t="inlineStr">
        <is>
          <t>TIERP</t>
        </is>
      </c>
      <c r="G6734" t="n">
        <v>6.1</v>
      </c>
      <c r="H6734" t="n">
        <v>0</v>
      </c>
      <c r="I6734" t="n">
        <v>0</v>
      </c>
      <c r="J6734" t="n">
        <v>0</v>
      </c>
      <c r="K6734" t="n">
        <v>0</v>
      </c>
      <c r="L6734" t="n">
        <v>0</v>
      </c>
      <c r="M6734" t="n">
        <v>0</v>
      </c>
      <c r="N6734" t="n">
        <v>0</v>
      </c>
      <c r="O6734" t="n">
        <v>0</v>
      </c>
      <c r="P6734" t="n">
        <v>0</v>
      </c>
      <c r="Q6734" t="n">
        <v>0</v>
      </c>
      <c r="R6734" s="2" t="inlineStr"/>
    </row>
    <row r="6735" ht="15" customHeight="1">
      <c r="A6735" t="inlineStr">
        <is>
          <t>A 8624-2025</t>
        </is>
      </c>
      <c r="B6735" s="1" t="n">
        <v>45711</v>
      </c>
      <c r="C6735" s="1" t="n">
        <v>45846</v>
      </c>
      <c r="D6735" t="inlineStr">
        <is>
          <t>UPPSALA LÄN</t>
        </is>
      </c>
      <c r="E6735" t="inlineStr">
        <is>
          <t>ÖSTHAMMAR</t>
        </is>
      </c>
      <c r="F6735" t="inlineStr">
        <is>
          <t>Bergvik skog väst AB</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8626-2025</t>
        </is>
      </c>
      <c r="B6736" s="1" t="n">
        <v>45711</v>
      </c>
      <c r="C6736" s="1" t="n">
        <v>45846</v>
      </c>
      <c r="D6736" t="inlineStr">
        <is>
          <t>UPPSALA LÄN</t>
        </is>
      </c>
      <c r="E6736" t="inlineStr">
        <is>
          <t>ÖSTHAMMAR</t>
        </is>
      </c>
      <c r="F6736" t="inlineStr">
        <is>
          <t>Bergvik skog väst AB</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8623-2025</t>
        </is>
      </c>
      <c r="B6737" s="1" t="n">
        <v>45711</v>
      </c>
      <c r="C6737" s="1" t="n">
        <v>45846</v>
      </c>
      <c r="D6737" t="inlineStr">
        <is>
          <t>UPPSALA LÄN</t>
        </is>
      </c>
      <c r="E6737" t="inlineStr">
        <is>
          <t>ÖSTHAMMAR</t>
        </is>
      </c>
      <c r="F6737" t="inlineStr">
        <is>
          <t>Bergvik skog väst AB</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8791-2025</t>
        </is>
      </c>
      <c r="B6738" s="1" t="n">
        <v>45712</v>
      </c>
      <c r="C6738" s="1" t="n">
        <v>45846</v>
      </c>
      <c r="D6738" t="inlineStr">
        <is>
          <t>UPPSALA LÄN</t>
        </is>
      </c>
      <c r="E6738" t="inlineStr">
        <is>
          <t>ÖSTHAMMAR</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8699-2025</t>
        </is>
      </c>
      <c r="B6739" s="1" t="n">
        <v>45712</v>
      </c>
      <c r="C6739" s="1" t="n">
        <v>45846</v>
      </c>
      <c r="D6739" t="inlineStr">
        <is>
          <t>UPPSALA LÄN</t>
        </is>
      </c>
      <c r="E6739" t="inlineStr">
        <is>
          <t>ÖSTHAMMAR</t>
        </is>
      </c>
      <c r="G6739" t="n">
        <v>5.6</v>
      </c>
      <c r="H6739" t="n">
        <v>0</v>
      </c>
      <c r="I6739" t="n">
        <v>0</v>
      </c>
      <c r="J6739" t="n">
        <v>0</v>
      </c>
      <c r="K6739" t="n">
        <v>0</v>
      </c>
      <c r="L6739" t="n">
        <v>0</v>
      </c>
      <c r="M6739" t="n">
        <v>0</v>
      </c>
      <c r="N6739" t="n">
        <v>0</v>
      </c>
      <c r="O6739" t="n">
        <v>0</v>
      </c>
      <c r="P6739" t="n">
        <v>0</v>
      </c>
      <c r="Q6739" t="n">
        <v>0</v>
      </c>
      <c r="R6739" s="2" t="inlineStr"/>
    </row>
    <row r="6740" ht="15" customHeight="1">
      <c r="A6740" t="inlineStr">
        <is>
          <t>A 8769-2025</t>
        </is>
      </c>
      <c r="B6740" s="1" t="n">
        <v>45712</v>
      </c>
      <c r="C6740" s="1" t="n">
        <v>45846</v>
      </c>
      <c r="D6740" t="inlineStr">
        <is>
          <t>UPPSALA LÄN</t>
        </is>
      </c>
      <c r="E6740" t="inlineStr">
        <is>
          <t>ÖSTHAMMAR</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8763-2025</t>
        </is>
      </c>
      <c r="B6741" s="1" t="n">
        <v>45712</v>
      </c>
      <c r="C6741" s="1" t="n">
        <v>45846</v>
      </c>
      <c r="D6741" t="inlineStr">
        <is>
          <t>UPPSALA LÄN</t>
        </is>
      </c>
      <c r="E6741" t="inlineStr">
        <is>
          <t>ÖSTHAMMAR</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8738-2025</t>
        </is>
      </c>
      <c r="B6742" s="1" t="n">
        <v>45712</v>
      </c>
      <c r="C6742" s="1" t="n">
        <v>45846</v>
      </c>
      <c r="D6742" t="inlineStr">
        <is>
          <t>UPPSALA LÄN</t>
        </is>
      </c>
      <c r="E6742" t="inlineStr">
        <is>
          <t>TIERP</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8871-2025</t>
        </is>
      </c>
      <c r="B6743" s="1" t="n">
        <v>45713</v>
      </c>
      <c r="C6743" s="1" t="n">
        <v>45846</v>
      </c>
      <c r="D6743" t="inlineStr">
        <is>
          <t>UPPSALA LÄN</t>
        </is>
      </c>
      <c r="E6743" t="inlineStr">
        <is>
          <t>HEBY</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8879-2025</t>
        </is>
      </c>
      <c r="B6744" s="1" t="n">
        <v>45713</v>
      </c>
      <c r="C6744" s="1" t="n">
        <v>45846</v>
      </c>
      <c r="D6744" t="inlineStr">
        <is>
          <t>UPPSALA LÄN</t>
        </is>
      </c>
      <c r="E6744" t="inlineStr">
        <is>
          <t>TIERP</t>
        </is>
      </c>
      <c r="F6744" t="inlineStr">
        <is>
          <t>Bergvik skog öst AB</t>
        </is>
      </c>
      <c r="G6744" t="n">
        <v>8.199999999999999</v>
      </c>
      <c r="H6744" t="n">
        <v>0</v>
      </c>
      <c r="I6744" t="n">
        <v>0</v>
      </c>
      <c r="J6744" t="n">
        <v>0</v>
      </c>
      <c r="K6744" t="n">
        <v>0</v>
      </c>
      <c r="L6744" t="n">
        <v>0</v>
      </c>
      <c r="M6744" t="n">
        <v>0</v>
      </c>
      <c r="N6744" t="n">
        <v>0</v>
      </c>
      <c r="O6744" t="n">
        <v>0</v>
      </c>
      <c r="P6744" t="n">
        <v>0</v>
      </c>
      <c r="Q6744" t="n">
        <v>0</v>
      </c>
      <c r="R6744" s="2" t="inlineStr"/>
    </row>
    <row r="6745" ht="15" customHeight="1">
      <c r="A6745" t="inlineStr">
        <is>
          <t>A 8884-2025</t>
        </is>
      </c>
      <c r="B6745" s="1" t="n">
        <v>45713</v>
      </c>
      <c r="C6745" s="1" t="n">
        <v>45846</v>
      </c>
      <c r="D6745" t="inlineStr">
        <is>
          <t>UPPSALA LÄN</t>
        </is>
      </c>
      <c r="E6745" t="inlineStr">
        <is>
          <t>HEBY</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8904-2025</t>
        </is>
      </c>
      <c r="B6746" s="1" t="n">
        <v>45713</v>
      </c>
      <c r="C6746" s="1" t="n">
        <v>45846</v>
      </c>
      <c r="D6746" t="inlineStr">
        <is>
          <t>UPPSALA LÄN</t>
        </is>
      </c>
      <c r="E6746" t="inlineStr">
        <is>
          <t>ÖSTHAMMAR</t>
        </is>
      </c>
      <c r="F6746" t="inlineStr">
        <is>
          <t>Bergvik skog öst AB</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8908-2025</t>
        </is>
      </c>
      <c r="B6747" s="1" t="n">
        <v>45713</v>
      </c>
      <c r="C6747" s="1" t="n">
        <v>45846</v>
      </c>
      <c r="D6747" t="inlineStr">
        <is>
          <t>UPPSALA LÄN</t>
        </is>
      </c>
      <c r="E6747" t="inlineStr">
        <is>
          <t>ÖSTHAMMAR</t>
        </is>
      </c>
      <c r="F6747" t="inlineStr">
        <is>
          <t>Bergvik skog öst AB</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8902-2025</t>
        </is>
      </c>
      <c r="B6748" s="1" t="n">
        <v>45713</v>
      </c>
      <c r="C6748" s="1" t="n">
        <v>45846</v>
      </c>
      <c r="D6748" t="inlineStr">
        <is>
          <t>UPPSALA LÄN</t>
        </is>
      </c>
      <c r="E6748" t="inlineStr">
        <is>
          <t>ÖSTHAMMAR</t>
        </is>
      </c>
      <c r="F6748" t="inlineStr">
        <is>
          <t>Bergvik skog öst AB</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8931-2025</t>
        </is>
      </c>
      <c r="B6749" s="1" t="n">
        <v>45713</v>
      </c>
      <c r="C6749" s="1" t="n">
        <v>45846</v>
      </c>
      <c r="D6749" t="inlineStr">
        <is>
          <t>UPPSALA LÄN</t>
        </is>
      </c>
      <c r="E6749" t="inlineStr">
        <is>
          <t>UPPSALA</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8966-2025</t>
        </is>
      </c>
      <c r="B6750" s="1" t="n">
        <v>45713</v>
      </c>
      <c r="C6750" s="1" t="n">
        <v>45846</v>
      </c>
      <c r="D6750" t="inlineStr">
        <is>
          <t>UPPSALA LÄN</t>
        </is>
      </c>
      <c r="E6750" t="inlineStr">
        <is>
          <t>ÄLVKARLEBY</t>
        </is>
      </c>
      <c r="F6750" t="inlineStr">
        <is>
          <t>Bergvik skog väst AB</t>
        </is>
      </c>
      <c r="G6750" t="n">
        <v>3.8</v>
      </c>
      <c r="H6750" t="n">
        <v>0</v>
      </c>
      <c r="I6750" t="n">
        <v>0</v>
      </c>
      <c r="J6750" t="n">
        <v>0</v>
      </c>
      <c r="K6750" t="n">
        <v>0</v>
      </c>
      <c r="L6750" t="n">
        <v>0</v>
      </c>
      <c r="M6750" t="n">
        <v>0</v>
      </c>
      <c r="N6750" t="n">
        <v>0</v>
      </c>
      <c r="O6750" t="n">
        <v>0</v>
      </c>
      <c r="P6750" t="n">
        <v>0</v>
      </c>
      <c r="Q6750" t="n">
        <v>0</v>
      </c>
      <c r="R6750" s="2" t="inlineStr"/>
    </row>
    <row r="6751" ht="15" customHeight="1">
      <c r="A6751" t="inlineStr">
        <is>
          <t>A 8881-2025</t>
        </is>
      </c>
      <c r="B6751" s="1" t="n">
        <v>45713</v>
      </c>
      <c r="C6751" s="1" t="n">
        <v>45846</v>
      </c>
      <c r="D6751" t="inlineStr">
        <is>
          <t>UPPSALA LÄN</t>
        </is>
      </c>
      <c r="E6751" t="inlineStr">
        <is>
          <t>HEBY</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8874-2025</t>
        </is>
      </c>
      <c r="B6752" s="1" t="n">
        <v>45713</v>
      </c>
      <c r="C6752" s="1" t="n">
        <v>45846</v>
      </c>
      <c r="D6752" t="inlineStr">
        <is>
          <t>UPPSALA LÄN</t>
        </is>
      </c>
      <c r="E6752" t="inlineStr">
        <is>
          <t>ÖSTHAMMAR</t>
        </is>
      </c>
      <c r="G6752" t="n">
        <v>6.3</v>
      </c>
      <c r="H6752" t="n">
        <v>0</v>
      </c>
      <c r="I6752" t="n">
        <v>0</v>
      </c>
      <c r="J6752" t="n">
        <v>0</v>
      </c>
      <c r="K6752" t="n">
        <v>0</v>
      </c>
      <c r="L6752" t="n">
        <v>0</v>
      </c>
      <c r="M6752" t="n">
        <v>0</v>
      </c>
      <c r="N6752" t="n">
        <v>0</v>
      </c>
      <c r="O6752" t="n">
        <v>0</v>
      </c>
      <c r="P6752" t="n">
        <v>0</v>
      </c>
      <c r="Q6752" t="n">
        <v>0</v>
      </c>
      <c r="R6752" s="2" t="inlineStr"/>
    </row>
    <row r="6753" ht="15" customHeight="1">
      <c r="A6753" t="inlineStr">
        <is>
          <t>A 9121-2025</t>
        </is>
      </c>
      <c r="B6753" s="1" t="n">
        <v>45713</v>
      </c>
      <c r="C6753" s="1" t="n">
        <v>45846</v>
      </c>
      <c r="D6753" t="inlineStr">
        <is>
          <t>UPPSALA LÄN</t>
        </is>
      </c>
      <c r="E6753" t="inlineStr">
        <is>
          <t>ÖSTHAMMAR</t>
        </is>
      </c>
      <c r="F6753" t="inlineStr">
        <is>
          <t>Bergvik skog öst AB</t>
        </is>
      </c>
      <c r="G6753" t="n">
        <v>14.6</v>
      </c>
      <c r="H6753" t="n">
        <v>0</v>
      </c>
      <c r="I6753" t="n">
        <v>0</v>
      </c>
      <c r="J6753" t="n">
        <v>0</v>
      </c>
      <c r="K6753" t="n">
        <v>0</v>
      </c>
      <c r="L6753" t="n">
        <v>0</v>
      </c>
      <c r="M6753" t="n">
        <v>0</v>
      </c>
      <c r="N6753" t="n">
        <v>0</v>
      </c>
      <c r="O6753" t="n">
        <v>0</v>
      </c>
      <c r="P6753" t="n">
        <v>0</v>
      </c>
      <c r="Q6753" t="n">
        <v>0</v>
      </c>
      <c r="R6753" s="2" t="inlineStr"/>
    </row>
    <row r="6754" ht="15" customHeight="1">
      <c r="A6754" t="inlineStr">
        <is>
          <t>A 9188-2025</t>
        </is>
      </c>
      <c r="B6754" s="1" t="n">
        <v>45714</v>
      </c>
      <c r="C6754" s="1" t="n">
        <v>45846</v>
      </c>
      <c r="D6754" t="inlineStr">
        <is>
          <t>UPPSALA LÄN</t>
        </is>
      </c>
      <c r="E6754" t="inlineStr">
        <is>
          <t>HEBY</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9235-2025</t>
        </is>
      </c>
      <c r="B6755" s="1" t="n">
        <v>45714</v>
      </c>
      <c r="C6755" s="1" t="n">
        <v>45846</v>
      </c>
      <c r="D6755" t="inlineStr">
        <is>
          <t>UPPSALA LÄN</t>
        </is>
      </c>
      <c r="E6755" t="inlineStr">
        <is>
          <t>UPPSALA</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9303-2025</t>
        </is>
      </c>
      <c r="B6756" s="1" t="n">
        <v>45714</v>
      </c>
      <c r="C6756" s="1" t="n">
        <v>45846</v>
      </c>
      <c r="D6756" t="inlineStr">
        <is>
          <t>UPPSALA LÄN</t>
        </is>
      </c>
      <c r="E6756" t="inlineStr">
        <is>
          <t>ÖSTHAMMAR</t>
        </is>
      </c>
      <c r="F6756" t="inlineStr">
        <is>
          <t>Bergvik skog öst AB</t>
        </is>
      </c>
      <c r="G6756" t="n">
        <v>6.9</v>
      </c>
      <c r="H6756" t="n">
        <v>0</v>
      </c>
      <c r="I6756" t="n">
        <v>0</v>
      </c>
      <c r="J6756" t="n">
        <v>0</v>
      </c>
      <c r="K6756" t="n">
        <v>0</v>
      </c>
      <c r="L6756" t="n">
        <v>0</v>
      </c>
      <c r="M6756" t="n">
        <v>0</v>
      </c>
      <c r="N6756" t="n">
        <v>0</v>
      </c>
      <c r="O6756" t="n">
        <v>0</v>
      </c>
      <c r="P6756" t="n">
        <v>0</v>
      </c>
      <c r="Q6756" t="n">
        <v>0</v>
      </c>
      <c r="R6756" s="2" t="inlineStr"/>
    </row>
    <row r="6757" ht="15" customHeight="1">
      <c r="A6757" t="inlineStr">
        <is>
          <t>A 9307-2025</t>
        </is>
      </c>
      <c r="B6757" s="1" t="n">
        <v>45714</v>
      </c>
      <c r="C6757" s="1" t="n">
        <v>45846</v>
      </c>
      <c r="D6757" t="inlineStr">
        <is>
          <t>UPPSALA LÄN</t>
        </is>
      </c>
      <c r="E6757" t="inlineStr">
        <is>
          <t>ÖSTHAMMAR</t>
        </is>
      </c>
      <c r="F6757" t="inlineStr">
        <is>
          <t>Bergvik skog öst AB</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9311-2025</t>
        </is>
      </c>
      <c r="B6758" s="1" t="n">
        <v>45714</v>
      </c>
      <c r="C6758" s="1" t="n">
        <v>45846</v>
      </c>
      <c r="D6758" t="inlineStr">
        <is>
          <t>UPPSALA LÄN</t>
        </is>
      </c>
      <c r="E6758" t="inlineStr">
        <is>
          <t>ÄLVKARLEBY</t>
        </is>
      </c>
      <c r="F6758" t="inlineStr">
        <is>
          <t>Bergvik skog väst AB</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9212-2025</t>
        </is>
      </c>
      <c r="B6759" s="1" t="n">
        <v>45714</v>
      </c>
      <c r="C6759" s="1" t="n">
        <v>45846</v>
      </c>
      <c r="D6759" t="inlineStr">
        <is>
          <t>UPPSALA LÄN</t>
        </is>
      </c>
      <c r="E6759" t="inlineStr">
        <is>
          <t>ÖSTHAMMAR</t>
        </is>
      </c>
      <c r="G6759" t="n">
        <v>4.7</v>
      </c>
      <c r="H6759" t="n">
        <v>0</v>
      </c>
      <c r="I6759" t="n">
        <v>0</v>
      </c>
      <c r="J6759" t="n">
        <v>0</v>
      </c>
      <c r="K6759" t="n">
        <v>0</v>
      </c>
      <c r="L6759" t="n">
        <v>0</v>
      </c>
      <c r="M6759" t="n">
        <v>0</v>
      </c>
      <c r="N6759" t="n">
        <v>0</v>
      </c>
      <c r="O6759" t="n">
        <v>0</v>
      </c>
      <c r="P6759" t="n">
        <v>0</v>
      </c>
      <c r="Q6759" t="n">
        <v>0</v>
      </c>
      <c r="R6759" s="2" t="inlineStr"/>
    </row>
    <row r="6760" ht="15" customHeight="1">
      <c r="A6760" t="inlineStr">
        <is>
          <t>A 9194-2025</t>
        </is>
      </c>
      <c r="B6760" s="1" t="n">
        <v>45714</v>
      </c>
      <c r="C6760" s="1" t="n">
        <v>45846</v>
      </c>
      <c r="D6760" t="inlineStr">
        <is>
          <t>UPPSALA LÄN</t>
        </is>
      </c>
      <c r="E6760" t="inlineStr">
        <is>
          <t>HEBY</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9304-2025</t>
        </is>
      </c>
      <c r="B6761" s="1" t="n">
        <v>45714</v>
      </c>
      <c r="C6761" s="1" t="n">
        <v>45846</v>
      </c>
      <c r="D6761" t="inlineStr">
        <is>
          <t>UPPSALA LÄN</t>
        </is>
      </c>
      <c r="E6761" t="inlineStr">
        <is>
          <t>ÖSTHAMMAR</t>
        </is>
      </c>
      <c r="F6761" t="inlineStr">
        <is>
          <t>Bergvik skog öst AB</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9487-2025</t>
        </is>
      </c>
      <c r="B6762" s="1" t="n">
        <v>45715</v>
      </c>
      <c r="C6762" s="1" t="n">
        <v>45846</v>
      </c>
      <c r="D6762" t="inlineStr">
        <is>
          <t>UPPSALA LÄN</t>
        </is>
      </c>
      <c r="E6762" t="inlineStr">
        <is>
          <t>ENKÖPING</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9411-2025</t>
        </is>
      </c>
      <c r="B6763" s="1" t="n">
        <v>45715</v>
      </c>
      <c r="C6763" s="1" t="n">
        <v>45846</v>
      </c>
      <c r="D6763" t="inlineStr">
        <is>
          <t>UPPSALA LÄN</t>
        </is>
      </c>
      <c r="E6763" t="inlineStr">
        <is>
          <t>UPPSALA</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9493-2025</t>
        </is>
      </c>
      <c r="B6764" s="1" t="n">
        <v>45715</v>
      </c>
      <c r="C6764" s="1" t="n">
        <v>45846</v>
      </c>
      <c r="D6764" t="inlineStr">
        <is>
          <t>UPPSALA LÄN</t>
        </is>
      </c>
      <c r="E6764" t="inlineStr">
        <is>
          <t>ENKÖPING</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9646-2025</t>
        </is>
      </c>
      <c r="B6765" s="1" t="n">
        <v>45715</v>
      </c>
      <c r="C6765" s="1" t="n">
        <v>45846</v>
      </c>
      <c r="D6765" t="inlineStr">
        <is>
          <t>UPPSALA LÄN</t>
        </is>
      </c>
      <c r="E6765" t="inlineStr">
        <is>
          <t>TIERP</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9533-2025</t>
        </is>
      </c>
      <c r="B6766" s="1" t="n">
        <v>45715</v>
      </c>
      <c r="C6766" s="1" t="n">
        <v>45846</v>
      </c>
      <c r="D6766" t="inlineStr">
        <is>
          <t>UPPSALA LÄN</t>
        </is>
      </c>
      <c r="E6766" t="inlineStr">
        <is>
          <t>ÄLVKARLEBY</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9490-2025</t>
        </is>
      </c>
      <c r="B6767" s="1" t="n">
        <v>45715</v>
      </c>
      <c r="C6767" s="1" t="n">
        <v>45846</v>
      </c>
      <c r="D6767" t="inlineStr">
        <is>
          <t>UPPSALA LÄN</t>
        </is>
      </c>
      <c r="E6767" t="inlineStr">
        <is>
          <t>ENKÖPING</t>
        </is>
      </c>
      <c r="G6767" t="n">
        <v>3.6</v>
      </c>
      <c r="H6767" t="n">
        <v>0</v>
      </c>
      <c r="I6767" t="n">
        <v>0</v>
      </c>
      <c r="J6767" t="n">
        <v>0</v>
      </c>
      <c r="K6767" t="n">
        <v>0</v>
      </c>
      <c r="L6767" t="n">
        <v>0</v>
      </c>
      <c r="M6767" t="n">
        <v>0</v>
      </c>
      <c r="N6767" t="n">
        <v>0</v>
      </c>
      <c r="O6767" t="n">
        <v>0</v>
      </c>
      <c r="P6767" t="n">
        <v>0</v>
      </c>
      <c r="Q6767" t="n">
        <v>0</v>
      </c>
      <c r="R6767" s="2" t="inlineStr"/>
    </row>
    <row r="6768" ht="15" customHeight="1">
      <c r="A6768" t="inlineStr">
        <is>
          <t>A 9641-2025</t>
        </is>
      </c>
      <c r="B6768" s="1" t="n">
        <v>45715</v>
      </c>
      <c r="C6768" s="1" t="n">
        <v>45846</v>
      </c>
      <c r="D6768" t="inlineStr">
        <is>
          <t>UPPSALA LÄN</t>
        </is>
      </c>
      <c r="E6768" t="inlineStr">
        <is>
          <t>TIERP</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9645-2025</t>
        </is>
      </c>
      <c r="B6769" s="1" t="n">
        <v>45715</v>
      </c>
      <c r="C6769" s="1" t="n">
        <v>45846</v>
      </c>
      <c r="D6769" t="inlineStr">
        <is>
          <t>UPPSALA LÄN</t>
        </is>
      </c>
      <c r="E6769" t="inlineStr">
        <is>
          <t>TIERP</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9414-2025</t>
        </is>
      </c>
      <c r="B6770" s="1" t="n">
        <v>45715</v>
      </c>
      <c r="C6770" s="1" t="n">
        <v>45846</v>
      </c>
      <c r="D6770" t="inlineStr">
        <is>
          <t>UPPSALA LÄN</t>
        </is>
      </c>
      <c r="E6770" t="inlineStr">
        <is>
          <t>UPPSALA</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9478-2025</t>
        </is>
      </c>
      <c r="B6771" s="1" t="n">
        <v>45715</v>
      </c>
      <c r="C6771" s="1" t="n">
        <v>45846</v>
      </c>
      <c r="D6771" t="inlineStr">
        <is>
          <t>UPPSALA LÄN</t>
        </is>
      </c>
      <c r="E6771" t="inlineStr">
        <is>
          <t>HEBY</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9774-2025</t>
        </is>
      </c>
      <c r="B6772" s="1" t="n">
        <v>45716</v>
      </c>
      <c r="C6772" s="1" t="n">
        <v>45846</v>
      </c>
      <c r="D6772" t="inlineStr">
        <is>
          <t>UPPSALA LÄN</t>
        </is>
      </c>
      <c r="E6772" t="inlineStr">
        <is>
          <t>ÖSTHAMMAR</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9660-2025</t>
        </is>
      </c>
      <c r="B6773" s="1" t="n">
        <v>45716</v>
      </c>
      <c r="C6773" s="1" t="n">
        <v>45846</v>
      </c>
      <c r="D6773" t="inlineStr">
        <is>
          <t>UPPSALA LÄN</t>
        </is>
      </c>
      <c r="E6773" t="inlineStr">
        <is>
          <t>ENKÖPING</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9656-2025</t>
        </is>
      </c>
      <c r="B6774" s="1" t="n">
        <v>45716</v>
      </c>
      <c r="C6774" s="1" t="n">
        <v>45846</v>
      </c>
      <c r="D6774" t="inlineStr">
        <is>
          <t>UPPSALA LÄN</t>
        </is>
      </c>
      <c r="E6774" t="inlineStr">
        <is>
          <t>ENKÖPING</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9662-2025</t>
        </is>
      </c>
      <c r="B6775" s="1" t="n">
        <v>45716</v>
      </c>
      <c r="C6775" s="1" t="n">
        <v>45846</v>
      </c>
      <c r="D6775" t="inlineStr">
        <is>
          <t>UPPSALA LÄN</t>
        </is>
      </c>
      <c r="E6775" t="inlineStr">
        <is>
          <t>ENKÖPING</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9689-2025</t>
        </is>
      </c>
      <c r="B6776" s="1" t="n">
        <v>45716</v>
      </c>
      <c r="C6776" s="1" t="n">
        <v>45846</v>
      </c>
      <c r="D6776" t="inlineStr">
        <is>
          <t>UPPSALA LÄN</t>
        </is>
      </c>
      <c r="E6776" t="inlineStr">
        <is>
          <t>TIERP</t>
        </is>
      </c>
      <c r="F6776" t="inlineStr">
        <is>
          <t>Bergvik skog öst AB</t>
        </is>
      </c>
      <c r="G6776" t="n">
        <v>6.4</v>
      </c>
      <c r="H6776" t="n">
        <v>0</v>
      </c>
      <c r="I6776" t="n">
        <v>0</v>
      </c>
      <c r="J6776" t="n">
        <v>0</v>
      </c>
      <c r="K6776" t="n">
        <v>0</v>
      </c>
      <c r="L6776" t="n">
        <v>0</v>
      </c>
      <c r="M6776" t="n">
        <v>0</v>
      </c>
      <c r="N6776" t="n">
        <v>0</v>
      </c>
      <c r="O6776" t="n">
        <v>0</v>
      </c>
      <c r="P6776" t="n">
        <v>0</v>
      </c>
      <c r="Q6776" t="n">
        <v>0</v>
      </c>
      <c r="R6776" s="2" t="inlineStr"/>
    </row>
    <row r="6777" ht="15" customHeight="1">
      <c r="A6777" t="inlineStr">
        <is>
          <t>A 9658-2025</t>
        </is>
      </c>
      <c r="B6777" s="1" t="n">
        <v>45716</v>
      </c>
      <c r="C6777" s="1" t="n">
        <v>45846</v>
      </c>
      <c r="D6777" t="inlineStr">
        <is>
          <t>UPPSALA LÄN</t>
        </is>
      </c>
      <c r="E6777" t="inlineStr">
        <is>
          <t>ENKÖPING</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9772-2025</t>
        </is>
      </c>
      <c r="B6778" s="1" t="n">
        <v>45716</v>
      </c>
      <c r="C6778" s="1" t="n">
        <v>45846</v>
      </c>
      <c r="D6778" t="inlineStr">
        <is>
          <t>UPPSALA LÄN</t>
        </is>
      </c>
      <c r="E6778" t="inlineStr">
        <is>
          <t>ÖSTHAMMAR</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10212-2025</t>
        </is>
      </c>
      <c r="B6779" s="1" t="n">
        <v>45719</v>
      </c>
      <c r="C6779" s="1" t="n">
        <v>45846</v>
      </c>
      <c r="D6779" t="inlineStr">
        <is>
          <t>UPPSALA LÄN</t>
        </is>
      </c>
      <c r="E6779" t="inlineStr">
        <is>
          <t>ENKÖPING</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10174-2025</t>
        </is>
      </c>
      <c r="B6780" s="1" t="n">
        <v>45719</v>
      </c>
      <c r="C6780" s="1" t="n">
        <v>45846</v>
      </c>
      <c r="D6780" t="inlineStr">
        <is>
          <t>UPPSALA LÄN</t>
        </is>
      </c>
      <c r="E6780" t="inlineStr">
        <is>
          <t>ÖSTHAMMAR</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9982-2025</t>
        </is>
      </c>
      <c r="B6781" s="1" t="n">
        <v>45719</v>
      </c>
      <c r="C6781" s="1" t="n">
        <v>45846</v>
      </c>
      <c r="D6781" t="inlineStr">
        <is>
          <t>UPPSALA LÄN</t>
        </is>
      </c>
      <c r="E6781" t="inlineStr">
        <is>
          <t>UPPSALA</t>
        </is>
      </c>
      <c r="F6781" t="inlineStr">
        <is>
          <t>Kyrkan</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9984-2025</t>
        </is>
      </c>
      <c r="B6782" s="1" t="n">
        <v>45719</v>
      </c>
      <c r="C6782" s="1" t="n">
        <v>45846</v>
      </c>
      <c r="D6782" t="inlineStr">
        <is>
          <t>UPPSALA LÄN</t>
        </is>
      </c>
      <c r="E6782" t="inlineStr">
        <is>
          <t>UPPSALA</t>
        </is>
      </c>
      <c r="F6782" t="inlineStr">
        <is>
          <t>Kyrkan</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9993-2025</t>
        </is>
      </c>
      <c r="B6783" s="1" t="n">
        <v>45719</v>
      </c>
      <c r="C6783" s="1" t="n">
        <v>45846</v>
      </c>
      <c r="D6783" t="inlineStr">
        <is>
          <t>UPPSALA LÄN</t>
        </is>
      </c>
      <c r="E6783" t="inlineStr">
        <is>
          <t>UPPSALA</t>
        </is>
      </c>
      <c r="F6783" t="inlineStr">
        <is>
          <t>Kyrkan</t>
        </is>
      </c>
      <c r="G6783" t="n">
        <v>6.1</v>
      </c>
      <c r="H6783" t="n">
        <v>0</v>
      </c>
      <c r="I6783" t="n">
        <v>0</v>
      </c>
      <c r="J6783" t="n">
        <v>0</v>
      </c>
      <c r="K6783" t="n">
        <v>0</v>
      </c>
      <c r="L6783" t="n">
        <v>0</v>
      </c>
      <c r="M6783" t="n">
        <v>0</v>
      </c>
      <c r="N6783" t="n">
        <v>0</v>
      </c>
      <c r="O6783" t="n">
        <v>0</v>
      </c>
      <c r="P6783" t="n">
        <v>0</v>
      </c>
      <c r="Q6783" t="n">
        <v>0</v>
      </c>
      <c r="R6783" s="2" t="inlineStr"/>
    </row>
    <row r="6784" ht="15" customHeight="1">
      <c r="A6784" t="inlineStr">
        <is>
          <t>A 10131-2025</t>
        </is>
      </c>
      <c r="B6784" s="1" t="n">
        <v>45719</v>
      </c>
      <c r="C6784" s="1" t="n">
        <v>45846</v>
      </c>
      <c r="D6784" t="inlineStr">
        <is>
          <t>UPPSALA LÄN</t>
        </is>
      </c>
      <c r="E6784" t="inlineStr">
        <is>
          <t>HEBY</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9986-2025</t>
        </is>
      </c>
      <c r="B6785" s="1" t="n">
        <v>45719</v>
      </c>
      <c r="C6785" s="1" t="n">
        <v>45846</v>
      </c>
      <c r="D6785" t="inlineStr">
        <is>
          <t>UPPSALA LÄN</t>
        </is>
      </c>
      <c r="E6785" t="inlineStr">
        <is>
          <t>HEBY</t>
        </is>
      </c>
      <c r="G6785" t="n">
        <v>4.1</v>
      </c>
      <c r="H6785" t="n">
        <v>0</v>
      </c>
      <c r="I6785" t="n">
        <v>0</v>
      </c>
      <c r="J6785" t="n">
        <v>0</v>
      </c>
      <c r="K6785" t="n">
        <v>0</v>
      </c>
      <c r="L6785" t="n">
        <v>0</v>
      </c>
      <c r="M6785" t="n">
        <v>0</v>
      </c>
      <c r="N6785" t="n">
        <v>0</v>
      </c>
      <c r="O6785" t="n">
        <v>0</v>
      </c>
      <c r="P6785" t="n">
        <v>0</v>
      </c>
      <c r="Q6785" t="n">
        <v>0</v>
      </c>
      <c r="R6785" s="2" t="inlineStr"/>
    </row>
    <row r="6786" ht="15" customHeight="1">
      <c r="A6786" t="inlineStr">
        <is>
          <t>A 10076-2025</t>
        </is>
      </c>
      <c r="B6786" s="1" t="n">
        <v>45719</v>
      </c>
      <c r="C6786" s="1" t="n">
        <v>45846</v>
      </c>
      <c r="D6786" t="inlineStr">
        <is>
          <t>UPPSALA LÄN</t>
        </is>
      </c>
      <c r="E6786" t="inlineStr">
        <is>
          <t>ÖSTHAMMAR</t>
        </is>
      </c>
      <c r="G6786" t="n">
        <v>6.5</v>
      </c>
      <c r="H6786" t="n">
        <v>0</v>
      </c>
      <c r="I6786" t="n">
        <v>0</v>
      </c>
      <c r="J6786" t="n">
        <v>0</v>
      </c>
      <c r="K6786" t="n">
        <v>0</v>
      </c>
      <c r="L6786" t="n">
        <v>0</v>
      </c>
      <c r="M6786" t="n">
        <v>0</v>
      </c>
      <c r="N6786" t="n">
        <v>0</v>
      </c>
      <c r="O6786" t="n">
        <v>0</v>
      </c>
      <c r="P6786" t="n">
        <v>0</v>
      </c>
      <c r="Q6786" t="n">
        <v>0</v>
      </c>
      <c r="R6786" s="2" t="inlineStr"/>
    </row>
    <row r="6787" ht="15" customHeight="1">
      <c r="A6787" t="inlineStr">
        <is>
          <t>A 9991-2025</t>
        </is>
      </c>
      <c r="B6787" s="1" t="n">
        <v>45719</v>
      </c>
      <c r="C6787" s="1" t="n">
        <v>45846</v>
      </c>
      <c r="D6787" t="inlineStr">
        <is>
          <t>UPPSALA LÄN</t>
        </is>
      </c>
      <c r="E6787" t="inlineStr">
        <is>
          <t>UPPSALA</t>
        </is>
      </c>
      <c r="F6787" t="inlineStr">
        <is>
          <t>Kyrkan</t>
        </is>
      </c>
      <c r="G6787" t="n">
        <v>6.1</v>
      </c>
      <c r="H6787" t="n">
        <v>0</v>
      </c>
      <c r="I6787" t="n">
        <v>0</v>
      </c>
      <c r="J6787" t="n">
        <v>0</v>
      </c>
      <c r="K6787" t="n">
        <v>0</v>
      </c>
      <c r="L6787" t="n">
        <v>0</v>
      </c>
      <c r="M6787" t="n">
        <v>0</v>
      </c>
      <c r="N6787" t="n">
        <v>0</v>
      </c>
      <c r="O6787" t="n">
        <v>0</v>
      </c>
      <c r="P6787" t="n">
        <v>0</v>
      </c>
      <c r="Q6787" t="n">
        <v>0</v>
      </c>
      <c r="R6787" s="2" t="inlineStr"/>
    </row>
    <row r="6788" ht="15" customHeight="1">
      <c r="A6788" t="inlineStr">
        <is>
          <t>A 10027-2025</t>
        </is>
      </c>
      <c r="B6788" s="1" t="n">
        <v>45719</v>
      </c>
      <c r="C6788" s="1" t="n">
        <v>45846</v>
      </c>
      <c r="D6788" t="inlineStr">
        <is>
          <t>UPPSALA LÄN</t>
        </is>
      </c>
      <c r="E6788" t="inlineStr">
        <is>
          <t>ÖSTHAMMAR</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9981-2025</t>
        </is>
      </c>
      <c r="B6789" s="1" t="n">
        <v>45719</v>
      </c>
      <c r="C6789" s="1" t="n">
        <v>45846</v>
      </c>
      <c r="D6789" t="inlineStr">
        <is>
          <t>UPPSALA LÄN</t>
        </is>
      </c>
      <c r="E6789" t="inlineStr">
        <is>
          <t>UPPSALA</t>
        </is>
      </c>
      <c r="F6789" t="inlineStr">
        <is>
          <t>Kyrkan</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9995-2025</t>
        </is>
      </c>
      <c r="B6790" s="1" t="n">
        <v>45719</v>
      </c>
      <c r="C6790" s="1" t="n">
        <v>45846</v>
      </c>
      <c r="D6790" t="inlineStr">
        <is>
          <t>UPPSALA LÄN</t>
        </is>
      </c>
      <c r="E6790" t="inlineStr">
        <is>
          <t>UPPSALA</t>
        </is>
      </c>
      <c r="F6790" t="inlineStr">
        <is>
          <t>Kyrkan</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10117-2025</t>
        </is>
      </c>
      <c r="B6791" s="1" t="n">
        <v>45719</v>
      </c>
      <c r="C6791" s="1" t="n">
        <v>45846</v>
      </c>
      <c r="D6791" t="inlineStr">
        <is>
          <t>UPPSALA LÄN</t>
        </is>
      </c>
      <c r="E6791" t="inlineStr">
        <is>
          <t>ÖSTHAMMAR</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10241-2025</t>
        </is>
      </c>
      <c r="B6792" s="1" t="n">
        <v>45720</v>
      </c>
      <c r="C6792" s="1" t="n">
        <v>45846</v>
      </c>
      <c r="D6792" t="inlineStr">
        <is>
          <t>UPPSALA LÄN</t>
        </is>
      </c>
      <c r="E6792" t="inlineStr">
        <is>
          <t>HEBY</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10468-2025</t>
        </is>
      </c>
      <c r="B6793" s="1" t="n">
        <v>45720</v>
      </c>
      <c r="C6793" s="1" t="n">
        <v>45846</v>
      </c>
      <c r="D6793" t="inlineStr">
        <is>
          <t>UPPSALA LÄN</t>
        </is>
      </c>
      <c r="E6793" t="inlineStr">
        <is>
          <t>ENKÖPING</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10409-2025</t>
        </is>
      </c>
      <c r="B6794" s="1" t="n">
        <v>45720</v>
      </c>
      <c r="C6794" s="1" t="n">
        <v>45846</v>
      </c>
      <c r="D6794" t="inlineStr">
        <is>
          <t>UPPSALA LÄN</t>
        </is>
      </c>
      <c r="E6794" t="inlineStr">
        <is>
          <t>ENKÖPING</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10394-2025</t>
        </is>
      </c>
      <c r="B6795" s="1" t="n">
        <v>45720</v>
      </c>
      <c r="C6795" s="1" t="n">
        <v>45846</v>
      </c>
      <c r="D6795" t="inlineStr">
        <is>
          <t>UPPSALA LÄN</t>
        </is>
      </c>
      <c r="E6795" t="inlineStr">
        <is>
          <t>UPPSALA</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10226-2025</t>
        </is>
      </c>
      <c r="B6796" s="1" t="n">
        <v>45720</v>
      </c>
      <c r="C6796" s="1" t="n">
        <v>45846</v>
      </c>
      <c r="D6796" t="inlineStr">
        <is>
          <t>UPPSALA LÄN</t>
        </is>
      </c>
      <c r="E6796" t="inlineStr">
        <is>
          <t>KNIVSTA</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10275-2025</t>
        </is>
      </c>
      <c r="B6797" s="1" t="n">
        <v>45720</v>
      </c>
      <c r="C6797" s="1" t="n">
        <v>45846</v>
      </c>
      <c r="D6797" t="inlineStr">
        <is>
          <t>UPPSALA LÄN</t>
        </is>
      </c>
      <c r="E6797" t="inlineStr">
        <is>
          <t>ÖSTHAMMAR</t>
        </is>
      </c>
      <c r="G6797" t="n">
        <v>6.2</v>
      </c>
      <c r="H6797" t="n">
        <v>0</v>
      </c>
      <c r="I6797" t="n">
        <v>0</v>
      </c>
      <c r="J6797" t="n">
        <v>0</v>
      </c>
      <c r="K6797" t="n">
        <v>0</v>
      </c>
      <c r="L6797" t="n">
        <v>0</v>
      </c>
      <c r="M6797" t="n">
        <v>0</v>
      </c>
      <c r="N6797" t="n">
        <v>0</v>
      </c>
      <c r="O6797" t="n">
        <v>0</v>
      </c>
      <c r="P6797" t="n">
        <v>0</v>
      </c>
      <c r="Q6797" t="n">
        <v>0</v>
      </c>
      <c r="R6797" s="2" t="inlineStr"/>
    </row>
    <row r="6798" ht="15" customHeight="1">
      <c r="A6798" t="inlineStr">
        <is>
          <t>A 10227-2025</t>
        </is>
      </c>
      <c r="B6798" s="1" t="n">
        <v>45720</v>
      </c>
      <c r="C6798" s="1" t="n">
        <v>45846</v>
      </c>
      <c r="D6798" t="inlineStr">
        <is>
          <t>UPPSALA LÄN</t>
        </is>
      </c>
      <c r="E6798" t="inlineStr">
        <is>
          <t>TIERP</t>
        </is>
      </c>
      <c r="F6798" t="inlineStr">
        <is>
          <t>Bergvik skog väst AB</t>
        </is>
      </c>
      <c r="G6798" t="n">
        <v>6</v>
      </c>
      <c r="H6798" t="n">
        <v>0</v>
      </c>
      <c r="I6798" t="n">
        <v>0</v>
      </c>
      <c r="J6798" t="n">
        <v>0</v>
      </c>
      <c r="K6798" t="n">
        <v>0</v>
      </c>
      <c r="L6798" t="n">
        <v>0</v>
      </c>
      <c r="M6798" t="n">
        <v>0</v>
      </c>
      <c r="N6798" t="n">
        <v>0</v>
      </c>
      <c r="O6798" t="n">
        <v>0</v>
      </c>
      <c r="P6798" t="n">
        <v>0</v>
      </c>
      <c r="Q6798" t="n">
        <v>0</v>
      </c>
      <c r="R6798" s="2" t="inlineStr"/>
    </row>
    <row r="6799" ht="15" customHeight="1">
      <c r="A6799" t="inlineStr">
        <is>
          <t>A 10290-2025</t>
        </is>
      </c>
      <c r="B6799" s="1" t="n">
        <v>45720</v>
      </c>
      <c r="C6799" s="1" t="n">
        <v>45846</v>
      </c>
      <c r="D6799" t="inlineStr">
        <is>
          <t>UPPSALA LÄN</t>
        </is>
      </c>
      <c r="E6799" t="inlineStr">
        <is>
          <t>ÖSTHAMMAR</t>
        </is>
      </c>
      <c r="G6799" t="n">
        <v>8.6</v>
      </c>
      <c r="H6799" t="n">
        <v>0</v>
      </c>
      <c r="I6799" t="n">
        <v>0</v>
      </c>
      <c r="J6799" t="n">
        <v>0</v>
      </c>
      <c r="K6799" t="n">
        <v>0</v>
      </c>
      <c r="L6799" t="n">
        <v>0</v>
      </c>
      <c r="M6799" t="n">
        <v>0</v>
      </c>
      <c r="N6799" t="n">
        <v>0</v>
      </c>
      <c r="O6799" t="n">
        <v>0</v>
      </c>
      <c r="P6799" t="n">
        <v>0</v>
      </c>
      <c r="Q6799" t="n">
        <v>0</v>
      </c>
      <c r="R6799" s="2" t="inlineStr"/>
    </row>
    <row r="6800" ht="15" customHeight="1">
      <c r="A6800" t="inlineStr">
        <is>
          <t>A 10495-2025</t>
        </is>
      </c>
      <c r="B6800" s="1" t="n">
        <v>45721</v>
      </c>
      <c r="C6800" s="1" t="n">
        <v>45846</v>
      </c>
      <c r="D6800" t="inlineStr">
        <is>
          <t>UPPSALA LÄN</t>
        </is>
      </c>
      <c r="E6800" t="inlineStr">
        <is>
          <t>ÖSTHAMMAR</t>
        </is>
      </c>
      <c r="F6800" t="inlineStr">
        <is>
          <t>Sveaskog</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10524-2025</t>
        </is>
      </c>
      <c r="B6801" s="1" t="n">
        <v>45721</v>
      </c>
      <c r="C6801" s="1" t="n">
        <v>45846</v>
      </c>
      <c r="D6801" t="inlineStr">
        <is>
          <t>UPPSALA LÄN</t>
        </is>
      </c>
      <c r="E6801" t="inlineStr">
        <is>
          <t>TIERP</t>
        </is>
      </c>
      <c r="G6801" t="n">
        <v>11.6</v>
      </c>
      <c r="H6801" t="n">
        <v>0</v>
      </c>
      <c r="I6801" t="n">
        <v>0</v>
      </c>
      <c r="J6801" t="n">
        <v>0</v>
      </c>
      <c r="K6801" t="n">
        <v>0</v>
      </c>
      <c r="L6801" t="n">
        <v>0</v>
      </c>
      <c r="M6801" t="n">
        <v>0</v>
      </c>
      <c r="N6801" t="n">
        <v>0</v>
      </c>
      <c r="O6801" t="n">
        <v>0</v>
      </c>
      <c r="P6801" t="n">
        <v>0</v>
      </c>
      <c r="Q6801" t="n">
        <v>0</v>
      </c>
      <c r="R6801" s="2" t="inlineStr"/>
    </row>
    <row r="6802" ht="15" customHeight="1">
      <c r="A6802" t="inlineStr">
        <is>
          <t>A 10489-2025</t>
        </is>
      </c>
      <c r="B6802" s="1" t="n">
        <v>45721</v>
      </c>
      <c r="C6802" s="1" t="n">
        <v>45846</v>
      </c>
      <c r="D6802" t="inlineStr">
        <is>
          <t>UPPSALA LÄN</t>
        </is>
      </c>
      <c r="E6802" t="inlineStr">
        <is>
          <t>UPPSALA</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10670-2025</t>
        </is>
      </c>
      <c r="B6803" s="1" t="n">
        <v>45721</v>
      </c>
      <c r="C6803" s="1" t="n">
        <v>45846</v>
      </c>
      <c r="D6803" t="inlineStr">
        <is>
          <t>UPPSALA LÄN</t>
        </is>
      </c>
      <c r="E6803" t="inlineStr">
        <is>
          <t>ENKÖPING</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10488-2025</t>
        </is>
      </c>
      <c r="B6804" s="1" t="n">
        <v>45721</v>
      </c>
      <c r="C6804" s="1" t="n">
        <v>45846</v>
      </c>
      <c r="D6804" t="inlineStr">
        <is>
          <t>UPPSALA LÄN</t>
        </is>
      </c>
      <c r="E6804" t="inlineStr">
        <is>
          <t>UPPSALA</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10490-2025</t>
        </is>
      </c>
      <c r="B6805" s="1" t="n">
        <v>45721</v>
      </c>
      <c r="C6805" s="1" t="n">
        <v>45846</v>
      </c>
      <c r="D6805" t="inlineStr">
        <is>
          <t>UPPSALA LÄN</t>
        </is>
      </c>
      <c r="E6805" t="inlineStr">
        <is>
          <t>UPPSALA</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10612-2025</t>
        </is>
      </c>
      <c r="B6806" s="1" t="n">
        <v>45721</v>
      </c>
      <c r="C6806" s="1" t="n">
        <v>45846</v>
      </c>
      <c r="D6806" t="inlineStr">
        <is>
          <t>UPPSALA LÄN</t>
        </is>
      </c>
      <c r="E6806" t="inlineStr">
        <is>
          <t>UPPSALA</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10885-2025</t>
        </is>
      </c>
      <c r="B6807" s="1" t="n">
        <v>45722</v>
      </c>
      <c r="C6807" s="1" t="n">
        <v>45846</v>
      </c>
      <c r="D6807" t="inlineStr">
        <is>
          <t>UPPSALA LÄN</t>
        </is>
      </c>
      <c r="E6807" t="inlineStr">
        <is>
          <t>TIERP</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10730-2025</t>
        </is>
      </c>
      <c r="B6808" s="1" t="n">
        <v>45722</v>
      </c>
      <c r="C6808" s="1" t="n">
        <v>45846</v>
      </c>
      <c r="D6808" t="inlineStr">
        <is>
          <t>UPPSALA LÄN</t>
        </is>
      </c>
      <c r="E6808" t="inlineStr">
        <is>
          <t>ÖSTHAMMAR</t>
        </is>
      </c>
      <c r="F6808" t="inlineStr">
        <is>
          <t>Bergvik skog öst AB</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10723-2025</t>
        </is>
      </c>
      <c r="B6809" s="1" t="n">
        <v>45722</v>
      </c>
      <c r="C6809" s="1" t="n">
        <v>45846</v>
      </c>
      <c r="D6809" t="inlineStr">
        <is>
          <t>UPPSALA LÄN</t>
        </is>
      </c>
      <c r="E6809" t="inlineStr">
        <is>
          <t>TIERP</t>
        </is>
      </c>
      <c r="F6809" t="inlineStr">
        <is>
          <t>Bergvik skog öst AB</t>
        </is>
      </c>
      <c r="G6809" t="n">
        <v>3.6</v>
      </c>
      <c r="H6809" t="n">
        <v>0</v>
      </c>
      <c r="I6809" t="n">
        <v>0</v>
      </c>
      <c r="J6809" t="n">
        <v>0</v>
      </c>
      <c r="K6809" t="n">
        <v>0</v>
      </c>
      <c r="L6809" t="n">
        <v>0</v>
      </c>
      <c r="M6809" t="n">
        <v>0</v>
      </c>
      <c r="N6809" t="n">
        <v>0</v>
      </c>
      <c r="O6809" t="n">
        <v>0</v>
      </c>
      <c r="P6809" t="n">
        <v>0</v>
      </c>
      <c r="Q6809" t="n">
        <v>0</v>
      </c>
      <c r="R6809" s="2" t="inlineStr"/>
    </row>
    <row r="6810" ht="15" customHeight="1">
      <c r="A6810" t="inlineStr">
        <is>
          <t>A 11060-2025</t>
        </is>
      </c>
      <c r="B6810" s="1" t="n">
        <v>45723</v>
      </c>
      <c r="C6810" s="1" t="n">
        <v>45846</v>
      </c>
      <c r="D6810" t="inlineStr">
        <is>
          <t>UPPSALA LÄN</t>
        </is>
      </c>
      <c r="E6810" t="inlineStr">
        <is>
          <t>HEBY</t>
        </is>
      </c>
      <c r="F6810" t="inlineStr">
        <is>
          <t>Kyrkan</t>
        </is>
      </c>
      <c r="G6810" t="n">
        <v>4.6</v>
      </c>
      <c r="H6810" t="n">
        <v>0</v>
      </c>
      <c r="I6810" t="n">
        <v>0</v>
      </c>
      <c r="J6810" t="n">
        <v>0</v>
      </c>
      <c r="K6810" t="n">
        <v>0</v>
      </c>
      <c r="L6810" t="n">
        <v>0</v>
      </c>
      <c r="M6810" t="n">
        <v>0</v>
      </c>
      <c r="N6810" t="n">
        <v>0</v>
      </c>
      <c r="O6810" t="n">
        <v>0</v>
      </c>
      <c r="P6810" t="n">
        <v>0</v>
      </c>
      <c r="Q6810" t="n">
        <v>0</v>
      </c>
      <c r="R6810" s="2" t="inlineStr"/>
    </row>
    <row r="6811" ht="15" customHeight="1">
      <c r="A6811" t="inlineStr">
        <is>
          <t>A 11103-2025</t>
        </is>
      </c>
      <c r="B6811" s="1" t="n">
        <v>45723</v>
      </c>
      <c r="C6811" s="1" t="n">
        <v>45846</v>
      </c>
      <c r="D6811" t="inlineStr">
        <is>
          <t>UPPSALA LÄN</t>
        </is>
      </c>
      <c r="E6811" t="inlineStr">
        <is>
          <t>UPPSALA</t>
        </is>
      </c>
      <c r="G6811" t="n">
        <v>7.9</v>
      </c>
      <c r="H6811" t="n">
        <v>0</v>
      </c>
      <c r="I6811" t="n">
        <v>0</v>
      </c>
      <c r="J6811" t="n">
        <v>0</v>
      </c>
      <c r="K6811" t="n">
        <v>0</v>
      </c>
      <c r="L6811" t="n">
        <v>0</v>
      </c>
      <c r="M6811" t="n">
        <v>0</v>
      </c>
      <c r="N6811" t="n">
        <v>0</v>
      </c>
      <c r="O6811" t="n">
        <v>0</v>
      </c>
      <c r="P6811" t="n">
        <v>0</v>
      </c>
      <c r="Q6811" t="n">
        <v>0</v>
      </c>
      <c r="R6811" s="2" t="inlineStr"/>
    </row>
    <row r="6812" ht="15" customHeight="1">
      <c r="A6812" t="inlineStr">
        <is>
          <t>A 11119-2025</t>
        </is>
      </c>
      <c r="B6812" s="1" t="n">
        <v>45723</v>
      </c>
      <c r="C6812" s="1" t="n">
        <v>45846</v>
      </c>
      <c r="D6812" t="inlineStr">
        <is>
          <t>UPPSALA LÄN</t>
        </is>
      </c>
      <c r="E6812" t="inlineStr">
        <is>
          <t>UPPSALA</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11009-2025</t>
        </is>
      </c>
      <c r="B6813" s="1" t="n">
        <v>45723</v>
      </c>
      <c r="C6813" s="1" t="n">
        <v>45846</v>
      </c>
      <c r="D6813" t="inlineStr">
        <is>
          <t>UPPSALA LÄN</t>
        </is>
      </c>
      <c r="E6813" t="inlineStr">
        <is>
          <t>HEBY</t>
        </is>
      </c>
      <c r="F6813" t="inlineStr">
        <is>
          <t>Kyrkan</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11011-2025</t>
        </is>
      </c>
      <c r="B6814" s="1" t="n">
        <v>45723</v>
      </c>
      <c r="C6814" s="1" t="n">
        <v>45846</v>
      </c>
      <c r="D6814" t="inlineStr">
        <is>
          <t>UPPSALA LÄN</t>
        </is>
      </c>
      <c r="E6814" t="inlineStr">
        <is>
          <t>HEBY</t>
        </is>
      </c>
      <c r="F6814" t="inlineStr">
        <is>
          <t>Kyrkan</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11074-2025</t>
        </is>
      </c>
      <c r="B6815" s="1" t="n">
        <v>45723</v>
      </c>
      <c r="C6815" s="1" t="n">
        <v>45846</v>
      </c>
      <c r="D6815" t="inlineStr">
        <is>
          <t>UPPSALA LÄN</t>
        </is>
      </c>
      <c r="E6815" t="inlineStr">
        <is>
          <t>HEBY</t>
        </is>
      </c>
      <c r="F6815" t="inlineStr">
        <is>
          <t>Kyrkan</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11059-2025</t>
        </is>
      </c>
      <c r="B6816" s="1" t="n">
        <v>45723</v>
      </c>
      <c r="C6816" s="1" t="n">
        <v>45846</v>
      </c>
      <c r="D6816" t="inlineStr">
        <is>
          <t>UPPSALA LÄN</t>
        </is>
      </c>
      <c r="E6816" t="inlineStr">
        <is>
          <t>HEBY</t>
        </is>
      </c>
      <c r="F6816" t="inlineStr">
        <is>
          <t>Kyrkan</t>
        </is>
      </c>
      <c r="G6816" t="n">
        <v>4.6</v>
      </c>
      <c r="H6816" t="n">
        <v>0</v>
      </c>
      <c r="I6816" t="n">
        <v>0</v>
      </c>
      <c r="J6816" t="n">
        <v>0</v>
      </c>
      <c r="K6816" t="n">
        <v>0</v>
      </c>
      <c r="L6816" t="n">
        <v>0</v>
      </c>
      <c r="M6816" t="n">
        <v>0</v>
      </c>
      <c r="N6816" t="n">
        <v>0</v>
      </c>
      <c r="O6816" t="n">
        <v>0</v>
      </c>
      <c r="P6816" t="n">
        <v>0</v>
      </c>
      <c r="Q6816" t="n">
        <v>0</v>
      </c>
      <c r="R6816" s="2" t="inlineStr"/>
    </row>
    <row r="6817" ht="15" customHeight="1">
      <c r="A6817" t="inlineStr">
        <is>
          <t>A 11075-2025</t>
        </is>
      </c>
      <c r="B6817" s="1" t="n">
        <v>45723</v>
      </c>
      <c r="C6817" s="1" t="n">
        <v>45846</v>
      </c>
      <c r="D6817" t="inlineStr">
        <is>
          <t>UPPSALA LÄN</t>
        </is>
      </c>
      <c r="E6817" t="inlineStr">
        <is>
          <t>HEBY</t>
        </is>
      </c>
      <c r="F6817" t="inlineStr">
        <is>
          <t>Kyrkan</t>
        </is>
      </c>
      <c r="G6817" t="n">
        <v>3.7</v>
      </c>
      <c r="H6817" t="n">
        <v>0</v>
      </c>
      <c r="I6817" t="n">
        <v>0</v>
      </c>
      <c r="J6817" t="n">
        <v>0</v>
      </c>
      <c r="K6817" t="n">
        <v>0</v>
      </c>
      <c r="L6817" t="n">
        <v>0</v>
      </c>
      <c r="M6817" t="n">
        <v>0</v>
      </c>
      <c r="N6817" t="n">
        <v>0</v>
      </c>
      <c r="O6817" t="n">
        <v>0</v>
      </c>
      <c r="P6817" t="n">
        <v>0</v>
      </c>
      <c r="Q6817" t="n">
        <v>0</v>
      </c>
      <c r="R6817" s="2" t="inlineStr"/>
    </row>
    <row r="6818" ht="15" customHeight="1">
      <c r="A6818" t="inlineStr">
        <is>
          <t>A 11184-2025</t>
        </is>
      </c>
      <c r="B6818" s="1" t="n">
        <v>45725</v>
      </c>
      <c r="C6818" s="1" t="n">
        <v>45846</v>
      </c>
      <c r="D6818" t="inlineStr">
        <is>
          <t>UPPSALA LÄN</t>
        </is>
      </c>
      <c r="E6818" t="inlineStr">
        <is>
          <t>UPPSALA</t>
        </is>
      </c>
      <c r="F6818" t="inlineStr">
        <is>
          <t>Bergvik skog öst AB</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11339-2025</t>
        </is>
      </c>
      <c r="B6819" s="1" t="n">
        <v>45726</v>
      </c>
      <c r="C6819" s="1" t="n">
        <v>45846</v>
      </c>
      <c r="D6819" t="inlineStr">
        <is>
          <t>UPPSALA LÄN</t>
        </is>
      </c>
      <c r="E6819" t="inlineStr">
        <is>
          <t>UPPSALA</t>
        </is>
      </c>
      <c r="G6819" t="n">
        <v>13.4</v>
      </c>
      <c r="H6819" t="n">
        <v>0</v>
      </c>
      <c r="I6819" t="n">
        <v>0</v>
      </c>
      <c r="J6819" t="n">
        <v>0</v>
      </c>
      <c r="K6819" t="n">
        <v>0</v>
      </c>
      <c r="L6819" t="n">
        <v>0</v>
      </c>
      <c r="M6819" t="n">
        <v>0</v>
      </c>
      <c r="N6819" t="n">
        <v>0</v>
      </c>
      <c r="O6819" t="n">
        <v>0</v>
      </c>
      <c r="P6819" t="n">
        <v>0</v>
      </c>
      <c r="Q6819" t="n">
        <v>0</v>
      </c>
      <c r="R6819" s="2" t="inlineStr"/>
    </row>
    <row r="6820" ht="15" customHeight="1">
      <c r="A6820" t="inlineStr">
        <is>
          <t>A 11306-2025</t>
        </is>
      </c>
      <c r="B6820" s="1" t="n">
        <v>45726</v>
      </c>
      <c r="C6820" s="1" t="n">
        <v>45846</v>
      </c>
      <c r="D6820" t="inlineStr">
        <is>
          <t>UPPSALA LÄN</t>
        </is>
      </c>
      <c r="E6820" t="inlineStr">
        <is>
          <t>TIERP</t>
        </is>
      </c>
      <c r="F6820" t="inlineStr">
        <is>
          <t>Bergvik skog öst AB</t>
        </is>
      </c>
      <c r="G6820" t="n">
        <v>5.7</v>
      </c>
      <c r="H6820" t="n">
        <v>0</v>
      </c>
      <c r="I6820" t="n">
        <v>0</v>
      </c>
      <c r="J6820" t="n">
        <v>0</v>
      </c>
      <c r="K6820" t="n">
        <v>0</v>
      </c>
      <c r="L6820" t="n">
        <v>0</v>
      </c>
      <c r="M6820" t="n">
        <v>0</v>
      </c>
      <c r="N6820" t="n">
        <v>0</v>
      </c>
      <c r="O6820" t="n">
        <v>0</v>
      </c>
      <c r="P6820" t="n">
        <v>0</v>
      </c>
      <c r="Q6820" t="n">
        <v>0</v>
      </c>
      <c r="R6820" s="2" t="inlineStr"/>
    </row>
    <row r="6821" ht="15" customHeight="1">
      <c r="A6821" t="inlineStr">
        <is>
          <t>A 11302-2025</t>
        </is>
      </c>
      <c r="B6821" s="1" t="n">
        <v>45726</v>
      </c>
      <c r="C6821" s="1" t="n">
        <v>45846</v>
      </c>
      <c r="D6821" t="inlineStr">
        <is>
          <t>UPPSALA LÄN</t>
        </is>
      </c>
      <c r="E6821" t="inlineStr">
        <is>
          <t>TIERP</t>
        </is>
      </c>
      <c r="F6821" t="inlineStr">
        <is>
          <t>Bergvik skog öst AB</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11491-2025</t>
        </is>
      </c>
      <c r="B6822" s="1" t="n">
        <v>45726</v>
      </c>
      <c r="C6822" s="1" t="n">
        <v>45846</v>
      </c>
      <c r="D6822" t="inlineStr">
        <is>
          <t>UPPSALA LÄN</t>
        </is>
      </c>
      <c r="E6822" t="inlineStr">
        <is>
          <t>ÖSTHAMMAR</t>
        </is>
      </c>
      <c r="F6822" t="inlineStr">
        <is>
          <t>Bergvik skog öst AB</t>
        </is>
      </c>
      <c r="G6822" t="n">
        <v>24.4</v>
      </c>
      <c r="H6822" t="n">
        <v>0</v>
      </c>
      <c r="I6822" t="n">
        <v>0</v>
      </c>
      <c r="J6822" t="n">
        <v>0</v>
      </c>
      <c r="K6822" t="n">
        <v>0</v>
      </c>
      <c r="L6822" t="n">
        <v>0</v>
      </c>
      <c r="M6822" t="n">
        <v>0</v>
      </c>
      <c r="N6822" t="n">
        <v>0</v>
      </c>
      <c r="O6822" t="n">
        <v>0</v>
      </c>
      <c r="P6822" t="n">
        <v>0</v>
      </c>
      <c r="Q6822" t="n">
        <v>0</v>
      </c>
      <c r="R6822" s="2" t="inlineStr"/>
    </row>
    <row r="6823" ht="15" customHeight="1">
      <c r="A6823" t="inlineStr">
        <is>
          <t>A 11255-2025</t>
        </is>
      </c>
      <c r="B6823" s="1" t="n">
        <v>45726</v>
      </c>
      <c r="C6823" s="1" t="n">
        <v>45846</v>
      </c>
      <c r="D6823" t="inlineStr">
        <is>
          <t>UPPSALA LÄN</t>
        </is>
      </c>
      <c r="E6823" t="inlineStr">
        <is>
          <t>ÖSTHAMMAR</t>
        </is>
      </c>
      <c r="F6823" t="inlineStr">
        <is>
          <t>Kyrkan</t>
        </is>
      </c>
      <c r="G6823" t="n">
        <v>5.8</v>
      </c>
      <c r="H6823" t="n">
        <v>0</v>
      </c>
      <c r="I6823" t="n">
        <v>0</v>
      </c>
      <c r="J6823" t="n">
        <v>0</v>
      </c>
      <c r="K6823" t="n">
        <v>0</v>
      </c>
      <c r="L6823" t="n">
        <v>0</v>
      </c>
      <c r="M6823" t="n">
        <v>0</v>
      </c>
      <c r="N6823" t="n">
        <v>0</v>
      </c>
      <c r="O6823" t="n">
        <v>0</v>
      </c>
      <c r="P6823" t="n">
        <v>0</v>
      </c>
      <c r="Q6823" t="n">
        <v>0</v>
      </c>
      <c r="R6823" s="2" t="inlineStr"/>
    </row>
    <row r="6824" ht="15" customHeight="1">
      <c r="A6824" t="inlineStr">
        <is>
          <t>A 11308-2025</t>
        </is>
      </c>
      <c r="B6824" s="1" t="n">
        <v>45726</v>
      </c>
      <c r="C6824" s="1" t="n">
        <v>45846</v>
      </c>
      <c r="D6824" t="inlineStr">
        <is>
          <t>UPPSALA LÄN</t>
        </is>
      </c>
      <c r="E6824" t="inlineStr">
        <is>
          <t>TIERP</t>
        </is>
      </c>
      <c r="F6824" t="inlineStr">
        <is>
          <t>Bergvik skog öst AB</t>
        </is>
      </c>
      <c r="G6824" t="n">
        <v>13.5</v>
      </c>
      <c r="H6824" t="n">
        <v>0</v>
      </c>
      <c r="I6824" t="n">
        <v>0</v>
      </c>
      <c r="J6824" t="n">
        <v>0</v>
      </c>
      <c r="K6824" t="n">
        <v>0</v>
      </c>
      <c r="L6824" t="n">
        <v>0</v>
      </c>
      <c r="M6824" t="n">
        <v>0</v>
      </c>
      <c r="N6824" t="n">
        <v>0</v>
      </c>
      <c r="O6824" t="n">
        <v>0</v>
      </c>
      <c r="P6824" t="n">
        <v>0</v>
      </c>
      <c r="Q6824" t="n">
        <v>0</v>
      </c>
      <c r="R6824" s="2" t="inlineStr"/>
    </row>
    <row r="6825" ht="15" customHeight="1">
      <c r="A6825" t="inlineStr">
        <is>
          <t>A 11379-2025</t>
        </is>
      </c>
      <c r="B6825" s="1" t="n">
        <v>45726</v>
      </c>
      <c r="C6825" s="1" t="n">
        <v>45846</v>
      </c>
      <c r="D6825" t="inlineStr">
        <is>
          <t>UPPSALA LÄN</t>
        </is>
      </c>
      <c r="E6825" t="inlineStr">
        <is>
          <t>HEBY</t>
        </is>
      </c>
      <c r="G6825" t="n">
        <v>6.8</v>
      </c>
      <c r="H6825" t="n">
        <v>0</v>
      </c>
      <c r="I6825" t="n">
        <v>0</v>
      </c>
      <c r="J6825" t="n">
        <v>0</v>
      </c>
      <c r="K6825" t="n">
        <v>0</v>
      </c>
      <c r="L6825" t="n">
        <v>0</v>
      </c>
      <c r="M6825" t="n">
        <v>0</v>
      </c>
      <c r="N6825" t="n">
        <v>0</v>
      </c>
      <c r="O6825" t="n">
        <v>0</v>
      </c>
      <c r="P6825" t="n">
        <v>0</v>
      </c>
      <c r="Q6825" t="n">
        <v>0</v>
      </c>
      <c r="R6825" s="2" t="inlineStr"/>
    </row>
    <row r="6826" ht="15" customHeight="1">
      <c r="A6826" t="inlineStr">
        <is>
          <t>A 11384-2025</t>
        </is>
      </c>
      <c r="B6826" s="1" t="n">
        <v>45726</v>
      </c>
      <c r="C6826" s="1" t="n">
        <v>45846</v>
      </c>
      <c r="D6826" t="inlineStr">
        <is>
          <t>UPPSALA LÄN</t>
        </is>
      </c>
      <c r="E6826" t="inlineStr">
        <is>
          <t>HEBY</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11409-2025</t>
        </is>
      </c>
      <c r="B6827" s="1" t="n">
        <v>45726</v>
      </c>
      <c r="C6827" s="1" t="n">
        <v>45846</v>
      </c>
      <c r="D6827" t="inlineStr">
        <is>
          <t>UPPSALA LÄN</t>
        </is>
      </c>
      <c r="E6827" t="inlineStr">
        <is>
          <t>UPPSALA</t>
        </is>
      </c>
      <c r="G6827" t="n">
        <v>0.3</v>
      </c>
      <c r="H6827" t="n">
        <v>0</v>
      </c>
      <c r="I6827" t="n">
        <v>0</v>
      </c>
      <c r="J6827" t="n">
        <v>0</v>
      </c>
      <c r="K6827" t="n">
        <v>0</v>
      </c>
      <c r="L6827" t="n">
        <v>0</v>
      </c>
      <c r="M6827" t="n">
        <v>0</v>
      </c>
      <c r="N6827" t="n">
        <v>0</v>
      </c>
      <c r="O6827" t="n">
        <v>0</v>
      </c>
      <c r="P6827" t="n">
        <v>0</v>
      </c>
      <c r="Q6827" t="n">
        <v>0</v>
      </c>
      <c r="R6827" s="2" t="inlineStr"/>
    </row>
    <row r="6828" ht="15" customHeight="1">
      <c r="A6828" t="inlineStr">
        <is>
          <t>A 11380-2025</t>
        </is>
      </c>
      <c r="B6828" s="1" t="n">
        <v>45726</v>
      </c>
      <c r="C6828" s="1" t="n">
        <v>45846</v>
      </c>
      <c r="D6828" t="inlineStr">
        <is>
          <t>UPPSALA LÄN</t>
        </is>
      </c>
      <c r="E6828" t="inlineStr">
        <is>
          <t>ENKÖPING</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11612-2025</t>
        </is>
      </c>
      <c r="B6829" s="1" t="n">
        <v>45727</v>
      </c>
      <c r="C6829" s="1" t="n">
        <v>45846</v>
      </c>
      <c r="D6829" t="inlineStr">
        <is>
          <t>UPPSALA LÄN</t>
        </is>
      </c>
      <c r="E6829" t="inlineStr">
        <is>
          <t>ÖSTHAMMAR</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11604-2025</t>
        </is>
      </c>
      <c r="B6830" s="1" t="n">
        <v>45727</v>
      </c>
      <c r="C6830" s="1" t="n">
        <v>45846</v>
      </c>
      <c r="D6830" t="inlineStr">
        <is>
          <t>UPPSALA LÄN</t>
        </is>
      </c>
      <c r="E6830" t="inlineStr">
        <is>
          <t>ENKÖPING</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11610-2025</t>
        </is>
      </c>
      <c r="B6831" s="1" t="n">
        <v>45727</v>
      </c>
      <c r="C6831" s="1" t="n">
        <v>45846</v>
      </c>
      <c r="D6831" t="inlineStr">
        <is>
          <t>UPPSALA LÄN</t>
        </is>
      </c>
      <c r="E6831" t="inlineStr">
        <is>
          <t>TIERP</t>
        </is>
      </c>
      <c r="F6831" t="inlineStr">
        <is>
          <t>Bergvik skog väst AB</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11627-2025</t>
        </is>
      </c>
      <c r="B6832" s="1" t="n">
        <v>45727</v>
      </c>
      <c r="C6832" s="1" t="n">
        <v>45846</v>
      </c>
      <c r="D6832" t="inlineStr">
        <is>
          <t>UPPSALA LÄN</t>
        </is>
      </c>
      <c r="E6832" t="inlineStr">
        <is>
          <t>ENKÖPING</t>
        </is>
      </c>
      <c r="G6832" t="n">
        <v>5.5</v>
      </c>
      <c r="H6832" t="n">
        <v>0</v>
      </c>
      <c r="I6832" t="n">
        <v>0</v>
      </c>
      <c r="J6832" t="n">
        <v>0</v>
      </c>
      <c r="K6832" t="n">
        <v>0</v>
      </c>
      <c r="L6832" t="n">
        <v>0</v>
      </c>
      <c r="M6832" t="n">
        <v>0</v>
      </c>
      <c r="N6832" t="n">
        <v>0</v>
      </c>
      <c r="O6832" t="n">
        <v>0</v>
      </c>
      <c r="P6832" t="n">
        <v>0</v>
      </c>
      <c r="Q6832" t="n">
        <v>0</v>
      </c>
      <c r="R6832" s="2" t="inlineStr"/>
    </row>
    <row r="6833" ht="15" customHeight="1">
      <c r="A6833" t="inlineStr">
        <is>
          <t>A 11528-2025</t>
        </is>
      </c>
      <c r="B6833" s="1" t="n">
        <v>45727</v>
      </c>
      <c r="C6833" s="1" t="n">
        <v>45846</v>
      </c>
      <c r="D6833" t="inlineStr">
        <is>
          <t>UPPSALA LÄN</t>
        </is>
      </c>
      <c r="E6833" t="inlineStr">
        <is>
          <t>TIERP</t>
        </is>
      </c>
      <c r="G6833" t="n">
        <v>5.1</v>
      </c>
      <c r="H6833" t="n">
        <v>0</v>
      </c>
      <c r="I6833" t="n">
        <v>0</v>
      </c>
      <c r="J6833" t="n">
        <v>0</v>
      </c>
      <c r="K6833" t="n">
        <v>0</v>
      </c>
      <c r="L6833" t="n">
        <v>0</v>
      </c>
      <c r="M6833" t="n">
        <v>0</v>
      </c>
      <c r="N6833" t="n">
        <v>0</v>
      </c>
      <c r="O6833" t="n">
        <v>0</v>
      </c>
      <c r="P6833" t="n">
        <v>0</v>
      </c>
      <c r="Q6833" t="n">
        <v>0</v>
      </c>
      <c r="R6833" s="2" t="inlineStr"/>
    </row>
    <row r="6834" ht="15" customHeight="1">
      <c r="A6834" t="inlineStr">
        <is>
          <t>A 11573-2025</t>
        </is>
      </c>
      <c r="B6834" s="1" t="n">
        <v>45727</v>
      </c>
      <c r="C6834" s="1" t="n">
        <v>45846</v>
      </c>
      <c r="D6834" t="inlineStr">
        <is>
          <t>UPPSALA LÄN</t>
        </is>
      </c>
      <c r="E6834" t="inlineStr">
        <is>
          <t>HEBY</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11572-2025</t>
        </is>
      </c>
      <c r="B6835" s="1" t="n">
        <v>45727</v>
      </c>
      <c r="C6835" s="1" t="n">
        <v>45846</v>
      </c>
      <c r="D6835" t="inlineStr">
        <is>
          <t>UPPSALA LÄN</t>
        </is>
      </c>
      <c r="E6835" t="inlineStr">
        <is>
          <t>TIERP</t>
        </is>
      </c>
      <c r="F6835" t="inlineStr">
        <is>
          <t>Bergvik skog öst AB</t>
        </is>
      </c>
      <c r="G6835" t="n">
        <v>9.800000000000001</v>
      </c>
      <c r="H6835" t="n">
        <v>0</v>
      </c>
      <c r="I6835" t="n">
        <v>0</v>
      </c>
      <c r="J6835" t="n">
        <v>0</v>
      </c>
      <c r="K6835" t="n">
        <v>0</v>
      </c>
      <c r="L6835" t="n">
        <v>0</v>
      </c>
      <c r="M6835" t="n">
        <v>0</v>
      </c>
      <c r="N6835" t="n">
        <v>0</v>
      </c>
      <c r="O6835" t="n">
        <v>0</v>
      </c>
      <c r="P6835" t="n">
        <v>0</v>
      </c>
      <c r="Q6835" t="n">
        <v>0</v>
      </c>
      <c r="R6835" s="2" t="inlineStr"/>
    </row>
    <row r="6836" ht="15" customHeight="1">
      <c r="A6836" t="inlineStr">
        <is>
          <t>A 11568-2025</t>
        </is>
      </c>
      <c r="B6836" s="1" t="n">
        <v>45727</v>
      </c>
      <c r="C6836" s="1" t="n">
        <v>45846</v>
      </c>
      <c r="D6836" t="inlineStr">
        <is>
          <t>UPPSALA LÄN</t>
        </is>
      </c>
      <c r="E6836" t="inlineStr">
        <is>
          <t>TIERP</t>
        </is>
      </c>
      <c r="F6836" t="inlineStr">
        <is>
          <t>Bergvik skog öst AB</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11570-2025</t>
        </is>
      </c>
      <c r="B6837" s="1" t="n">
        <v>45727</v>
      </c>
      <c r="C6837" s="1" t="n">
        <v>45846</v>
      </c>
      <c r="D6837" t="inlineStr">
        <is>
          <t>UPPSALA LÄN</t>
        </is>
      </c>
      <c r="E6837" t="inlineStr">
        <is>
          <t>TIERP</t>
        </is>
      </c>
      <c r="F6837" t="inlineStr">
        <is>
          <t>Bergvik skog öst AB</t>
        </is>
      </c>
      <c r="G6837" t="n">
        <v>3.7</v>
      </c>
      <c r="H6837" t="n">
        <v>0</v>
      </c>
      <c r="I6837" t="n">
        <v>0</v>
      </c>
      <c r="J6837" t="n">
        <v>0</v>
      </c>
      <c r="K6837" t="n">
        <v>0</v>
      </c>
      <c r="L6837" t="n">
        <v>0</v>
      </c>
      <c r="M6837" t="n">
        <v>0</v>
      </c>
      <c r="N6837" t="n">
        <v>0</v>
      </c>
      <c r="O6837" t="n">
        <v>0</v>
      </c>
      <c r="P6837" t="n">
        <v>0</v>
      </c>
      <c r="Q6837" t="n">
        <v>0</v>
      </c>
      <c r="R6837" s="2" t="inlineStr"/>
    </row>
    <row r="6838" ht="15" customHeight="1">
      <c r="A6838" t="inlineStr">
        <is>
          <t>A 11873-2025</t>
        </is>
      </c>
      <c r="B6838" s="1" t="n">
        <v>45728</v>
      </c>
      <c r="C6838" s="1" t="n">
        <v>45846</v>
      </c>
      <c r="D6838" t="inlineStr">
        <is>
          <t>UPPSALA LÄN</t>
        </is>
      </c>
      <c r="E6838" t="inlineStr">
        <is>
          <t>HEBY</t>
        </is>
      </c>
      <c r="G6838" t="n">
        <v>5.6</v>
      </c>
      <c r="H6838" t="n">
        <v>0</v>
      </c>
      <c r="I6838" t="n">
        <v>0</v>
      </c>
      <c r="J6838" t="n">
        <v>0</v>
      </c>
      <c r="K6838" t="n">
        <v>0</v>
      </c>
      <c r="L6838" t="n">
        <v>0</v>
      </c>
      <c r="M6838" t="n">
        <v>0</v>
      </c>
      <c r="N6838" t="n">
        <v>0</v>
      </c>
      <c r="O6838" t="n">
        <v>0</v>
      </c>
      <c r="P6838" t="n">
        <v>0</v>
      </c>
      <c r="Q6838" t="n">
        <v>0</v>
      </c>
      <c r="R6838" s="2" t="inlineStr"/>
    </row>
    <row r="6839" ht="15" customHeight="1">
      <c r="A6839" t="inlineStr">
        <is>
          <t>A 11961-2025</t>
        </is>
      </c>
      <c r="B6839" s="1" t="n">
        <v>45728</v>
      </c>
      <c r="C6839" s="1" t="n">
        <v>45846</v>
      </c>
      <c r="D6839" t="inlineStr">
        <is>
          <t>UPPSALA LÄN</t>
        </is>
      </c>
      <c r="E6839" t="inlineStr">
        <is>
          <t>TIERP</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11989-2025</t>
        </is>
      </c>
      <c r="B6840" s="1" t="n">
        <v>45728</v>
      </c>
      <c r="C6840" s="1" t="n">
        <v>45846</v>
      </c>
      <c r="D6840" t="inlineStr">
        <is>
          <t>UPPSALA LÄN</t>
        </is>
      </c>
      <c r="E6840" t="inlineStr">
        <is>
          <t>HÅBO</t>
        </is>
      </c>
      <c r="G6840" t="n">
        <v>9.6</v>
      </c>
      <c r="H6840" t="n">
        <v>0</v>
      </c>
      <c r="I6840" t="n">
        <v>0</v>
      </c>
      <c r="J6840" t="n">
        <v>0</v>
      </c>
      <c r="K6840" t="n">
        <v>0</v>
      </c>
      <c r="L6840" t="n">
        <v>0</v>
      </c>
      <c r="M6840" t="n">
        <v>0</v>
      </c>
      <c r="N6840" t="n">
        <v>0</v>
      </c>
      <c r="O6840" t="n">
        <v>0</v>
      </c>
      <c r="P6840" t="n">
        <v>0</v>
      </c>
      <c r="Q6840" t="n">
        <v>0</v>
      </c>
      <c r="R6840" s="2" t="inlineStr"/>
    </row>
    <row r="6841" ht="15" customHeight="1">
      <c r="A6841" t="inlineStr">
        <is>
          <t>A 11918-2025</t>
        </is>
      </c>
      <c r="B6841" s="1" t="n">
        <v>45728</v>
      </c>
      <c r="C6841" s="1" t="n">
        <v>45846</v>
      </c>
      <c r="D6841" t="inlineStr">
        <is>
          <t>UPPSALA LÄN</t>
        </is>
      </c>
      <c r="E6841" t="inlineStr">
        <is>
          <t>ENKÖPING</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12282-2025</t>
        </is>
      </c>
      <c r="B6842" s="1" t="n">
        <v>45729</v>
      </c>
      <c r="C6842" s="1" t="n">
        <v>45846</v>
      </c>
      <c r="D6842" t="inlineStr">
        <is>
          <t>UPPSALA LÄN</t>
        </is>
      </c>
      <c r="E6842" t="inlineStr">
        <is>
          <t>UPPSALA</t>
        </is>
      </c>
      <c r="G6842" t="n">
        <v>3.3</v>
      </c>
      <c r="H6842" t="n">
        <v>0</v>
      </c>
      <c r="I6842" t="n">
        <v>0</v>
      </c>
      <c r="J6842" t="n">
        <v>0</v>
      </c>
      <c r="K6842" t="n">
        <v>0</v>
      </c>
      <c r="L6842" t="n">
        <v>0</v>
      </c>
      <c r="M6842" t="n">
        <v>0</v>
      </c>
      <c r="N6842" t="n">
        <v>0</v>
      </c>
      <c r="O6842" t="n">
        <v>0</v>
      </c>
      <c r="P6842" t="n">
        <v>0</v>
      </c>
      <c r="Q6842" t="n">
        <v>0</v>
      </c>
      <c r="R6842" s="2" t="inlineStr"/>
    </row>
    <row r="6843" ht="15" customHeight="1">
      <c r="A6843" t="inlineStr">
        <is>
          <t>A 12211-2025</t>
        </is>
      </c>
      <c r="B6843" s="1" t="n">
        <v>45729</v>
      </c>
      <c r="C6843" s="1" t="n">
        <v>45846</v>
      </c>
      <c r="D6843" t="inlineStr">
        <is>
          <t>UPPSALA LÄN</t>
        </is>
      </c>
      <c r="E6843" t="inlineStr">
        <is>
          <t>UPPSALA</t>
        </is>
      </c>
      <c r="G6843" t="n">
        <v>3.6</v>
      </c>
      <c r="H6843" t="n">
        <v>0</v>
      </c>
      <c r="I6843" t="n">
        <v>0</v>
      </c>
      <c r="J6843" t="n">
        <v>0</v>
      </c>
      <c r="K6843" t="n">
        <v>0</v>
      </c>
      <c r="L6843" t="n">
        <v>0</v>
      </c>
      <c r="M6843" t="n">
        <v>0</v>
      </c>
      <c r="N6843" t="n">
        <v>0</v>
      </c>
      <c r="O6843" t="n">
        <v>0</v>
      </c>
      <c r="P6843" t="n">
        <v>0</v>
      </c>
      <c r="Q6843" t="n">
        <v>0</v>
      </c>
      <c r="R6843" s="2" t="inlineStr"/>
    </row>
    <row r="6844" ht="15" customHeight="1">
      <c r="A6844" t="inlineStr">
        <is>
          <t>A 12209-2025</t>
        </is>
      </c>
      <c r="B6844" s="1" t="n">
        <v>45729</v>
      </c>
      <c r="C6844" s="1" t="n">
        <v>45846</v>
      </c>
      <c r="D6844" t="inlineStr">
        <is>
          <t>UPPSALA LÄN</t>
        </is>
      </c>
      <c r="E6844" t="inlineStr">
        <is>
          <t>UPPSALA</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12287-2025</t>
        </is>
      </c>
      <c r="B6845" s="1" t="n">
        <v>45729</v>
      </c>
      <c r="C6845" s="1" t="n">
        <v>45846</v>
      </c>
      <c r="D6845" t="inlineStr">
        <is>
          <t>UPPSALA LÄN</t>
        </is>
      </c>
      <c r="E6845" t="inlineStr">
        <is>
          <t>UPPSALA</t>
        </is>
      </c>
      <c r="G6845" t="n">
        <v>4.6</v>
      </c>
      <c r="H6845" t="n">
        <v>0</v>
      </c>
      <c r="I6845" t="n">
        <v>0</v>
      </c>
      <c r="J6845" t="n">
        <v>0</v>
      </c>
      <c r="K6845" t="n">
        <v>0</v>
      </c>
      <c r="L6845" t="n">
        <v>0</v>
      </c>
      <c r="M6845" t="n">
        <v>0</v>
      </c>
      <c r="N6845" t="n">
        <v>0</v>
      </c>
      <c r="O6845" t="n">
        <v>0</v>
      </c>
      <c r="P6845" t="n">
        <v>0</v>
      </c>
      <c r="Q6845" t="n">
        <v>0</v>
      </c>
      <c r="R6845" s="2" t="inlineStr"/>
    </row>
    <row r="6846" ht="15" customHeight="1">
      <c r="A6846" t="inlineStr">
        <is>
          <t>A 12284-2025</t>
        </is>
      </c>
      <c r="B6846" s="1" t="n">
        <v>45729</v>
      </c>
      <c r="C6846" s="1" t="n">
        <v>45846</v>
      </c>
      <c r="D6846" t="inlineStr">
        <is>
          <t>UPPSALA LÄN</t>
        </is>
      </c>
      <c r="E6846" t="inlineStr">
        <is>
          <t>UPPSALA</t>
        </is>
      </c>
      <c r="G6846" t="n">
        <v>6.7</v>
      </c>
      <c r="H6846" t="n">
        <v>0</v>
      </c>
      <c r="I6846" t="n">
        <v>0</v>
      </c>
      <c r="J6846" t="n">
        <v>0</v>
      </c>
      <c r="K6846" t="n">
        <v>0</v>
      </c>
      <c r="L6846" t="n">
        <v>0</v>
      </c>
      <c r="M6846" t="n">
        <v>0</v>
      </c>
      <c r="N6846" t="n">
        <v>0</v>
      </c>
      <c r="O6846" t="n">
        <v>0</v>
      </c>
      <c r="P6846" t="n">
        <v>0</v>
      </c>
      <c r="Q6846" t="n">
        <v>0</v>
      </c>
      <c r="R6846" s="2" t="inlineStr"/>
    </row>
    <row r="6847" ht="15" customHeight="1">
      <c r="A6847" t="inlineStr">
        <is>
          <t>A 12340-2025</t>
        </is>
      </c>
      <c r="B6847" s="1" t="n">
        <v>45730</v>
      </c>
      <c r="C6847" s="1" t="n">
        <v>45846</v>
      </c>
      <c r="D6847" t="inlineStr">
        <is>
          <t>UPPSALA LÄN</t>
        </is>
      </c>
      <c r="E6847" t="inlineStr">
        <is>
          <t>ÖSTHAMMAR</t>
        </is>
      </c>
      <c r="F6847" t="inlineStr">
        <is>
          <t>Bergvik skog öst AB</t>
        </is>
      </c>
      <c r="G6847" t="n">
        <v>10.6</v>
      </c>
      <c r="H6847" t="n">
        <v>0</v>
      </c>
      <c r="I6847" t="n">
        <v>0</v>
      </c>
      <c r="J6847" t="n">
        <v>0</v>
      </c>
      <c r="K6847" t="n">
        <v>0</v>
      </c>
      <c r="L6847" t="n">
        <v>0</v>
      </c>
      <c r="M6847" t="n">
        <v>0</v>
      </c>
      <c r="N6847" t="n">
        <v>0</v>
      </c>
      <c r="O6847" t="n">
        <v>0</v>
      </c>
      <c r="P6847" t="n">
        <v>0</v>
      </c>
      <c r="Q6847" t="n">
        <v>0</v>
      </c>
      <c r="R6847" s="2" t="inlineStr"/>
    </row>
    <row r="6848" ht="15" customHeight="1">
      <c r="A6848" t="inlineStr">
        <is>
          <t>A 12414-2025</t>
        </is>
      </c>
      <c r="B6848" s="1" t="n">
        <v>45730</v>
      </c>
      <c r="C6848" s="1" t="n">
        <v>45846</v>
      </c>
      <c r="D6848" t="inlineStr">
        <is>
          <t>UPPSALA LÄN</t>
        </is>
      </c>
      <c r="E6848" t="inlineStr">
        <is>
          <t>UPPSALA</t>
        </is>
      </c>
      <c r="F6848" t="inlineStr">
        <is>
          <t>Övriga statliga verk och myndigheter</t>
        </is>
      </c>
      <c r="G6848" t="n">
        <v>6.8</v>
      </c>
      <c r="H6848" t="n">
        <v>0</v>
      </c>
      <c r="I6848" t="n">
        <v>0</v>
      </c>
      <c r="J6848" t="n">
        <v>0</v>
      </c>
      <c r="K6848" t="n">
        <v>0</v>
      </c>
      <c r="L6848" t="n">
        <v>0</v>
      </c>
      <c r="M6848" t="n">
        <v>0</v>
      </c>
      <c r="N6848" t="n">
        <v>0</v>
      </c>
      <c r="O6848" t="n">
        <v>0</v>
      </c>
      <c r="P6848" t="n">
        <v>0</v>
      </c>
      <c r="Q6848" t="n">
        <v>0</v>
      </c>
      <c r="R6848" s="2" t="inlineStr"/>
    </row>
    <row r="6849" ht="15" customHeight="1">
      <c r="A6849" t="inlineStr">
        <is>
          <t>A 12592-2025</t>
        </is>
      </c>
      <c r="B6849" s="1" t="n">
        <v>45732</v>
      </c>
      <c r="C6849" s="1" t="n">
        <v>45846</v>
      </c>
      <c r="D6849" t="inlineStr">
        <is>
          <t>UPPSALA LÄN</t>
        </is>
      </c>
      <c r="E6849" t="inlineStr">
        <is>
          <t>ÖSTHAMMAR</t>
        </is>
      </c>
      <c r="F6849" t="inlineStr">
        <is>
          <t>Bergvik skog öst AB</t>
        </is>
      </c>
      <c r="G6849" t="n">
        <v>8.6</v>
      </c>
      <c r="H6849" t="n">
        <v>0</v>
      </c>
      <c r="I6849" t="n">
        <v>0</v>
      </c>
      <c r="J6849" t="n">
        <v>0</v>
      </c>
      <c r="K6849" t="n">
        <v>0</v>
      </c>
      <c r="L6849" t="n">
        <v>0</v>
      </c>
      <c r="M6849" t="n">
        <v>0</v>
      </c>
      <c r="N6849" t="n">
        <v>0</v>
      </c>
      <c r="O6849" t="n">
        <v>0</v>
      </c>
      <c r="P6849" t="n">
        <v>0</v>
      </c>
      <c r="Q6849" t="n">
        <v>0</v>
      </c>
      <c r="R6849" s="2" t="inlineStr"/>
    </row>
    <row r="6850" ht="15" customHeight="1">
      <c r="A6850" t="inlineStr">
        <is>
          <t>A 12591-2025</t>
        </is>
      </c>
      <c r="B6850" s="1" t="n">
        <v>45732</v>
      </c>
      <c r="C6850" s="1" t="n">
        <v>45846</v>
      </c>
      <c r="D6850" t="inlineStr">
        <is>
          <t>UPPSALA LÄN</t>
        </is>
      </c>
      <c r="E6850" t="inlineStr">
        <is>
          <t>ÖSTHAMMAR</t>
        </is>
      </c>
      <c r="F6850" t="inlineStr">
        <is>
          <t>Bergvik skog öst AB</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12904-2025</t>
        </is>
      </c>
      <c r="B6851" s="1" t="n">
        <v>45733</v>
      </c>
      <c r="C6851" s="1" t="n">
        <v>45846</v>
      </c>
      <c r="D6851" t="inlineStr">
        <is>
          <t>UPPSALA LÄN</t>
        </is>
      </c>
      <c r="E6851" t="inlineStr">
        <is>
          <t>ÖSTHAMMAR</t>
        </is>
      </c>
      <c r="F6851" t="inlineStr">
        <is>
          <t>Bergvik skog öst AB</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12809-2025</t>
        </is>
      </c>
      <c r="B6852" s="1" t="n">
        <v>45733</v>
      </c>
      <c r="C6852" s="1" t="n">
        <v>45846</v>
      </c>
      <c r="D6852" t="inlineStr">
        <is>
          <t>UPPSALA LÄN</t>
        </is>
      </c>
      <c r="E6852" t="inlineStr">
        <is>
          <t>TIERP</t>
        </is>
      </c>
      <c r="F6852" t="inlineStr">
        <is>
          <t>Bergvik skog väst AB</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12845-2025</t>
        </is>
      </c>
      <c r="B6853" s="1" t="n">
        <v>45733</v>
      </c>
      <c r="C6853" s="1" t="n">
        <v>45846</v>
      </c>
      <c r="D6853" t="inlineStr">
        <is>
          <t>UPPSALA LÄN</t>
        </is>
      </c>
      <c r="E6853" t="inlineStr">
        <is>
          <t>TIERP</t>
        </is>
      </c>
      <c r="F6853" t="inlineStr">
        <is>
          <t>Bergvik skog öst AB</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12861-2025</t>
        </is>
      </c>
      <c r="B6854" s="1" t="n">
        <v>45733</v>
      </c>
      <c r="C6854" s="1" t="n">
        <v>45846</v>
      </c>
      <c r="D6854" t="inlineStr">
        <is>
          <t>UPPSALA LÄN</t>
        </is>
      </c>
      <c r="E6854" t="inlineStr">
        <is>
          <t>TIERP</t>
        </is>
      </c>
      <c r="F6854" t="inlineStr">
        <is>
          <t>Bergvik skog väst AB</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12647-2025</t>
        </is>
      </c>
      <c r="B6855" s="1" t="n">
        <v>45733</v>
      </c>
      <c r="C6855" s="1" t="n">
        <v>45846</v>
      </c>
      <c r="D6855" t="inlineStr">
        <is>
          <t>UPPSALA LÄN</t>
        </is>
      </c>
      <c r="E6855" t="inlineStr">
        <is>
          <t>TIERP</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12657-2025</t>
        </is>
      </c>
      <c r="B6856" s="1" t="n">
        <v>45733</v>
      </c>
      <c r="C6856" s="1" t="n">
        <v>45846</v>
      </c>
      <c r="D6856" t="inlineStr">
        <is>
          <t>UPPSALA LÄN</t>
        </is>
      </c>
      <c r="E6856" t="inlineStr">
        <is>
          <t>TIERP</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12828-2025</t>
        </is>
      </c>
      <c r="B6857" s="1" t="n">
        <v>45733</v>
      </c>
      <c r="C6857" s="1" t="n">
        <v>45846</v>
      </c>
      <c r="D6857" t="inlineStr">
        <is>
          <t>UPPSALA LÄN</t>
        </is>
      </c>
      <c r="E6857" t="inlineStr">
        <is>
          <t>UPPSALA</t>
        </is>
      </c>
      <c r="G6857" t="n">
        <v>5.3</v>
      </c>
      <c r="H6857" t="n">
        <v>0</v>
      </c>
      <c r="I6857" t="n">
        <v>0</v>
      </c>
      <c r="J6857" t="n">
        <v>0</v>
      </c>
      <c r="K6857" t="n">
        <v>0</v>
      </c>
      <c r="L6857" t="n">
        <v>0</v>
      </c>
      <c r="M6857" t="n">
        <v>0</v>
      </c>
      <c r="N6857" t="n">
        <v>0</v>
      </c>
      <c r="O6857" t="n">
        <v>0</v>
      </c>
      <c r="P6857" t="n">
        <v>0</v>
      </c>
      <c r="Q6857" t="n">
        <v>0</v>
      </c>
      <c r="R6857" s="2" t="inlineStr"/>
    </row>
    <row r="6858" ht="15" customHeight="1">
      <c r="A6858" t="inlineStr">
        <is>
          <t>A 12755-2025</t>
        </is>
      </c>
      <c r="B6858" s="1" t="n">
        <v>45733</v>
      </c>
      <c r="C6858" s="1" t="n">
        <v>45846</v>
      </c>
      <c r="D6858" t="inlineStr">
        <is>
          <t>UPPSALA LÄN</t>
        </is>
      </c>
      <c r="E6858" t="inlineStr">
        <is>
          <t>ENKÖPING</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12830-2025</t>
        </is>
      </c>
      <c r="B6859" s="1" t="n">
        <v>45733</v>
      </c>
      <c r="C6859" s="1" t="n">
        <v>45846</v>
      </c>
      <c r="D6859" t="inlineStr">
        <is>
          <t>UPPSALA LÄN</t>
        </is>
      </c>
      <c r="E6859" t="inlineStr">
        <is>
          <t>UPPSALA</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12754-2025</t>
        </is>
      </c>
      <c r="B6860" s="1" t="n">
        <v>45733</v>
      </c>
      <c r="C6860" s="1" t="n">
        <v>45846</v>
      </c>
      <c r="D6860" t="inlineStr">
        <is>
          <t>UPPSALA LÄN</t>
        </is>
      </c>
      <c r="E6860" t="inlineStr">
        <is>
          <t>ENKÖPING</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12695-2025</t>
        </is>
      </c>
      <c r="B6861" s="1" t="n">
        <v>45733</v>
      </c>
      <c r="C6861" s="1" t="n">
        <v>45846</v>
      </c>
      <c r="D6861" t="inlineStr">
        <is>
          <t>UPPSALA LÄN</t>
        </is>
      </c>
      <c r="E6861" t="inlineStr">
        <is>
          <t>TIERP</t>
        </is>
      </c>
      <c r="F6861" t="inlineStr">
        <is>
          <t>Bergvik skog väst AB</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12852-2025</t>
        </is>
      </c>
      <c r="B6862" s="1" t="n">
        <v>45733</v>
      </c>
      <c r="C6862" s="1" t="n">
        <v>45846</v>
      </c>
      <c r="D6862" t="inlineStr">
        <is>
          <t>UPPSALA LÄN</t>
        </is>
      </c>
      <c r="E6862" t="inlineStr">
        <is>
          <t>TIERP</t>
        </is>
      </c>
      <c r="F6862" t="inlineStr">
        <is>
          <t>Bergvik skog öst AB</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12857-2025</t>
        </is>
      </c>
      <c r="B6863" s="1" t="n">
        <v>45733</v>
      </c>
      <c r="C6863" s="1" t="n">
        <v>45846</v>
      </c>
      <c r="D6863" t="inlineStr">
        <is>
          <t>UPPSALA LÄN</t>
        </is>
      </c>
      <c r="E6863" t="inlineStr">
        <is>
          <t>TIERP</t>
        </is>
      </c>
      <c r="F6863" t="inlineStr">
        <is>
          <t>Bergvik skog öst AB</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12878-2025</t>
        </is>
      </c>
      <c r="B6864" s="1" t="n">
        <v>45733</v>
      </c>
      <c r="C6864" s="1" t="n">
        <v>45846</v>
      </c>
      <c r="D6864" t="inlineStr">
        <is>
          <t>UPPSALA LÄN</t>
        </is>
      </c>
      <c r="E6864" t="inlineStr">
        <is>
          <t>ENKÖPING</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12903-2025</t>
        </is>
      </c>
      <c r="B6865" s="1" t="n">
        <v>45733</v>
      </c>
      <c r="C6865" s="1" t="n">
        <v>45846</v>
      </c>
      <c r="D6865" t="inlineStr">
        <is>
          <t>UPPSALA LÄN</t>
        </is>
      </c>
      <c r="E6865" t="inlineStr">
        <is>
          <t>ÖSTHAMMAR</t>
        </is>
      </c>
      <c r="F6865" t="inlineStr">
        <is>
          <t>Bergvik skog öst AB</t>
        </is>
      </c>
      <c r="G6865" t="n">
        <v>3.7</v>
      </c>
      <c r="H6865" t="n">
        <v>0</v>
      </c>
      <c r="I6865" t="n">
        <v>0</v>
      </c>
      <c r="J6865" t="n">
        <v>0</v>
      </c>
      <c r="K6865" t="n">
        <v>0</v>
      </c>
      <c r="L6865" t="n">
        <v>0</v>
      </c>
      <c r="M6865" t="n">
        <v>0</v>
      </c>
      <c r="N6865" t="n">
        <v>0</v>
      </c>
      <c r="O6865" t="n">
        <v>0</v>
      </c>
      <c r="P6865" t="n">
        <v>0</v>
      </c>
      <c r="Q6865" t="n">
        <v>0</v>
      </c>
      <c r="R6865" s="2" t="inlineStr"/>
    </row>
    <row r="6866" ht="15" customHeight="1">
      <c r="A6866" t="inlineStr">
        <is>
          <t>A 12654-2025</t>
        </is>
      </c>
      <c r="B6866" s="1" t="n">
        <v>45733</v>
      </c>
      <c r="C6866" s="1" t="n">
        <v>45846</v>
      </c>
      <c r="D6866" t="inlineStr">
        <is>
          <t>UPPSALA LÄN</t>
        </is>
      </c>
      <c r="E6866" t="inlineStr">
        <is>
          <t>ÖSTHAMMAR</t>
        </is>
      </c>
      <c r="G6866" t="n">
        <v>9.9</v>
      </c>
      <c r="H6866" t="n">
        <v>0</v>
      </c>
      <c r="I6866" t="n">
        <v>0</v>
      </c>
      <c r="J6866" t="n">
        <v>0</v>
      </c>
      <c r="K6866" t="n">
        <v>0</v>
      </c>
      <c r="L6866" t="n">
        <v>0</v>
      </c>
      <c r="M6866" t="n">
        <v>0</v>
      </c>
      <c r="N6866" t="n">
        <v>0</v>
      </c>
      <c r="O6866" t="n">
        <v>0</v>
      </c>
      <c r="P6866" t="n">
        <v>0</v>
      </c>
      <c r="Q6866" t="n">
        <v>0</v>
      </c>
      <c r="R6866" s="2" t="inlineStr"/>
    </row>
    <row r="6867" ht="15" customHeight="1">
      <c r="A6867" t="inlineStr">
        <is>
          <t>A 12662-2025</t>
        </is>
      </c>
      <c r="B6867" s="1" t="n">
        <v>45733</v>
      </c>
      <c r="C6867" s="1" t="n">
        <v>45846</v>
      </c>
      <c r="D6867" t="inlineStr">
        <is>
          <t>UPPSALA LÄN</t>
        </is>
      </c>
      <c r="E6867" t="inlineStr">
        <is>
          <t>TIERP</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12945-2025</t>
        </is>
      </c>
      <c r="B6868" s="1" t="n">
        <v>45734</v>
      </c>
      <c r="C6868" s="1" t="n">
        <v>45846</v>
      </c>
      <c r="D6868" t="inlineStr">
        <is>
          <t>UPPSALA LÄN</t>
        </is>
      </c>
      <c r="E6868" t="inlineStr">
        <is>
          <t>ÖSTHAMMAR</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13040-2025</t>
        </is>
      </c>
      <c r="B6869" s="1" t="n">
        <v>45734</v>
      </c>
      <c r="C6869" s="1" t="n">
        <v>45846</v>
      </c>
      <c r="D6869" t="inlineStr">
        <is>
          <t>UPPSALA LÄN</t>
        </is>
      </c>
      <c r="E6869" t="inlineStr">
        <is>
          <t>KNIVSTA</t>
        </is>
      </c>
      <c r="F6869" t="inlineStr">
        <is>
          <t>Allmännings- och besparingsskogar</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13214-2025</t>
        </is>
      </c>
      <c r="B6870" s="1" t="n">
        <v>45735</v>
      </c>
      <c r="C6870" s="1" t="n">
        <v>45846</v>
      </c>
      <c r="D6870" t="inlineStr">
        <is>
          <t>UPPSALA LÄN</t>
        </is>
      </c>
      <c r="E6870" t="inlineStr">
        <is>
          <t>TIERP</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13240-2025</t>
        </is>
      </c>
      <c r="B6871" s="1" t="n">
        <v>45735</v>
      </c>
      <c r="C6871" s="1" t="n">
        <v>45846</v>
      </c>
      <c r="D6871" t="inlineStr">
        <is>
          <t>UPPSALA LÄN</t>
        </is>
      </c>
      <c r="E6871" t="inlineStr">
        <is>
          <t>TIERP</t>
        </is>
      </c>
      <c r="F6871" t="inlineStr">
        <is>
          <t>Bergvik skog väst AB</t>
        </is>
      </c>
      <c r="G6871" t="n">
        <v>3.5</v>
      </c>
      <c r="H6871" t="n">
        <v>0</v>
      </c>
      <c r="I6871" t="n">
        <v>0</v>
      </c>
      <c r="J6871" t="n">
        <v>0</v>
      </c>
      <c r="K6871" t="n">
        <v>0</v>
      </c>
      <c r="L6871" t="n">
        <v>0</v>
      </c>
      <c r="M6871" t="n">
        <v>0</v>
      </c>
      <c r="N6871" t="n">
        <v>0</v>
      </c>
      <c r="O6871" t="n">
        <v>0</v>
      </c>
      <c r="P6871" t="n">
        <v>0</v>
      </c>
      <c r="Q6871" t="n">
        <v>0</v>
      </c>
      <c r="R6871" s="2" t="inlineStr"/>
    </row>
    <row r="6872" ht="15" customHeight="1">
      <c r="A6872" t="inlineStr">
        <is>
          <t>A 13206-2025</t>
        </is>
      </c>
      <c r="B6872" s="1" t="n">
        <v>45735</v>
      </c>
      <c r="C6872" s="1" t="n">
        <v>45846</v>
      </c>
      <c r="D6872" t="inlineStr">
        <is>
          <t>UPPSALA LÄN</t>
        </is>
      </c>
      <c r="E6872" t="inlineStr">
        <is>
          <t>TIERP</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13230-2025</t>
        </is>
      </c>
      <c r="B6873" s="1" t="n">
        <v>45735</v>
      </c>
      <c r="C6873" s="1" t="n">
        <v>45846</v>
      </c>
      <c r="D6873" t="inlineStr">
        <is>
          <t>UPPSALA LÄN</t>
        </is>
      </c>
      <c r="E6873" t="inlineStr">
        <is>
          <t>TIERP</t>
        </is>
      </c>
      <c r="F6873" t="inlineStr">
        <is>
          <t>Bergvik skog väst AB</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13248-2025</t>
        </is>
      </c>
      <c r="B6874" s="1" t="n">
        <v>45735</v>
      </c>
      <c r="C6874" s="1" t="n">
        <v>45846</v>
      </c>
      <c r="D6874" t="inlineStr">
        <is>
          <t>UPPSALA LÄN</t>
        </is>
      </c>
      <c r="E6874" t="inlineStr">
        <is>
          <t>ÖSTHAMMAR</t>
        </is>
      </c>
      <c r="F6874" t="inlineStr">
        <is>
          <t>Kyrkan</t>
        </is>
      </c>
      <c r="G6874" t="n">
        <v>12.2</v>
      </c>
      <c r="H6874" t="n">
        <v>0</v>
      </c>
      <c r="I6874" t="n">
        <v>0</v>
      </c>
      <c r="J6874" t="n">
        <v>0</v>
      </c>
      <c r="K6874" t="n">
        <v>0</v>
      </c>
      <c r="L6874" t="n">
        <v>0</v>
      </c>
      <c r="M6874" t="n">
        <v>0</v>
      </c>
      <c r="N6874" t="n">
        <v>0</v>
      </c>
      <c r="O6874" t="n">
        <v>0</v>
      </c>
      <c r="P6874" t="n">
        <v>0</v>
      </c>
      <c r="Q6874" t="n">
        <v>0</v>
      </c>
      <c r="R6874" s="2" t="inlineStr"/>
    </row>
    <row r="6875" ht="15" customHeight="1">
      <c r="A6875" t="inlineStr">
        <is>
          <t>A 13377-2025</t>
        </is>
      </c>
      <c r="B6875" s="1" t="n">
        <v>45735</v>
      </c>
      <c r="C6875" s="1" t="n">
        <v>45846</v>
      </c>
      <c r="D6875" t="inlineStr">
        <is>
          <t>UPPSALA LÄN</t>
        </is>
      </c>
      <c r="E6875" t="inlineStr">
        <is>
          <t>ÖSTHAMMAR</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13385-2025</t>
        </is>
      </c>
      <c r="B6876" s="1" t="n">
        <v>45735</v>
      </c>
      <c r="C6876" s="1" t="n">
        <v>45846</v>
      </c>
      <c r="D6876" t="inlineStr">
        <is>
          <t>UPPSALA LÄN</t>
        </is>
      </c>
      <c r="E6876" t="inlineStr">
        <is>
          <t>ÖSTHAMMAR</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13226-2025</t>
        </is>
      </c>
      <c r="B6877" s="1" t="n">
        <v>45735</v>
      </c>
      <c r="C6877" s="1" t="n">
        <v>45846</v>
      </c>
      <c r="D6877" t="inlineStr">
        <is>
          <t>UPPSALA LÄN</t>
        </is>
      </c>
      <c r="E6877" t="inlineStr">
        <is>
          <t>TIERP</t>
        </is>
      </c>
      <c r="F6877" t="inlineStr">
        <is>
          <t>Bergvik skog väst AB</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13484-2025</t>
        </is>
      </c>
      <c r="B6878" s="1" t="n">
        <v>45736</v>
      </c>
      <c r="C6878" s="1" t="n">
        <v>45846</v>
      </c>
      <c r="D6878" t="inlineStr">
        <is>
          <t>UPPSALA LÄN</t>
        </is>
      </c>
      <c r="E6878" t="inlineStr">
        <is>
          <t>TIERP</t>
        </is>
      </c>
      <c r="F6878" t="inlineStr">
        <is>
          <t>Bergvik skog öst AB</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13491-2025</t>
        </is>
      </c>
      <c r="B6879" s="1" t="n">
        <v>45736</v>
      </c>
      <c r="C6879" s="1" t="n">
        <v>45846</v>
      </c>
      <c r="D6879" t="inlineStr">
        <is>
          <t>UPPSALA LÄN</t>
        </is>
      </c>
      <c r="E6879" t="inlineStr">
        <is>
          <t>UPPSALA</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13509-2025</t>
        </is>
      </c>
      <c r="B6880" s="1" t="n">
        <v>45736</v>
      </c>
      <c r="C6880" s="1" t="n">
        <v>45846</v>
      </c>
      <c r="D6880" t="inlineStr">
        <is>
          <t>UPPSALA LÄN</t>
        </is>
      </c>
      <c r="E6880" t="inlineStr">
        <is>
          <t>TIERP</t>
        </is>
      </c>
      <c r="F6880" t="inlineStr">
        <is>
          <t>Bergvik skog väst AB</t>
        </is>
      </c>
      <c r="G6880" t="n">
        <v>0.3</v>
      </c>
      <c r="H6880" t="n">
        <v>0</v>
      </c>
      <c r="I6880" t="n">
        <v>0</v>
      </c>
      <c r="J6880" t="n">
        <v>0</v>
      </c>
      <c r="K6880" t="n">
        <v>0</v>
      </c>
      <c r="L6880" t="n">
        <v>0</v>
      </c>
      <c r="M6880" t="n">
        <v>0</v>
      </c>
      <c r="N6880" t="n">
        <v>0</v>
      </c>
      <c r="O6880" t="n">
        <v>0</v>
      </c>
      <c r="P6880" t="n">
        <v>0</v>
      </c>
      <c r="Q6880" t="n">
        <v>0</v>
      </c>
      <c r="R6880" s="2" t="inlineStr"/>
    </row>
    <row r="6881" ht="15" customHeight="1">
      <c r="A6881" t="inlineStr">
        <is>
          <t>A 13456-2025</t>
        </is>
      </c>
      <c r="B6881" s="1" t="n">
        <v>45736</v>
      </c>
      <c r="C6881" s="1" t="n">
        <v>45846</v>
      </c>
      <c r="D6881" t="inlineStr">
        <is>
          <t>UPPSALA LÄN</t>
        </is>
      </c>
      <c r="E6881" t="inlineStr">
        <is>
          <t>TIERP</t>
        </is>
      </c>
      <c r="G6881" t="n">
        <v>5.7</v>
      </c>
      <c r="H6881" t="n">
        <v>0</v>
      </c>
      <c r="I6881" t="n">
        <v>0</v>
      </c>
      <c r="J6881" t="n">
        <v>0</v>
      </c>
      <c r="K6881" t="n">
        <v>0</v>
      </c>
      <c r="L6881" t="n">
        <v>0</v>
      </c>
      <c r="M6881" t="n">
        <v>0</v>
      </c>
      <c r="N6881" t="n">
        <v>0</v>
      </c>
      <c r="O6881" t="n">
        <v>0</v>
      </c>
      <c r="P6881" t="n">
        <v>0</v>
      </c>
      <c r="Q6881" t="n">
        <v>0</v>
      </c>
      <c r="R6881" s="2" t="inlineStr"/>
    </row>
    <row r="6882" ht="15" customHeight="1">
      <c r="A6882" t="inlineStr">
        <is>
          <t>A 13463-2025</t>
        </is>
      </c>
      <c r="B6882" s="1" t="n">
        <v>45736</v>
      </c>
      <c r="C6882" s="1" t="n">
        <v>45846</v>
      </c>
      <c r="D6882" t="inlineStr">
        <is>
          <t>UPPSALA LÄN</t>
        </is>
      </c>
      <c r="E6882" t="inlineStr">
        <is>
          <t>HEBY</t>
        </is>
      </c>
      <c r="G6882" t="n">
        <v>4</v>
      </c>
      <c r="H6882" t="n">
        <v>0</v>
      </c>
      <c r="I6882" t="n">
        <v>0</v>
      </c>
      <c r="J6882" t="n">
        <v>0</v>
      </c>
      <c r="K6882" t="n">
        <v>0</v>
      </c>
      <c r="L6882" t="n">
        <v>0</v>
      </c>
      <c r="M6882" t="n">
        <v>0</v>
      </c>
      <c r="N6882" t="n">
        <v>0</v>
      </c>
      <c r="O6882" t="n">
        <v>0</v>
      </c>
      <c r="P6882" t="n">
        <v>0</v>
      </c>
      <c r="Q6882" t="n">
        <v>0</v>
      </c>
      <c r="R6882" s="2" t="inlineStr"/>
    </row>
    <row r="6883" ht="15" customHeight="1">
      <c r="A6883" t="inlineStr">
        <is>
          <t>A 13492-2025</t>
        </is>
      </c>
      <c r="B6883" s="1" t="n">
        <v>45736</v>
      </c>
      <c r="C6883" s="1" t="n">
        <v>45846</v>
      </c>
      <c r="D6883" t="inlineStr">
        <is>
          <t>UPPSALA LÄN</t>
        </is>
      </c>
      <c r="E6883" t="inlineStr">
        <is>
          <t>UPPSALA</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13590-2025</t>
        </is>
      </c>
      <c r="B6884" s="1" t="n">
        <v>45736</v>
      </c>
      <c r="C6884" s="1" t="n">
        <v>45846</v>
      </c>
      <c r="D6884" t="inlineStr">
        <is>
          <t>UPPSALA LÄN</t>
        </is>
      </c>
      <c r="E6884" t="inlineStr">
        <is>
          <t>UPPSALA</t>
        </is>
      </c>
      <c r="F6884" t="inlineStr">
        <is>
          <t>Allmännings- och besparingsskogar</t>
        </is>
      </c>
      <c r="G6884" t="n">
        <v>4.6</v>
      </c>
      <c r="H6884" t="n">
        <v>0</v>
      </c>
      <c r="I6884" t="n">
        <v>0</v>
      </c>
      <c r="J6884" t="n">
        <v>0</v>
      </c>
      <c r="K6884" t="n">
        <v>0</v>
      </c>
      <c r="L6884" t="n">
        <v>0</v>
      </c>
      <c r="M6884" t="n">
        <v>0</v>
      </c>
      <c r="N6884" t="n">
        <v>0</v>
      </c>
      <c r="O6884" t="n">
        <v>0</v>
      </c>
      <c r="P6884" t="n">
        <v>0</v>
      </c>
      <c r="Q6884" t="n">
        <v>0</v>
      </c>
      <c r="R6884" s="2" t="inlineStr"/>
    </row>
    <row r="6885" ht="15" customHeight="1">
      <c r="A6885" t="inlineStr">
        <is>
          <t>A 13502-2025</t>
        </is>
      </c>
      <c r="B6885" s="1" t="n">
        <v>45736</v>
      </c>
      <c r="C6885" s="1" t="n">
        <v>45846</v>
      </c>
      <c r="D6885" t="inlineStr">
        <is>
          <t>UPPSALA LÄN</t>
        </is>
      </c>
      <c r="E6885" t="inlineStr">
        <is>
          <t>UPPSALA</t>
        </is>
      </c>
      <c r="F6885" t="inlineStr">
        <is>
          <t>Allmännings- och besparingsskogar</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13602-2025</t>
        </is>
      </c>
      <c r="B6886" s="1" t="n">
        <v>45736</v>
      </c>
      <c r="C6886" s="1" t="n">
        <v>45846</v>
      </c>
      <c r="D6886" t="inlineStr">
        <is>
          <t>UPPSALA LÄN</t>
        </is>
      </c>
      <c r="E6886" t="inlineStr">
        <is>
          <t>UPPSALA</t>
        </is>
      </c>
      <c r="F6886" t="inlineStr">
        <is>
          <t>Allmännings- och besparingsskogar</t>
        </is>
      </c>
      <c r="G6886" t="n">
        <v>9.5</v>
      </c>
      <c r="H6886" t="n">
        <v>0</v>
      </c>
      <c r="I6886" t="n">
        <v>0</v>
      </c>
      <c r="J6886" t="n">
        <v>0</v>
      </c>
      <c r="K6886" t="n">
        <v>0</v>
      </c>
      <c r="L6886" t="n">
        <v>0</v>
      </c>
      <c r="M6886" t="n">
        <v>0</v>
      </c>
      <c r="N6886" t="n">
        <v>0</v>
      </c>
      <c r="O6886" t="n">
        <v>0</v>
      </c>
      <c r="P6886" t="n">
        <v>0</v>
      </c>
      <c r="Q6886" t="n">
        <v>0</v>
      </c>
      <c r="R6886" s="2" t="inlineStr"/>
    </row>
    <row r="6887" ht="15" customHeight="1">
      <c r="A6887" t="inlineStr">
        <is>
          <t>A 13535-2025</t>
        </is>
      </c>
      <c r="B6887" s="1" t="n">
        <v>45736</v>
      </c>
      <c r="C6887" s="1" t="n">
        <v>45846</v>
      </c>
      <c r="D6887" t="inlineStr">
        <is>
          <t>UPPSALA LÄN</t>
        </is>
      </c>
      <c r="E6887" t="inlineStr">
        <is>
          <t>HEBY</t>
        </is>
      </c>
      <c r="G6887" t="n">
        <v>15.5</v>
      </c>
      <c r="H6887" t="n">
        <v>0</v>
      </c>
      <c r="I6887" t="n">
        <v>0</v>
      </c>
      <c r="J6887" t="n">
        <v>0</v>
      </c>
      <c r="K6887" t="n">
        <v>0</v>
      </c>
      <c r="L6887" t="n">
        <v>0</v>
      </c>
      <c r="M6887" t="n">
        <v>0</v>
      </c>
      <c r="N6887" t="n">
        <v>0</v>
      </c>
      <c r="O6887" t="n">
        <v>0</v>
      </c>
      <c r="P6887" t="n">
        <v>0</v>
      </c>
      <c r="Q6887" t="n">
        <v>0</v>
      </c>
      <c r="R6887" s="2" t="inlineStr"/>
    </row>
    <row r="6888" ht="15" customHeight="1">
      <c r="A6888" t="inlineStr">
        <is>
          <t>A 13676-2025</t>
        </is>
      </c>
      <c r="B6888" s="1" t="n">
        <v>45736</v>
      </c>
      <c r="C6888" s="1" t="n">
        <v>45846</v>
      </c>
      <c r="D6888" t="inlineStr">
        <is>
          <t>UPPSALA LÄN</t>
        </is>
      </c>
      <c r="E6888" t="inlineStr">
        <is>
          <t>KNIVSTA</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13622-2025</t>
        </is>
      </c>
      <c r="B6889" s="1" t="n">
        <v>45736</v>
      </c>
      <c r="C6889" s="1" t="n">
        <v>45846</v>
      </c>
      <c r="D6889" t="inlineStr">
        <is>
          <t>UPPSALA LÄN</t>
        </is>
      </c>
      <c r="E6889" t="inlineStr">
        <is>
          <t>ÖSTHAMMAR</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13900-2025</t>
        </is>
      </c>
      <c r="B6890" s="1" t="n">
        <v>45737</v>
      </c>
      <c r="C6890" s="1" t="n">
        <v>45846</v>
      </c>
      <c r="D6890" t="inlineStr">
        <is>
          <t>UPPSALA LÄN</t>
        </is>
      </c>
      <c r="E6890" t="inlineStr">
        <is>
          <t>HEBY</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13742-2025</t>
        </is>
      </c>
      <c r="B6891" s="1" t="n">
        <v>45737</v>
      </c>
      <c r="C6891" s="1" t="n">
        <v>45846</v>
      </c>
      <c r="D6891" t="inlineStr">
        <is>
          <t>UPPSALA LÄN</t>
        </is>
      </c>
      <c r="E6891" t="inlineStr">
        <is>
          <t>UPPSALA</t>
        </is>
      </c>
      <c r="G6891" t="n">
        <v>5.1</v>
      </c>
      <c r="H6891" t="n">
        <v>0</v>
      </c>
      <c r="I6891" t="n">
        <v>0</v>
      </c>
      <c r="J6891" t="n">
        <v>0</v>
      </c>
      <c r="K6891" t="n">
        <v>0</v>
      </c>
      <c r="L6891" t="n">
        <v>0</v>
      </c>
      <c r="M6891" t="n">
        <v>0</v>
      </c>
      <c r="N6891" t="n">
        <v>0</v>
      </c>
      <c r="O6891" t="n">
        <v>0</v>
      </c>
      <c r="P6891" t="n">
        <v>0</v>
      </c>
      <c r="Q6891" t="n">
        <v>0</v>
      </c>
      <c r="R6891" s="2" t="inlineStr"/>
    </row>
    <row r="6892" ht="15" customHeight="1">
      <c r="A6892" t="inlineStr">
        <is>
          <t>A 13893-2025</t>
        </is>
      </c>
      <c r="B6892" s="1" t="n">
        <v>45737</v>
      </c>
      <c r="C6892" s="1" t="n">
        <v>45846</v>
      </c>
      <c r="D6892" t="inlineStr">
        <is>
          <t>UPPSALA LÄN</t>
        </is>
      </c>
      <c r="E6892" t="inlineStr">
        <is>
          <t>HEBY</t>
        </is>
      </c>
      <c r="G6892" t="n">
        <v>6.1</v>
      </c>
      <c r="H6892" t="n">
        <v>0</v>
      </c>
      <c r="I6892" t="n">
        <v>0</v>
      </c>
      <c r="J6892" t="n">
        <v>0</v>
      </c>
      <c r="K6892" t="n">
        <v>0</v>
      </c>
      <c r="L6892" t="n">
        <v>0</v>
      </c>
      <c r="M6892" t="n">
        <v>0</v>
      </c>
      <c r="N6892" t="n">
        <v>0</v>
      </c>
      <c r="O6892" t="n">
        <v>0</v>
      </c>
      <c r="P6892" t="n">
        <v>0</v>
      </c>
      <c r="Q6892" t="n">
        <v>0</v>
      </c>
      <c r="R6892" s="2" t="inlineStr"/>
    </row>
    <row r="6893" ht="15" customHeight="1">
      <c r="A6893" t="inlineStr">
        <is>
          <t>A 13914-2025</t>
        </is>
      </c>
      <c r="B6893" s="1" t="n">
        <v>45737</v>
      </c>
      <c r="C6893" s="1" t="n">
        <v>45846</v>
      </c>
      <c r="D6893" t="inlineStr">
        <is>
          <t>UPPSALA LÄN</t>
        </is>
      </c>
      <c r="E6893" t="inlineStr">
        <is>
          <t>UPPSALA</t>
        </is>
      </c>
      <c r="G6893" t="n">
        <v>4</v>
      </c>
      <c r="H6893" t="n">
        <v>0</v>
      </c>
      <c r="I6893" t="n">
        <v>0</v>
      </c>
      <c r="J6893" t="n">
        <v>0</v>
      </c>
      <c r="K6893" t="n">
        <v>0</v>
      </c>
      <c r="L6893" t="n">
        <v>0</v>
      </c>
      <c r="M6893" t="n">
        <v>0</v>
      </c>
      <c r="N6893" t="n">
        <v>0</v>
      </c>
      <c r="O6893" t="n">
        <v>0</v>
      </c>
      <c r="P6893" t="n">
        <v>0</v>
      </c>
      <c r="Q6893" t="n">
        <v>0</v>
      </c>
      <c r="R6893" s="2" t="inlineStr"/>
    </row>
    <row r="6894" ht="15" customHeight="1">
      <c r="A6894" t="inlineStr">
        <is>
          <t>A 13908-2025</t>
        </is>
      </c>
      <c r="B6894" s="1" t="n">
        <v>45737</v>
      </c>
      <c r="C6894" s="1" t="n">
        <v>45846</v>
      </c>
      <c r="D6894" t="inlineStr">
        <is>
          <t>UPPSALA LÄN</t>
        </is>
      </c>
      <c r="E6894" t="inlineStr">
        <is>
          <t>UPPSALA</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14272-2025</t>
        </is>
      </c>
      <c r="B6895" s="1" t="n">
        <v>45740</v>
      </c>
      <c r="C6895" s="1" t="n">
        <v>45846</v>
      </c>
      <c r="D6895" t="inlineStr">
        <is>
          <t>UPPSALA LÄN</t>
        </is>
      </c>
      <c r="E6895" t="inlineStr">
        <is>
          <t>ÖSTHAMMAR</t>
        </is>
      </c>
      <c r="G6895" t="n">
        <v>5.7</v>
      </c>
      <c r="H6895" t="n">
        <v>0</v>
      </c>
      <c r="I6895" t="n">
        <v>0</v>
      </c>
      <c r="J6895" t="n">
        <v>0</v>
      </c>
      <c r="K6895" t="n">
        <v>0</v>
      </c>
      <c r="L6895" t="n">
        <v>0</v>
      </c>
      <c r="M6895" t="n">
        <v>0</v>
      </c>
      <c r="N6895" t="n">
        <v>0</v>
      </c>
      <c r="O6895" t="n">
        <v>0</v>
      </c>
      <c r="P6895" t="n">
        <v>0</v>
      </c>
      <c r="Q6895" t="n">
        <v>0</v>
      </c>
      <c r="R6895" s="2" t="inlineStr"/>
    </row>
    <row r="6896" ht="15" customHeight="1">
      <c r="A6896" t="inlineStr">
        <is>
          <t>A 14137-2025</t>
        </is>
      </c>
      <c r="B6896" s="1" t="n">
        <v>45740</v>
      </c>
      <c r="C6896" s="1" t="n">
        <v>45846</v>
      </c>
      <c r="D6896" t="inlineStr">
        <is>
          <t>UPPSALA LÄN</t>
        </is>
      </c>
      <c r="E6896" t="inlineStr">
        <is>
          <t>HEBY</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14207-2025</t>
        </is>
      </c>
      <c r="B6897" s="1" t="n">
        <v>45740</v>
      </c>
      <c r="C6897" s="1" t="n">
        <v>45846</v>
      </c>
      <c r="D6897" t="inlineStr">
        <is>
          <t>UPPSALA LÄN</t>
        </is>
      </c>
      <c r="E6897" t="inlineStr">
        <is>
          <t>TIERP</t>
        </is>
      </c>
      <c r="F6897" t="inlineStr">
        <is>
          <t>Bergvik skog öst AB</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14164-2025</t>
        </is>
      </c>
      <c r="B6898" s="1" t="n">
        <v>45740</v>
      </c>
      <c r="C6898" s="1" t="n">
        <v>45846</v>
      </c>
      <c r="D6898" t="inlineStr">
        <is>
          <t>UPPSALA LÄN</t>
        </is>
      </c>
      <c r="E6898" t="inlineStr">
        <is>
          <t>ÖSTHAMMAR</t>
        </is>
      </c>
      <c r="G6898" t="n">
        <v>4.2</v>
      </c>
      <c r="H6898" t="n">
        <v>0</v>
      </c>
      <c r="I6898" t="n">
        <v>0</v>
      </c>
      <c r="J6898" t="n">
        <v>0</v>
      </c>
      <c r="K6898" t="n">
        <v>0</v>
      </c>
      <c r="L6898" t="n">
        <v>0</v>
      </c>
      <c r="M6898" t="n">
        <v>0</v>
      </c>
      <c r="N6898" t="n">
        <v>0</v>
      </c>
      <c r="O6898" t="n">
        <v>0</v>
      </c>
      <c r="P6898" t="n">
        <v>0</v>
      </c>
      <c r="Q6898" t="n">
        <v>0</v>
      </c>
      <c r="R6898" s="2" t="inlineStr"/>
    </row>
    <row r="6899" ht="15" customHeight="1">
      <c r="A6899" t="inlineStr">
        <is>
          <t>A 14267-2025</t>
        </is>
      </c>
      <c r="B6899" s="1" t="n">
        <v>45740</v>
      </c>
      <c r="C6899" s="1" t="n">
        <v>45846</v>
      </c>
      <c r="D6899" t="inlineStr">
        <is>
          <t>UPPSALA LÄN</t>
        </is>
      </c>
      <c r="E6899" t="inlineStr">
        <is>
          <t>KNIVSTA</t>
        </is>
      </c>
      <c r="G6899" t="n">
        <v>3.9</v>
      </c>
      <c r="H6899" t="n">
        <v>0</v>
      </c>
      <c r="I6899" t="n">
        <v>0</v>
      </c>
      <c r="J6899" t="n">
        <v>0</v>
      </c>
      <c r="K6899" t="n">
        <v>0</v>
      </c>
      <c r="L6899" t="n">
        <v>0</v>
      </c>
      <c r="M6899" t="n">
        <v>0</v>
      </c>
      <c r="N6899" t="n">
        <v>0</v>
      </c>
      <c r="O6899" t="n">
        <v>0</v>
      </c>
      <c r="P6899" t="n">
        <v>0</v>
      </c>
      <c r="Q6899" t="n">
        <v>0</v>
      </c>
      <c r="R6899" s="2" t="inlineStr"/>
    </row>
    <row r="6900" ht="15" customHeight="1">
      <c r="A6900" t="inlineStr">
        <is>
          <t>A 14173-2025</t>
        </is>
      </c>
      <c r="B6900" s="1" t="n">
        <v>45740</v>
      </c>
      <c r="C6900" s="1" t="n">
        <v>45846</v>
      </c>
      <c r="D6900" t="inlineStr">
        <is>
          <t>UPPSALA LÄN</t>
        </is>
      </c>
      <c r="E6900" t="inlineStr">
        <is>
          <t>ÖSTHAMMAR</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14004-2025</t>
        </is>
      </c>
      <c r="B6901" s="1" t="n">
        <v>45740</v>
      </c>
      <c r="C6901" s="1" t="n">
        <v>45846</v>
      </c>
      <c r="D6901" t="inlineStr">
        <is>
          <t>UPPSALA LÄN</t>
        </is>
      </c>
      <c r="E6901" t="inlineStr">
        <is>
          <t>ÄLVKARLEBY</t>
        </is>
      </c>
      <c r="F6901" t="inlineStr">
        <is>
          <t>Bergvik skog öst AB</t>
        </is>
      </c>
      <c r="G6901" t="n">
        <v>10.1</v>
      </c>
      <c r="H6901" t="n">
        <v>0</v>
      </c>
      <c r="I6901" t="n">
        <v>0</v>
      </c>
      <c r="J6901" t="n">
        <v>0</v>
      </c>
      <c r="K6901" t="n">
        <v>0</v>
      </c>
      <c r="L6901" t="n">
        <v>0</v>
      </c>
      <c r="M6901" t="n">
        <v>0</v>
      </c>
      <c r="N6901" t="n">
        <v>0</v>
      </c>
      <c r="O6901" t="n">
        <v>0</v>
      </c>
      <c r="P6901" t="n">
        <v>0</v>
      </c>
      <c r="Q6901" t="n">
        <v>0</v>
      </c>
      <c r="R6901" s="2" t="inlineStr"/>
    </row>
    <row r="6902" ht="15" customHeight="1">
      <c r="A6902" t="inlineStr">
        <is>
          <t>A 14243-2025</t>
        </is>
      </c>
      <c r="B6902" s="1" t="n">
        <v>45740</v>
      </c>
      <c r="C6902" s="1" t="n">
        <v>45846</v>
      </c>
      <c r="D6902" t="inlineStr">
        <is>
          <t>UPPSALA LÄN</t>
        </is>
      </c>
      <c r="E6902" t="inlineStr">
        <is>
          <t>ENKÖPING</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14262-2025</t>
        </is>
      </c>
      <c r="B6903" s="1" t="n">
        <v>45740</v>
      </c>
      <c r="C6903" s="1" t="n">
        <v>45846</v>
      </c>
      <c r="D6903" t="inlineStr">
        <is>
          <t>UPPSALA LÄN</t>
        </is>
      </c>
      <c r="E6903" t="inlineStr">
        <is>
          <t>HEBY</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14269-2025</t>
        </is>
      </c>
      <c r="B6904" s="1" t="n">
        <v>45740</v>
      </c>
      <c r="C6904" s="1" t="n">
        <v>45846</v>
      </c>
      <c r="D6904" t="inlineStr">
        <is>
          <t>UPPSALA LÄN</t>
        </is>
      </c>
      <c r="E6904" t="inlineStr">
        <is>
          <t>ÖSTHAMMAR</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14170-2025</t>
        </is>
      </c>
      <c r="B6905" s="1" t="n">
        <v>45740</v>
      </c>
      <c r="C6905" s="1" t="n">
        <v>45846</v>
      </c>
      <c r="D6905" t="inlineStr">
        <is>
          <t>UPPSALA LÄN</t>
        </is>
      </c>
      <c r="E6905" t="inlineStr">
        <is>
          <t>ÖSTHAMMAR</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14203-2025</t>
        </is>
      </c>
      <c r="B6906" s="1" t="n">
        <v>45740</v>
      </c>
      <c r="C6906" s="1" t="n">
        <v>45846</v>
      </c>
      <c r="D6906" t="inlineStr">
        <is>
          <t>UPPSALA LÄN</t>
        </is>
      </c>
      <c r="E6906" t="inlineStr">
        <is>
          <t>KNIVSTA</t>
        </is>
      </c>
      <c r="F6906" t="inlineStr">
        <is>
          <t>Övriga Aktiebolag</t>
        </is>
      </c>
      <c r="G6906" t="n">
        <v>6.5</v>
      </c>
      <c r="H6906" t="n">
        <v>0</v>
      </c>
      <c r="I6906" t="n">
        <v>0</v>
      </c>
      <c r="J6906" t="n">
        <v>0</v>
      </c>
      <c r="K6906" t="n">
        <v>0</v>
      </c>
      <c r="L6906" t="n">
        <v>0</v>
      </c>
      <c r="M6906" t="n">
        <v>0</v>
      </c>
      <c r="N6906" t="n">
        <v>0</v>
      </c>
      <c r="O6906" t="n">
        <v>0</v>
      </c>
      <c r="P6906" t="n">
        <v>0</v>
      </c>
      <c r="Q6906" t="n">
        <v>0</v>
      </c>
      <c r="R6906" s="2" t="inlineStr"/>
    </row>
    <row r="6907" ht="15" customHeight="1">
      <c r="A6907" t="inlineStr">
        <is>
          <t>A 14083-2025</t>
        </is>
      </c>
      <c r="B6907" s="1" t="n">
        <v>45740</v>
      </c>
      <c r="C6907" s="1" t="n">
        <v>45846</v>
      </c>
      <c r="D6907" t="inlineStr">
        <is>
          <t>UPPSALA LÄN</t>
        </is>
      </c>
      <c r="E6907" t="inlineStr">
        <is>
          <t>ENKÖPING</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14104-2025</t>
        </is>
      </c>
      <c r="B6908" s="1" t="n">
        <v>45740</v>
      </c>
      <c r="C6908" s="1" t="n">
        <v>45846</v>
      </c>
      <c r="D6908" t="inlineStr">
        <is>
          <t>UPPSALA LÄN</t>
        </is>
      </c>
      <c r="E6908" t="inlineStr">
        <is>
          <t>ENKÖPING</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14400-2025</t>
        </is>
      </c>
      <c r="B6909" s="1" t="n">
        <v>45741</v>
      </c>
      <c r="C6909" s="1" t="n">
        <v>45846</v>
      </c>
      <c r="D6909" t="inlineStr">
        <is>
          <t>UPPSALA LÄN</t>
        </is>
      </c>
      <c r="E6909" t="inlineStr">
        <is>
          <t>UPPSALA</t>
        </is>
      </c>
      <c r="G6909" t="n">
        <v>6.6</v>
      </c>
      <c r="H6909" t="n">
        <v>0</v>
      </c>
      <c r="I6909" t="n">
        <v>0</v>
      </c>
      <c r="J6909" t="n">
        <v>0</v>
      </c>
      <c r="K6909" t="n">
        <v>0</v>
      </c>
      <c r="L6909" t="n">
        <v>0</v>
      </c>
      <c r="M6909" t="n">
        <v>0</v>
      </c>
      <c r="N6909" t="n">
        <v>0</v>
      </c>
      <c r="O6909" t="n">
        <v>0</v>
      </c>
      <c r="P6909" t="n">
        <v>0</v>
      </c>
      <c r="Q6909" t="n">
        <v>0</v>
      </c>
      <c r="R6909" s="2" t="inlineStr"/>
    </row>
    <row r="6910" ht="15" customHeight="1">
      <c r="A6910" t="inlineStr">
        <is>
          <t>A 14430-2025</t>
        </is>
      </c>
      <c r="B6910" s="1" t="n">
        <v>45741</v>
      </c>
      <c r="C6910" s="1" t="n">
        <v>45846</v>
      </c>
      <c r="D6910" t="inlineStr">
        <is>
          <t>UPPSALA LÄN</t>
        </is>
      </c>
      <c r="E6910" t="inlineStr">
        <is>
          <t>TIERP</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14527-2025</t>
        </is>
      </c>
      <c r="B6911" s="1" t="n">
        <v>45741</v>
      </c>
      <c r="C6911" s="1" t="n">
        <v>45846</v>
      </c>
      <c r="D6911" t="inlineStr">
        <is>
          <t>UPPSALA LÄN</t>
        </is>
      </c>
      <c r="E6911" t="inlineStr">
        <is>
          <t>TIERP</t>
        </is>
      </c>
      <c r="F6911" t="inlineStr">
        <is>
          <t>Bergvik skog väst AB</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14516-2025</t>
        </is>
      </c>
      <c r="B6912" s="1" t="n">
        <v>45741</v>
      </c>
      <c r="C6912" s="1" t="n">
        <v>45846</v>
      </c>
      <c r="D6912" t="inlineStr">
        <is>
          <t>UPPSALA LÄN</t>
        </is>
      </c>
      <c r="E6912" t="inlineStr">
        <is>
          <t>TIERP</t>
        </is>
      </c>
      <c r="F6912" t="inlineStr">
        <is>
          <t>Bergvik skog väst AB</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14517-2025</t>
        </is>
      </c>
      <c r="B6913" s="1" t="n">
        <v>45741</v>
      </c>
      <c r="C6913" s="1" t="n">
        <v>45846</v>
      </c>
      <c r="D6913" t="inlineStr">
        <is>
          <t>UPPSALA LÄN</t>
        </is>
      </c>
      <c r="E6913" t="inlineStr">
        <is>
          <t>ENKÖPING</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14518-2025</t>
        </is>
      </c>
      <c r="B6914" s="1" t="n">
        <v>45741</v>
      </c>
      <c r="C6914" s="1" t="n">
        <v>45846</v>
      </c>
      <c r="D6914" t="inlineStr">
        <is>
          <t>UPPSALA LÄN</t>
        </is>
      </c>
      <c r="E6914" t="inlineStr">
        <is>
          <t>ENKÖPING</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14519-2025</t>
        </is>
      </c>
      <c r="B6915" s="1" t="n">
        <v>45741</v>
      </c>
      <c r="C6915" s="1" t="n">
        <v>45846</v>
      </c>
      <c r="D6915" t="inlineStr">
        <is>
          <t>UPPSALA LÄN</t>
        </is>
      </c>
      <c r="E6915" t="inlineStr">
        <is>
          <t>ENKÖPING</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14772-2025</t>
        </is>
      </c>
      <c r="B6916" s="1" t="n">
        <v>45742</v>
      </c>
      <c r="C6916" s="1" t="n">
        <v>45846</v>
      </c>
      <c r="D6916" t="inlineStr">
        <is>
          <t>UPPSALA LÄN</t>
        </is>
      </c>
      <c r="E6916" t="inlineStr">
        <is>
          <t>TIERP</t>
        </is>
      </c>
      <c r="G6916" t="n">
        <v>4.6</v>
      </c>
      <c r="H6916" t="n">
        <v>0</v>
      </c>
      <c r="I6916" t="n">
        <v>0</v>
      </c>
      <c r="J6916" t="n">
        <v>0</v>
      </c>
      <c r="K6916" t="n">
        <v>0</v>
      </c>
      <c r="L6916" t="n">
        <v>0</v>
      </c>
      <c r="M6916" t="n">
        <v>0</v>
      </c>
      <c r="N6916" t="n">
        <v>0</v>
      </c>
      <c r="O6916" t="n">
        <v>0</v>
      </c>
      <c r="P6916" t="n">
        <v>0</v>
      </c>
      <c r="Q6916" t="n">
        <v>0</v>
      </c>
      <c r="R6916" s="2" t="inlineStr"/>
    </row>
    <row r="6917" ht="15" customHeight="1">
      <c r="A6917" t="inlineStr">
        <is>
          <t>A 14652-2025</t>
        </is>
      </c>
      <c r="B6917" s="1" t="n">
        <v>45742</v>
      </c>
      <c r="C6917" s="1" t="n">
        <v>45846</v>
      </c>
      <c r="D6917" t="inlineStr">
        <is>
          <t>UPPSALA LÄN</t>
        </is>
      </c>
      <c r="E6917" t="inlineStr">
        <is>
          <t>UPPSALA</t>
        </is>
      </c>
      <c r="G6917" t="n">
        <v>10.6</v>
      </c>
      <c r="H6917" t="n">
        <v>0</v>
      </c>
      <c r="I6917" t="n">
        <v>0</v>
      </c>
      <c r="J6917" t="n">
        <v>0</v>
      </c>
      <c r="K6917" t="n">
        <v>0</v>
      </c>
      <c r="L6917" t="n">
        <v>0</v>
      </c>
      <c r="M6917" t="n">
        <v>0</v>
      </c>
      <c r="N6917" t="n">
        <v>0</v>
      </c>
      <c r="O6917" t="n">
        <v>0</v>
      </c>
      <c r="P6917" t="n">
        <v>0</v>
      </c>
      <c r="Q6917" t="n">
        <v>0</v>
      </c>
      <c r="R6917" s="2" t="inlineStr"/>
    </row>
    <row r="6918" ht="15" customHeight="1">
      <c r="A6918" t="inlineStr">
        <is>
          <t>A 15031-2025</t>
        </is>
      </c>
      <c r="B6918" s="1" t="n">
        <v>45743</v>
      </c>
      <c r="C6918" s="1" t="n">
        <v>45846</v>
      </c>
      <c r="D6918" t="inlineStr">
        <is>
          <t>UPPSALA LÄN</t>
        </is>
      </c>
      <c r="E6918" t="inlineStr">
        <is>
          <t>ÖSTHAMMAR</t>
        </is>
      </c>
      <c r="G6918" t="n">
        <v>9.6</v>
      </c>
      <c r="H6918" t="n">
        <v>0</v>
      </c>
      <c r="I6918" t="n">
        <v>0</v>
      </c>
      <c r="J6918" t="n">
        <v>0</v>
      </c>
      <c r="K6918" t="n">
        <v>0</v>
      </c>
      <c r="L6918" t="n">
        <v>0</v>
      </c>
      <c r="M6918" t="n">
        <v>0</v>
      </c>
      <c r="N6918" t="n">
        <v>0</v>
      </c>
      <c r="O6918" t="n">
        <v>0</v>
      </c>
      <c r="P6918" t="n">
        <v>0</v>
      </c>
      <c r="Q6918" t="n">
        <v>0</v>
      </c>
      <c r="R6918" s="2" t="inlineStr"/>
    </row>
    <row r="6919" ht="15" customHeight="1">
      <c r="A6919" t="inlineStr">
        <is>
          <t>A 15041-2025</t>
        </is>
      </c>
      <c r="B6919" s="1" t="n">
        <v>45743</v>
      </c>
      <c r="C6919" s="1" t="n">
        <v>45846</v>
      </c>
      <c r="D6919" t="inlineStr">
        <is>
          <t>UPPSALA LÄN</t>
        </is>
      </c>
      <c r="E6919" t="inlineStr">
        <is>
          <t>HEBY</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14806-2025</t>
        </is>
      </c>
      <c r="B6920" s="1" t="n">
        <v>45743</v>
      </c>
      <c r="C6920" s="1" t="n">
        <v>45846</v>
      </c>
      <c r="D6920" t="inlineStr">
        <is>
          <t>UPPSALA LÄN</t>
        </is>
      </c>
      <c r="E6920" t="inlineStr">
        <is>
          <t>HÅBO</t>
        </is>
      </c>
      <c r="G6920" t="n">
        <v>16.6</v>
      </c>
      <c r="H6920" t="n">
        <v>0</v>
      </c>
      <c r="I6920" t="n">
        <v>0</v>
      </c>
      <c r="J6920" t="n">
        <v>0</v>
      </c>
      <c r="K6920" t="n">
        <v>0</v>
      </c>
      <c r="L6920" t="n">
        <v>0</v>
      </c>
      <c r="M6920" t="n">
        <v>0</v>
      </c>
      <c r="N6920" t="n">
        <v>0</v>
      </c>
      <c r="O6920" t="n">
        <v>0</v>
      </c>
      <c r="P6920" t="n">
        <v>0</v>
      </c>
      <c r="Q6920" t="n">
        <v>0</v>
      </c>
      <c r="R6920" s="2" t="inlineStr"/>
    </row>
    <row r="6921" ht="15" customHeight="1">
      <c r="A6921" t="inlineStr">
        <is>
          <t>A 14859-2025</t>
        </is>
      </c>
      <c r="B6921" s="1" t="n">
        <v>45743</v>
      </c>
      <c r="C6921" s="1" t="n">
        <v>45846</v>
      </c>
      <c r="D6921" t="inlineStr">
        <is>
          <t>UPPSALA LÄN</t>
        </is>
      </c>
      <c r="E6921" t="inlineStr">
        <is>
          <t>ÖSTHAMMAR</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14907-2025</t>
        </is>
      </c>
      <c r="B6922" s="1" t="n">
        <v>45743</v>
      </c>
      <c r="C6922" s="1" t="n">
        <v>45846</v>
      </c>
      <c r="D6922" t="inlineStr">
        <is>
          <t>UPPSALA LÄN</t>
        </is>
      </c>
      <c r="E6922" t="inlineStr">
        <is>
          <t>UPPSALA</t>
        </is>
      </c>
      <c r="G6922" t="n">
        <v>7</v>
      </c>
      <c r="H6922" t="n">
        <v>0</v>
      </c>
      <c r="I6922" t="n">
        <v>0</v>
      </c>
      <c r="J6922" t="n">
        <v>0</v>
      </c>
      <c r="K6922" t="n">
        <v>0</v>
      </c>
      <c r="L6922" t="n">
        <v>0</v>
      </c>
      <c r="M6922" t="n">
        <v>0</v>
      </c>
      <c r="N6922" t="n">
        <v>0</v>
      </c>
      <c r="O6922" t="n">
        <v>0</v>
      </c>
      <c r="P6922" t="n">
        <v>0</v>
      </c>
      <c r="Q6922" t="n">
        <v>0</v>
      </c>
      <c r="R6922" s="2" t="inlineStr"/>
    </row>
    <row r="6923" ht="15" customHeight="1">
      <c r="A6923" t="inlineStr">
        <is>
          <t>A 15203-2025</t>
        </is>
      </c>
      <c r="B6923" s="1" t="n">
        <v>45744</v>
      </c>
      <c r="C6923" s="1" t="n">
        <v>45846</v>
      </c>
      <c r="D6923" t="inlineStr">
        <is>
          <t>UPPSALA LÄN</t>
        </is>
      </c>
      <c r="E6923" t="inlineStr">
        <is>
          <t>ÖSTHAMMAR</t>
        </is>
      </c>
      <c r="G6923" t="n">
        <v>5.7</v>
      </c>
      <c r="H6923" t="n">
        <v>0</v>
      </c>
      <c r="I6923" t="n">
        <v>0</v>
      </c>
      <c r="J6923" t="n">
        <v>0</v>
      </c>
      <c r="K6923" t="n">
        <v>0</v>
      </c>
      <c r="L6923" t="n">
        <v>0</v>
      </c>
      <c r="M6923" t="n">
        <v>0</v>
      </c>
      <c r="N6923" t="n">
        <v>0</v>
      </c>
      <c r="O6923" t="n">
        <v>0</v>
      </c>
      <c r="P6923" t="n">
        <v>0</v>
      </c>
      <c r="Q6923" t="n">
        <v>0</v>
      </c>
      <c r="R6923" s="2" t="inlineStr"/>
    </row>
    <row r="6924" ht="15" customHeight="1">
      <c r="A6924" t="inlineStr">
        <is>
          <t>A 15264-2025</t>
        </is>
      </c>
      <c r="B6924" s="1" t="n">
        <v>45744</v>
      </c>
      <c r="C6924" s="1" t="n">
        <v>45846</v>
      </c>
      <c r="D6924" t="inlineStr">
        <is>
          <t>UPPSALA LÄN</t>
        </is>
      </c>
      <c r="E6924" t="inlineStr">
        <is>
          <t>UPPSALA</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15162-2025</t>
        </is>
      </c>
      <c r="B6925" s="1" t="n">
        <v>45744</v>
      </c>
      <c r="C6925" s="1" t="n">
        <v>45846</v>
      </c>
      <c r="D6925" t="inlineStr">
        <is>
          <t>UPPSALA LÄN</t>
        </is>
      </c>
      <c r="E6925" t="inlineStr">
        <is>
          <t>ENKÖPING</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16240-2025</t>
        </is>
      </c>
      <c r="B6926" s="1" t="n">
        <v>45746</v>
      </c>
      <c r="C6926" s="1" t="n">
        <v>45846</v>
      </c>
      <c r="D6926" t="inlineStr">
        <is>
          <t>UPPSALA LÄN</t>
        </is>
      </c>
      <c r="E6926" t="inlineStr">
        <is>
          <t>ÖSTHAMMAR</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15397-2025</t>
        </is>
      </c>
      <c r="B6927" s="1" t="n">
        <v>45747</v>
      </c>
      <c r="C6927" s="1" t="n">
        <v>45846</v>
      </c>
      <c r="D6927" t="inlineStr">
        <is>
          <t>UPPSALA LÄN</t>
        </is>
      </c>
      <c r="E6927" t="inlineStr">
        <is>
          <t>HEBY</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15424-2025</t>
        </is>
      </c>
      <c r="B6928" s="1" t="n">
        <v>45747</v>
      </c>
      <c r="C6928" s="1" t="n">
        <v>45846</v>
      </c>
      <c r="D6928" t="inlineStr">
        <is>
          <t>UPPSALA LÄN</t>
        </is>
      </c>
      <c r="E6928" t="inlineStr">
        <is>
          <t>HEBY</t>
        </is>
      </c>
      <c r="G6928" t="n">
        <v>4.5</v>
      </c>
      <c r="H6928" t="n">
        <v>0</v>
      </c>
      <c r="I6928" t="n">
        <v>0</v>
      </c>
      <c r="J6928" t="n">
        <v>0</v>
      </c>
      <c r="K6928" t="n">
        <v>0</v>
      </c>
      <c r="L6928" t="n">
        <v>0</v>
      </c>
      <c r="M6928" t="n">
        <v>0</v>
      </c>
      <c r="N6928" t="n">
        <v>0</v>
      </c>
      <c r="O6928" t="n">
        <v>0</v>
      </c>
      <c r="P6928" t="n">
        <v>0</v>
      </c>
      <c r="Q6928" t="n">
        <v>0</v>
      </c>
      <c r="R6928" s="2" t="inlineStr"/>
    </row>
    <row r="6929" ht="15" customHeight="1">
      <c r="A6929" t="inlineStr">
        <is>
          <t>A 15540-2025</t>
        </is>
      </c>
      <c r="B6929" s="1" t="n">
        <v>45747</v>
      </c>
      <c r="C6929" s="1" t="n">
        <v>45846</v>
      </c>
      <c r="D6929" t="inlineStr">
        <is>
          <t>UPPSALA LÄN</t>
        </is>
      </c>
      <c r="E6929" t="inlineStr">
        <is>
          <t>TIERP</t>
        </is>
      </c>
      <c r="F6929" t="inlineStr">
        <is>
          <t>Bergvik skog väst AB</t>
        </is>
      </c>
      <c r="G6929" t="n">
        <v>36.1</v>
      </c>
      <c r="H6929" t="n">
        <v>0</v>
      </c>
      <c r="I6929" t="n">
        <v>0</v>
      </c>
      <c r="J6929" t="n">
        <v>0</v>
      </c>
      <c r="K6929" t="n">
        <v>0</v>
      </c>
      <c r="L6929" t="n">
        <v>0</v>
      </c>
      <c r="M6929" t="n">
        <v>0</v>
      </c>
      <c r="N6929" t="n">
        <v>0</v>
      </c>
      <c r="O6929" t="n">
        <v>0</v>
      </c>
      <c r="P6929" t="n">
        <v>0</v>
      </c>
      <c r="Q6929" t="n">
        <v>0</v>
      </c>
      <c r="R6929" s="2" t="inlineStr"/>
    </row>
    <row r="6930" ht="15" customHeight="1">
      <c r="A6930" t="inlineStr">
        <is>
          <t>A 15504-2025</t>
        </is>
      </c>
      <c r="B6930" s="1" t="n">
        <v>45747</v>
      </c>
      <c r="C6930" s="1" t="n">
        <v>45846</v>
      </c>
      <c r="D6930" t="inlineStr">
        <is>
          <t>UPPSALA LÄN</t>
        </is>
      </c>
      <c r="E6930" t="inlineStr">
        <is>
          <t>TIERP</t>
        </is>
      </c>
      <c r="F6930" t="inlineStr">
        <is>
          <t>Bergvik skog väst AB</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15427-2025</t>
        </is>
      </c>
      <c r="B6931" s="1" t="n">
        <v>45747</v>
      </c>
      <c r="C6931" s="1" t="n">
        <v>45846</v>
      </c>
      <c r="D6931" t="inlineStr">
        <is>
          <t>UPPSALA LÄN</t>
        </is>
      </c>
      <c r="E6931" t="inlineStr">
        <is>
          <t>HEBY</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15409-2025</t>
        </is>
      </c>
      <c r="B6932" s="1" t="n">
        <v>45747</v>
      </c>
      <c r="C6932" s="1" t="n">
        <v>45846</v>
      </c>
      <c r="D6932" t="inlineStr">
        <is>
          <t>UPPSALA LÄN</t>
        </is>
      </c>
      <c r="E6932" t="inlineStr">
        <is>
          <t>ENKÖPING</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15405-2025</t>
        </is>
      </c>
      <c r="B6933" s="1" t="n">
        <v>45747</v>
      </c>
      <c r="C6933" s="1" t="n">
        <v>45846</v>
      </c>
      <c r="D6933" t="inlineStr">
        <is>
          <t>UPPSALA LÄN</t>
        </is>
      </c>
      <c r="E6933" t="inlineStr">
        <is>
          <t>ENKÖPING</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15473-2025</t>
        </is>
      </c>
      <c r="B6934" s="1" t="n">
        <v>45747</v>
      </c>
      <c r="C6934" s="1" t="n">
        <v>45846</v>
      </c>
      <c r="D6934" t="inlineStr">
        <is>
          <t>UPPSALA LÄN</t>
        </is>
      </c>
      <c r="E6934" t="inlineStr">
        <is>
          <t>UPPSALA</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15732-2025</t>
        </is>
      </c>
      <c r="B6935" s="1" t="n">
        <v>45747</v>
      </c>
      <c r="C6935" s="1" t="n">
        <v>45846</v>
      </c>
      <c r="D6935" t="inlineStr">
        <is>
          <t>UPPSALA LÄN</t>
        </is>
      </c>
      <c r="E6935" t="inlineStr">
        <is>
          <t>HÅBO</t>
        </is>
      </c>
      <c r="F6935" t="inlineStr">
        <is>
          <t>Kyrkan</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15739-2025</t>
        </is>
      </c>
      <c r="B6936" s="1" t="n">
        <v>45748</v>
      </c>
      <c r="C6936" s="1" t="n">
        <v>45846</v>
      </c>
      <c r="D6936" t="inlineStr">
        <is>
          <t>UPPSALA LÄN</t>
        </is>
      </c>
      <c r="E6936" t="inlineStr">
        <is>
          <t>ÄLVKARLEBY</t>
        </is>
      </c>
      <c r="F6936" t="inlineStr">
        <is>
          <t>Kyrkan</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15662-2025</t>
        </is>
      </c>
      <c r="B6937" s="1" t="n">
        <v>45748</v>
      </c>
      <c r="C6937" s="1" t="n">
        <v>45846</v>
      </c>
      <c r="D6937" t="inlineStr">
        <is>
          <t>UPPSALA LÄN</t>
        </is>
      </c>
      <c r="E6937" t="inlineStr">
        <is>
          <t>TIERP</t>
        </is>
      </c>
      <c r="F6937" t="inlineStr">
        <is>
          <t>Kyrkan</t>
        </is>
      </c>
      <c r="G6937" t="n">
        <v>5.4</v>
      </c>
      <c r="H6937" t="n">
        <v>0</v>
      </c>
      <c r="I6937" t="n">
        <v>0</v>
      </c>
      <c r="J6937" t="n">
        <v>0</v>
      </c>
      <c r="K6937" t="n">
        <v>0</v>
      </c>
      <c r="L6937" t="n">
        <v>0</v>
      </c>
      <c r="M6937" t="n">
        <v>0</v>
      </c>
      <c r="N6937" t="n">
        <v>0</v>
      </c>
      <c r="O6937" t="n">
        <v>0</v>
      </c>
      <c r="P6937" t="n">
        <v>0</v>
      </c>
      <c r="Q6937" t="n">
        <v>0</v>
      </c>
      <c r="R6937" s="2" t="inlineStr"/>
    </row>
    <row r="6938" ht="15" customHeight="1">
      <c r="A6938" t="inlineStr">
        <is>
          <t>A 15793-2025</t>
        </is>
      </c>
      <c r="B6938" s="1" t="n">
        <v>45748</v>
      </c>
      <c r="C6938" s="1" t="n">
        <v>45846</v>
      </c>
      <c r="D6938" t="inlineStr">
        <is>
          <t>UPPSALA LÄN</t>
        </is>
      </c>
      <c r="E6938" t="inlineStr">
        <is>
          <t>TIERP</t>
        </is>
      </c>
      <c r="G6938" t="n">
        <v>8.300000000000001</v>
      </c>
      <c r="H6938" t="n">
        <v>0</v>
      </c>
      <c r="I6938" t="n">
        <v>0</v>
      </c>
      <c r="J6938" t="n">
        <v>0</v>
      </c>
      <c r="K6938" t="n">
        <v>0</v>
      </c>
      <c r="L6938" t="n">
        <v>0</v>
      </c>
      <c r="M6938" t="n">
        <v>0</v>
      </c>
      <c r="N6938" t="n">
        <v>0</v>
      </c>
      <c r="O6938" t="n">
        <v>0</v>
      </c>
      <c r="P6938" t="n">
        <v>0</v>
      </c>
      <c r="Q6938" t="n">
        <v>0</v>
      </c>
      <c r="R6938" s="2" t="inlineStr"/>
    </row>
    <row r="6939" ht="15" customHeight="1">
      <c r="A6939" t="inlineStr">
        <is>
          <t>A 15787-2025</t>
        </is>
      </c>
      <c r="B6939" s="1" t="n">
        <v>45748</v>
      </c>
      <c r="C6939" s="1" t="n">
        <v>45846</v>
      </c>
      <c r="D6939" t="inlineStr">
        <is>
          <t>UPPSALA LÄN</t>
        </is>
      </c>
      <c r="E6939" t="inlineStr">
        <is>
          <t>HEBY</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15764-2025</t>
        </is>
      </c>
      <c r="B6940" s="1" t="n">
        <v>45748</v>
      </c>
      <c r="C6940" s="1" t="n">
        <v>45846</v>
      </c>
      <c r="D6940" t="inlineStr">
        <is>
          <t>UPPSALA LÄN</t>
        </is>
      </c>
      <c r="E6940" t="inlineStr">
        <is>
          <t>ENKÖPING</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15749-2025</t>
        </is>
      </c>
      <c r="B6941" s="1" t="n">
        <v>45748</v>
      </c>
      <c r="C6941" s="1" t="n">
        <v>45846</v>
      </c>
      <c r="D6941" t="inlineStr">
        <is>
          <t>UPPSALA LÄN</t>
        </is>
      </c>
      <c r="E6941" t="inlineStr">
        <is>
          <t>ÄLVKARLEBY</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15711-2025</t>
        </is>
      </c>
      <c r="B6942" s="1" t="n">
        <v>45748</v>
      </c>
      <c r="C6942" s="1" t="n">
        <v>45846</v>
      </c>
      <c r="D6942" t="inlineStr">
        <is>
          <t>UPPSALA LÄN</t>
        </is>
      </c>
      <c r="E6942" t="inlineStr">
        <is>
          <t>ENKÖPING</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15740-2025</t>
        </is>
      </c>
      <c r="B6943" s="1" t="n">
        <v>45748</v>
      </c>
      <c r="C6943" s="1" t="n">
        <v>45846</v>
      </c>
      <c r="D6943" t="inlineStr">
        <is>
          <t>UPPSALA LÄN</t>
        </is>
      </c>
      <c r="E6943" t="inlineStr">
        <is>
          <t>ENKÖPING</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16083-2025</t>
        </is>
      </c>
      <c r="B6944" s="1" t="n">
        <v>45749</v>
      </c>
      <c r="C6944" s="1" t="n">
        <v>45846</v>
      </c>
      <c r="D6944" t="inlineStr">
        <is>
          <t>UPPSALA LÄN</t>
        </is>
      </c>
      <c r="E6944" t="inlineStr">
        <is>
          <t>HEBY</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15937-2025</t>
        </is>
      </c>
      <c r="B6945" s="1" t="n">
        <v>45749</v>
      </c>
      <c r="C6945" s="1" t="n">
        <v>45846</v>
      </c>
      <c r="D6945" t="inlineStr">
        <is>
          <t>UPPSALA LÄN</t>
        </is>
      </c>
      <c r="E6945" t="inlineStr">
        <is>
          <t>UPPSALA</t>
        </is>
      </c>
      <c r="G6945" t="n">
        <v>7.6</v>
      </c>
      <c r="H6945" t="n">
        <v>0</v>
      </c>
      <c r="I6945" t="n">
        <v>0</v>
      </c>
      <c r="J6945" t="n">
        <v>0</v>
      </c>
      <c r="K6945" t="n">
        <v>0</v>
      </c>
      <c r="L6945" t="n">
        <v>0</v>
      </c>
      <c r="M6945" t="n">
        <v>0</v>
      </c>
      <c r="N6945" t="n">
        <v>0</v>
      </c>
      <c r="O6945" t="n">
        <v>0</v>
      </c>
      <c r="P6945" t="n">
        <v>0</v>
      </c>
      <c r="Q6945" t="n">
        <v>0</v>
      </c>
      <c r="R6945" s="2" t="inlineStr"/>
    </row>
    <row r="6946" ht="15" customHeight="1">
      <c r="A6946" t="inlineStr">
        <is>
          <t>A 16089-2025</t>
        </is>
      </c>
      <c r="B6946" s="1" t="n">
        <v>45749</v>
      </c>
      <c r="C6946" s="1" t="n">
        <v>45846</v>
      </c>
      <c r="D6946" t="inlineStr">
        <is>
          <t>UPPSALA LÄN</t>
        </is>
      </c>
      <c r="E6946" t="inlineStr">
        <is>
          <t>ÖSTHAMMAR</t>
        </is>
      </c>
      <c r="F6946" t="inlineStr">
        <is>
          <t>Bergvik skog öst AB</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16062-2025</t>
        </is>
      </c>
      <c r="B6947" s="1" t="n">
        <v>45749</v>
      </c>
      <c r="C6947" s="1" t="n">
        <v>45846</v>
      </c>
      <c r="D6947" t="inlineStr">
        <is>
          <t>UPPSALA LÄN</t>
        </is>
      </c>
      <c r="E6947" t="inlineStr">
        <is>
          <t>TIERP</t>
        </is>
      </c>
      <c r="F6947" t="inlineStr">
        <is>
          <t>Bergvik skog väst AB</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16161-2025</t>
        </is>
      </c>
      <c r="B6948" s="1" t="n">
        <v>45750</v>
      </c>
      <c r="C6948" s="1" t="n">
        <v>45846</v>
      </c>
      <c r="D6948" t="inlineStr">
        <is>
          <t>UPPSALA LÄN</t>
        </is>
      </c>
      <c r="E6948" t="inlineStr">
        <is>
          <t>ÖSTHAMMAR</t>
        </is>
      </c>
      <c r="F6948" t="inlineStr">
        <is>
          <t>Övriga Aktiebolag</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16255-2025</t>
        </is>
      </c>
      <c r="B6949" s="1" t="n">
        <v>45750</v>
      </c>
      <c r="C6949" s="1" t="n">
        <v>45846</v>
      </c>
      <c r="D6949" t="inlineStr">
        <is>
          <t>UPPSALA LÄN</t>
        </is>
      </c>
      <c r="E6949" t="inlineStr">
        <is>
          <t>TIERP</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16157-2025</t>
        </is>
      </c>
      <c r="B6950" s="1" t="n">
        <v>45750</v>
      </c>
      <c r="C6950" s="1" t="n">
        <v>45846</v>
      </c>
      <c r="D6950" t="inlineStr">
        <is>
          <t>UPPSALA LÄN</t>
        </is>
      </c>
      <c r="E6950" t="inlineStr">
        <is>
          <t>TIERP</t>
        </is>
      </c>
      <c r="F6950" t="inlineStr">
        <is>
          <t>Bergvik skog öst AB</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16176-2025</t>
        </is>
      </c>
      <c r="B6951" s="1" t="n">
        <v>45750</v>
      </c>
      <c r="C6951" s="1" t="n">
        <v>45846</v>
      </c>
      <c r="D6951" t="inlineStr">
        <is>
          <t>UPPSALA LÄN</t>
        </is>
      </c>
      <c r="E6951" t="inlineStr">
        <is>
          <t>ENKÖPING</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16177-2025</t>
        </is>
      </c>
      <c r="B6952" s="1" t="n">
        <v>45750</v>
      </c>
      <c r="C6952" s="1" t="n">
        <v>45846</v>
      </c>
      <c r="D6952" t="inlineStr">
        <is>
          <t>UPPSALA LÄN</t>
        </is>
      </c>
      <c r="E6952" t="inlineStr">
        <is>
          <t>TIERP</t>
        </is>
      </c>
      <c r="F6952" t="inlineStr">
        <is>
          <t>Bergvik skog öst AB</t>
        </is>
      </c>
      <c r="G6952" t="n">
        <v>9.5</v>
      </c>
      <c r="H6952" t="n">
        <v>0</v>
      </c>
      <c r="I6952" t="n">
        <v>0</v>
      </c>
      <c r="J6952" t="n">
        <v>0</v>
      </c>
      <c r="K6952" t="n">
        <v>0</v>
      </c>
      <c r="L6952" t="n">
        <v>0</v>
      </c>
      <c r="M6952" t="n">
        <v>0</v>
      </c>
      <c r="N6952" t="n">
        <v>0</v>
      </c>
      <c r="O6952" t="n">
        <v>0</v>
      </c>
      <c r="P6952" t="n">
        <v>0</v>
      </c>
      <c r="Q6952" t="n">
        <v>0</v>
      </c>
      <c r="R6952" s="2" t="inlineStr"/>
    </row>
    <row r="6953" ht="15" customHeight="1">
      <c r="A6953" t="inlineStr">
        <is>
          <t>A 16512-2025</t>
        </is>
      </c>
      <c r="B6953" s="1" t="n">
        <v>45751</v>
      </c>
      <c r="C6953" s="1" t="n">
        <v>45846</v>
      </c>
      <c r="D6953" t="inlineStr">
        <is>
          <t>UPPSALA LÄN</t>
        </is>
      </c>
      <c r="E6953" t="inlineStr">
        <is>
          <t>TIERP</t>
        </is>
      </c>
      <c r="F6953" t="inlineStr">
        <is>
          <t>Bergvik skog väst AB</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16484-2025</t>
        </is>
      </c>
      <c r="B6954" s="1" t="n">
        <v>45751</v>
      </c>
      <c r="C6954" s="1" t="n">
        <v>45846</v>
      </c>
      <c r="D6954" t="inlineStr">
        <is>
          <t>UPPSALA LÄN</t>
        </is>
      </c>
      <c r="E6954" t="inlineStr">
        <is>
          <t>TIERP</t>
        </is>
      </c>
      <c r="F6954" t="inlineStr">
        <is>
          <t>Bergvik skog väst AB</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16396-2025</t>
        </is>
      </c>
      <c r="B6955" s="1" t="n">
        <v>45751</v>
      </c>
      <c r="C6955" s="1" t="n">
        <v>45846</v>
      </c>
      <c r="D6955" t="inlineStr">
        <is>
          <t>UPPSALA LÄN</t>
        </is>
      </c>
      <c r="E6955" t="inlineStr">
        <is>
          <t>KNIVSTA</t>
        </is>
      </c>
      <c r="G6955" t="n">
        <v>5.1</v>
      </c>
      <c r="H6955" t="n">
        <v>0</v>
      </c>
      <c r="I6955" t="n">
        <v>0</v>
      </c>
      <c r="J6955" t="n">
        <v>0</v>
      </c>
      <c r="K6955" t="n">
        <v>0</v>
      </c>
      <c r="L6955" t="n">
        <v>0</v>
      </c>
      <c r="M6955" t="n">
        <v>0</v>
      </c>
      <c r="N6955" t="n">
        <v>0</v>
      </c>
      <c r="O6955" t="n">
        <v>0</v>
      </c>
      <c r="P6955" t="n">
        <v>0</v>
      </c>
      <c r="Q6955" t="n">
        <v>0</v>
      </c>
      <c r="R6955" s="2" t="inlineStr"/>
    </row>
    <row r="6956" ht="15" customHeight="1">
      <c r="A6956" t="inlineStr">
        <is>
          <t>A 16516-2025</t>
        </is>
      </c>
      <c r="B6956" s="1" t="n">
        <v>45751</v>
      </c>
      <c r="C6956" s="1" t="n">
        <v>45846</v>
      </c>
      <c r="D6956" t="inlineStr">
        <is>
          <t>UPPSALA LÄN</t>
        </is>
      </c>
      <c r="E6956" t="inlineStr">
        <is>
          <t>TIERP</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16531-2025</t>
        </is>
      </c>
      <c r="B6957" s="1" t="n">
        <v>45751</v>
      </c>
      <c r="C6957" s="1" t="n">
        <v>45846</v>
      </c>
      <c r="D6957" t="inlineStr">
        <is>
          <t>UPPSALA LÄN</t>
        </is>
      </c>
      <c r="E6957" t="inlineStr">
        <is>
          <t>ÖSTHAMMAR</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16494-2025</t>
        </is>
      </c>
      <c r="B6958" s="1" t="n">
        <v>45751</v>
      </c>
      <c r="C6958" s="1" t="n">
        <v>45846</v>
      </c>
      <c r="D6958" t="inlineStr">
        <is>
          <t>UPPSALA LÄN</t>
        </is>
      </c>
      <c r="E6958" t="inlineStr">
        <is>
          <t>TIERP</t>
        </is>
      </c>
      <c r="F6958" t="inlineStr">
        <is>
          <t>Bergvik skog väst AB</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16288-2025</t>
        </is>
      </c>
      <c r="B6959" s="1" t="n">
        <v>45751</v>
      </c>
      <c r="C6959" s="1" t="n">
        <v>45846</v>
      </c>
      <c r="D6959" t="inlineStr">
        <is>
          <t>UPPSALA LÄN</t>
        </is>
      </c>
      <c r="E6959" t="inlineStr">
        <is>
          <t>UPPSALA</t>
        </is>
      </c>
      <c r="G6959" t="n">
        <v>3.9</v>
      </c>
      <c r="H6959" t="n">
        <v>0</v>
      </c>
      <c r="I6959" t="n">
        <v>0</v>
      </c>
      <c r="J6959" t="n">
        <v>0</v>
      </c>
      <c r="K6959" t="n">
        <v>0</v>
      </c>
      <c r="L6959" t="n">
        <v>0</v>
      </c>
      <c r="M6959" t="n">
        <v>0</v>
      </c>
      <c r="N6959" t="n">
        <v>0</v>
      </c>
      <c r="O6959" t="n">
        <v>0</v>
      </c>
      <c r="P6959" t="n">
        <v>0</v>
      </c>
      <c r="Q6959" t="n">
        <v>0</v>
      </c>
      <c r="R6959" s="2" t="inlineStr"/>
    </row>
    <row r="6960" ht="15" customHeight="1">
      <c r="A6960" t="inlineStr">
        <is>
          <t>A 16521-2025</t>
        </is>
      </c>
      <c r="B6960" s="1" t="n">
        <v>45751</v>
      </c>
      <c r="C6960" s="1" t="n">
        <v>45846</v>
      </c>
      <c r="D6960" t="inlineStr">
        <is>
          <t>UPPSALA LÄN</t>
        </is>
      </c>
      <c r="E6960" t="inlineStr">
        <is>
          <t>ENKÖPING</t>
        </is>
      </c>
      <c r="G6960" t="n">
        <v>8.800000000000001</v>
      </c>
      <c r="H6960" t="n">
        <v>0</v>
      </c>
      <c r="I6960" t="n">
        <v>0</v>
      </c>
      <c r="J6960" t="n">
        <v>0</v>
      </c>
      <c r="K6960" t="n">
        <v>0</v>
      </c>
      <c r="L6960" t="n">
        <v>0</v>
      </c>
      <c r="M6960" t="n">
        <v>0</v>
      </c>
      <c r="N6960" t="n">
        <v>0</v>
      </c>
      <c r="O6960" t="n">
        <v>0</v>
      </c>
      <c r="P6960" t="n">
        <v>0</v>
      </c>
      <c r="Q6960" t="n">
        <v>0</v>
      </c>
      <c r="R6960" s="2" t="inlineStr"/>
    </row>
    <row r="6961" ht="15" customHeight="1">
      <c r="A6961" t="inlineStr">
        <is>
          <t>A 16851-2025</t>
        </is>
      </c>
      <c r="B6961" s="1" t="n">
        <v>45754</v>
      </c>
      <c r="C6961" s="1" t="n">
        <v>45846</v>
      </c>
      <c r="D6961" t="inlineStr">
        <is>
          <t>UPPSALA LÄN</t>
        </is>
      </c>
      <c r="E6961" t="inlineStr">
        <is>
          <t>TIERP</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16852-2025</t>
        </is>
      </c>
      <c r="B6962" s="1" t="n">
        <v>45754</v>
      </c>
      <c r="C6962" s="1" t="n">
        <v>45846</v>
      </c>
      <c r="D6962" t="inlineStr">
        <is>
          <t>UPPSALA LÄN</t>
        </is>
      </c>
      <c r="E6962" t="inlineStr">
        <is>
          <t>TIERP</t>
        </is>
      </c>
      <c r="G6962" t="n">
        <v>5.2</v>
      </c>
      <c r="H6962" t="n">
        <v>0</v>
      </c>
      <c r="I6962" t="n">
        <v>0</v>
      </c>
      <c r="J6962" t="n">
        <v>0</v>
      </c>
      <c r="K6962" t="n">
        <v>0</v>
      </c>
      <c r="L6962" t="n">
        <v>0</v>
      </c>
      <c r="M6962" t="n">
        <v>0</v>
      </c>
      <c r="N6962" t="n">
        <v>0</v>
      </c>
      <c r="O6962" t="n">
        <v>0</v>
      </c>
      <c r="P6962" t="n">
        <v>0</v>
      </c>
      <c r="Q6962" t="n">
        <v>0</v>
      </c>
      <c r="R6962" s="2" t="inlineStr"/>
    </row>
    <row r="6963" ht="15" customHeight="1">
      <c r="A6963" t="inlineStr">
        <is>
          <t>A 16802-2025</t>
        </is>
      </c>
      <c r="B6963" s="1" t="n">
        <v>45754</v>
      </c>
      <c r="C6963" s="1" t="n">
        <v>45846</v>
      </c>
      <c r="D6963" t="inlineStr">
        <is>
          <t>UPPSALA LÄN</t>
        </is>
      </c>
      <c r="E6963" t="inlineStr">
        <is>
          <t>TIERP</t>
        </is>
      </c>
      <c r="F6963" t="inlineStr">
        <is>
          <t>Bergvik skog väst AB</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17089-2025</t>
        </is>
      </c>
      <c r="B6964" s="1" t="n">
        <v>45755</v>
      </c>
      <c r="C6964" s="1" t="n">
        <v>45846</v>
      </c>
      <c r="D6964" t="inlineStr">
        <is>
          <t>UPPSALA LÄN</t>
        </is>
      </c>
      <c r="E6964" t="inlineStr">
        <is>
          <t>ÖSTHAMMAR</t>
        </is>
      </c>
      <c r="F6964" t="inlineStr">
        <is>
          <t>Bergvik skog öst AB</t>
        </is>
      </c>
      <c r="G6964" t="n">
        <v>15.9</v>
      </c>
      <c r="H6964" t="n">
        <v>0</v>
      </c>
      <c r="I6964" t="n">
        <v>0</v>
      </c>
      <c r="J6964" t="n">
        <v>0</v>
      </c>
      <c r="K6964" t="n">
        <v>0</v>
      </c>
      <c r="L6964" t="n">
        <v>0</v>
      </c>
      <c r="M6964" t="n">
        <v>0</v>
      </c>
      <c r="N6964" t="n">
        <v>0</v>
      </c>
      <c r="O6964" t="n">
        <v>0</v>
      </c>
      <c r="P6964" t="n">
        <v>0</v>
      </c>
      <c r="Q6964" t="n">
        <v>0</v>
      </c>
      <c r="R6964" s="2" t="inlineStr"/>
    </row>
    <row r="6965" ht="15" customHeight="1">
      <c r="A6965" t="inlineStr">
        <is>
          <t>A 17090-2025</t>
        </is>
      </c>
      <c r="B6965" s="1" t="n">
        <v>45755</v>
      </c>
      <c r="C6965" s="1" t="n">
        <v>45846</v>
      </c>
      <c r="D6965" t="inlineStr">
        <is>
          <t>UPPSALA LÄN</t>
        </is>
      </c>
      <c r="E6965" t="inlineStr">
        <is>
          <t>ÖSTHAMMAR</t>
        </is>
      </c>
      <c r="F6965" t="inlineStr">
        <is>
          <t>Bergvik skog öst AB</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17085-2025</t>
        </is>
      </c>
      <c r="B6966" s="1" t="n">
        <v>45755</v>
      </c>
      <c r="C6966" s="1" t="n">
        <v>45846</v>
      </c>
      <c r="D6966" t="inlineStr">
        <is>
          <t>UPPSALA LÄN</t>
        </is>
      </c>
      <c r="E6966" t="inlineStr">
        <is>
          <t>ÖSTHAMMAR</t>
        </is>
      </c>
      <c r="F6966" t="inlineStr">
        <is>
          <t>Bergvik skog öst AB</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17029-2025</t>
        </is>
      </c>
      <c r="B6967" s="1" t="n">
        <v>45755</v>
      </c>
      <c r="C6967" s="1" t="n">
        <v>45846</v>
      </c>
      <c r="D6967" t="inlineStr">
        <is>
          <t>UPPSALA LÄN</t>
        </is>
      </c>
      <c r="E6967" t="inlineStr">
        <is>
          <t>ENKÖPING</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17038-2025</t>
        </is>
      </c>
      <c r="B6968" s="1" t="n">
        <v>45755</v>
      </c>
      <c r="C6968" s="1" t="n">
        <v>45846</v>
      </c>
      <c r="D6968" t="inlineStr">
        <is>
          <t>UPPSALA LÄN</t>
        </is>
      </c>
      <c r="E6968" t="inlineStr">
        <is>
          <t>ENKÖPING</t>
        </is>
      </c>
      <c r="G6968" t="n">
        <v>4.8</v>
      </c>
      <c r="H6968" t="n">
        <v>0</v>
      </c>
      <c r="I6968" t="n">
        <v>0</v>
      </c>
      <c r="J6968" t="n">
        <v>0</v>
      </c>
      <c r="K6968" t="n">
        <v>0</v>
      </c>
      <c r="L6968" t="n">
        <v>0</v>
      </c>
      <c r="M6968" t="n">
        <v>0</v>
      </c>
      <c r="N6968" t="n">
        <v>0</v>
      </c>
      <c r="O6968" t="n">
        <v>0</v>
      </c>
      <c r="P6968" t="n">
        <v>0</v>
      </c>
      <c r="Q6968" t="n">
        <v>0</v>
      </c>
      <c r="R6968" s="2" t="inlineStr"/>
    </row>
    <row r="6969" ht="15" customHeight="1">
      <c r="A6969" t="inlineStr">
        <is>
          <t>A 17250-2025</t>
        </is>
      </c>
      <c r="B6969" s="1" t="n">
        <v>45756</v>
      </c>
      <c r="C6969" s="1" t="n">
        <v>45846</v>
      </c>
      <c r="D6969" t="inlineStr">
        <is>
          <t>UPPSALA LÄN</t>
        </is>
      </c>
      <c r="E6969" t="inlineStr">
        <is>
          <t>UPPSALA</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17150-2025</t>
        </is>
      </c>
      <c r="B6970" s="1" t="n">
        <v>45756</v>
      </c>
      <c r="C6970" s="1" t="n">
        <v>45846</v>
      </c>
      <c r="D6970" t="inlineStr">
        <is>
          <t>UPPSALA LÄN</t>
        </is>
      </c>
      <c r="E6970" t="inlineStr">
        <is>
          <t>TIERP</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17324-2025</t>
        </is>
      </c>
      <c r="B6971" s="1" t="n">
        <v>45756</v>
      </c>
      <c r="C6971" s="1" t="n">
        <v>45846</v>
      </c>
      <c r="D6971" t="inlineStr">
        <is>
          <t>UPPSALA LÄN</t>
        </is>
      </c>
      <c r="E6971" t="inlineStr">
        <is>
          <t>ÖSTHAMMAR</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17349-2025</t>
        </is>
      </c>
      <c r="B6972" s="1" t="n">
        <v>45756</v>
      </c>
      <c r="C6972" s="1" t="n">
        <v>45846</v>
      </c>
      <c r="D6972" t="inlineStr">
        <is>
          <t>UPPSALA LÄN</t>
        </is>
      </c>
      <c r="E6972" t="inlineStr">
        <is>
          <t>HEBY</t>
        </is>
      </c>
      <c r="G6972" t="n">
        <v>7.2</v>
      </c>
      <c r="H6972" t="n">
        <v>0</v>
      </c>
      <c r="I6972" t="n">
        <v>0</v>
      </c>
      <c r="J6972" t="n">
        <v>0</v>
      </c>
      <c r="K6972" t="n">
        <v>0</v>
      </c>
      <c r="L6972" t="n">
        <v>0</v>
      </c>
      <c r="M6972" t="n">
        <v>0</v>
      </c>
      <c r="N6972" t="n">
        <v>0</v>
      </c>
      <c r="O6972" t="n">
        <v>0</v>
      </c>
      <c r="P6972" t="n">
        <v>0</v>
      </c>
      <c r="Q6972" t="n">
        <v>0</v>
      </c>
      <c r="R6972" s="2" t="inlineStr"/>
    </row>
    <row r="6973" ht="15" customHeight="1">
      <c r="A6973" t="inlineStr">
        <is>
          <t>A 17211-2025</t>
        </is>
      </c>
      <c r="B6973" s="1" t="n">
        <v>45756</v>
      </c>
      <c r="C6973" s="1" t="n">
        <v>45846</v>
      </c>
      <c r="D6973" t="inlineStr">
        <is>
          <t>UPPSALA LÄN</t>
        </is>
      </c>
      <c r="E6973" t="inlineStr">
        <is>
          <t>UPPSALA</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17325-2025</t>
        </is>
      </c>
      <c r="B6974" s="1" t="n">
        <v>45756</v>
      </c>
      <c r="C6974" s="1" t="n">
        <v>45846</v>
      </c>
      <c r="D6974" t="inlineStr">
        <is>
          <t>UPPSALA LÄN</t>
        </is>
      </c>
      <c r="E6974" t="inlineStr">
        <is>
          <t>ÖSTHAMMAR</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17165-2025</t>
        </is>
      </c>
      <c r="B6975" s="1" t="n">
        <v>45756</v>
      </c>
      <c r="C6975" s="1" t="n">
        <v>45846</v>
      </c>
      <c r="D6975" t="inlineStr">
        <is>
          <t>UPPSALA LÄN</t>
        </is>
      </c>
      <c r="E6975" t="inlineStr">
        <is>
          <t>ENKÖPING</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17465-2025</t>
        </is>
      </c>
      <c r="B6976" s="1" t="n">
        <v>45757</v>
      </c>
      <c r="C6976" s="1" t="n">
        <v>45846</v>
      </c>
      <c r="D6976" t="inlineStr">
        <is>
          <t>UPPSALA LÄN</t>
        </is>
      </c>
      <c r="E6976" t="inlineStr">
        <is>
          <t>TIERP</t>
        </is>
      </c>
      <c r="F6976" t="inlineStr">
        <is>
          <t>Bergvik skog väst AB</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17449-2025</t>
        </is>
      </c>
      <c r="B6977" s="1" t="n">
        <v>45757</v>
      </c>
      <c r="C6977" s="1" t="n">
        <v>45846</v>
      </c>
      <c r="D6977" t="inlineStr">
        <is>
          <t>UPPSALA LÄN</t>
        </is>
      </c>
      <c r="E6977" t="inlineStr">
        <is>
          <t>TIERP</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17454-2025</t>
        </is>
      </c>
      <c r="B6978" s="1" t="n">
        <v>45757</v>
      </c>
      <c r="C6978" s="1" t="n">
        <v>45846</v>
      </c>
      <c r="D6978" t="inlineStr">
        <is>
          <t>UPPSALA LÄN</t>
        </is>
      </c>
      <c r="E6978" t="inlineStr">
        <is>
          <t>TIERP</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17457-2025</t>
        </is>
      </c>
      <c r="B6979" s="1" t="n">
        <v>45757</v>
      </c>
      <c r="C6979" s="1" t="n">
        <v>45846</v>
      </c>
      <c r="D6979" t="inlineStr">
        <is>
          <t>UPPSALA LÄN</t>
        </is>
      </c>
      <c r="E6979" t="inlineStr">
        <is>
          <t>TIERP</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17587-2025</t>
        </is>
      </c>
      <c r="B6980" s="1" t="n">
        <v>45757</v>
      </c>
      <c r="C6980" s="1" t="n">
        <v>45846</v>
      </c>
      <c r="D6980" t="inlineStr">
        <is>
          <t>UPPSALA LÄN</t>
        </is>
      </c>
      <c r="E6980" t="inlineStr">
        <is>
          <t>UPPSALA</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17593-2025</t>
        </is>
      </c>
      <c r="B6981" s="1" t="n">
        <v>45757</v>
      </c>
      <c r="C6981" s="1" t="n">
        <v>45846</v>
      </c>
      <c r="D6981" t="inlineStr">
        <is>
          <t>UPPSALA LÄN</t>
        </is>
      </c>
      <c r="E6981" t="inlineStr">
        <is>
          <t>UPPSALA</t>
        </is>
      </c>
      <c r="G6981" t="n">
        <v>3.6</v>
      </c>
      <c r="H6981" t="n">
        <v>0</v>
      </c>
      <c r="I6981" t="n">
        <v>0</v>
      </c>
      <c r="J6981" t="n">
        <v>0</v>
      </c>
      <c r="K6981" t="n">
        <v>0</v>
      </c>
      <c r="L6981" t="n">
        <v>0</v>
      </c>
      <c r="M6981" t="n">
        <v>0</v>
      </c>
      <c r="N6981" t="n">
        <v>0</v>
      </c>
      <c r="O6981" t="n">
        <v>0</v>
      </c>
      <c r="P6981" t="n">
        <v>0</v>
      </c>
      <c r="Q6981" t="n">
        <v>0</v>
      </c>
      <c r="R6981" s="2" t="inlineStr"/>
    </row>
    <row r="6982" ht="15" customHeight="1">
      <c r="A6982" t="inlineStr">
        <is>
          <t>A 17433-2025</t>
        </is>
      </c>
      <c r="B6982" s="1" t="n">
        <v>45757</v>
      </c>
      <c r="C6982" s="1" t="n">
        <v>45846</v>
      </c>
      <c r="D6982" t="inlineStr">
        <is>
          <t>UPPSALA LÄN</t>
        </is>
      </c>
      <c r="E6982" t="inlineStr">
        <is>
          <t>ÖSTHAMMAR</t>
        </is>
      </c>
      <c r="F6982" t="inlineStr">
        <is>
          <t>Övriga Aktiebolag</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17438-2025</t>
        </is>
      </c>
      <c r="B6983" s="1" t="n">
        <v>45757</v>
      </c>
      <c r="C6983" s="1" t="n">
        <v>45846</v>
      </c>
      <c r="D6983" t="inlineStr">
        <is>
          <t>UPPSALA LÄN</t>
        </is>
      </c>
      <c r="E6983" t="inlineStr">
        <is>
          <t>TIERP</t>
        </is>
      </c>
      <c r="F6983" t="inlineStr">
        <is>
          <t>Bergvik skog öst AB</t>
        </is>
      </c>
      <c r="G6983" t="n">
        <v>8.5</v>
      </c>
      <c r="H6983" t="n">
        <v>0</v>
      </c>
      <c r="I6983" t="n">
        <v>0</v>
      </c>
      <c r="J6983" t="n">
        <v>0</v>
      </c>
      <c r="K6983" t="n">
        <v>0</v>
      </c>
      <c r="L6983" t="n">
        <v>0</v>
      </c>
      <c r="M6983" t="n">
        <v>0</v>
      </c>
      <c r="N6983" t="n">
        <v>0</v>
      </c>
      <c r="O6983" t="n">
        <v>0</v>
      </c>
      <c r="P6983" t="n">
        <v>0</v>
      </c>
      <c r="Q6983" t="n">
        <v>0</v>
      </c>
      <c r="R6983" s="2" t="inlineStr"/>
    </row>
    <row r="6984" ht="15" customHeight="1">
      <c r="A6984" t="inlineStr">
        <is>
          <t>A 17412-2025</t>
        </is>
      </c>
      <c r="B6984" s="1" t="n">
        <v>45757</v>
      </c>
      <c r="C6984" s="1" t="n">
        <v>45846</v>
      </c>
      <c r="D6984" t="inlineStr">
        <is>
          <t>UPPSALA LÄN</t>
        </is>
      </c>
      <c r="E6984" t="inlineStr">
        <is>
          <t>TIERP</t>
        </is>
      </c>
      <c r="F6984" t="inlineStr">
        <is>
          <t>Bergvik skog öst AB</t>
        </is>
      </c>
      <c r="G6984" t="n">
        <v>14.1</v>
      </c>
      <c r="H6984" t="n">
        <v>0</v>
      </c>
      <c r="I6984" t="n">
        <v>0</v>
      </c>
      <c r="J6984" t="n">
        <v>0</v>
      </c>
      <c r="K6984" t="n">
        <v>0</v>
      </c>
      <c r="L6984" t="n">
        <v>0</v>
      </c>
      <c r="M6984" t="n">
        <v>0</v>
      </c>
      <c r="N6984" t="n">
        <v>0</v>
      </c>
      <c r="O6984" t="n">
        <v>0</v>
      </c>
      <c r="P6984" t="n">
        <v>0</v>
      </c>
      <c r="Q6984" t="n">
        <v>0</v>
      </c>
      <c r="R6984" s="2" t="inlineStr"/>
    </row>
    <row r="6985" ht="15" customHeight="1">
      <c r="A6985" t="inlineStr">
        <is>
          <t>A 17575-2025</t>
        </is>
      </c>
      <c r="B6985" s="1" t="n">
        <v>45757</v>
      </c>
      <c r="C6985" s="1" t="n">
        <v>45846</v>
      </c>
      <c r="D6985" t="inlineStr">
        <is>
          <t>UPPSALA LÄN</t>
        </is>
      </c>
      <c r="E6985" t="inlineStr">
        <is>
          <t>TIERP</t>
        </is>
      </c>
      <c r="F6985" t="inlineStr">
        <is>
          <t>Bergvik skog öst AB</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17430-2025</t>
        </is>
      </c>
      <c r="B6986" s="1" t="n">
        <v>45757</v>
      </c>
      <c r="C6986" s="1" t="n">
        <v>45846</v>
      </c>
      <c r="D6986" t="inlineStr">
        <is>
          <t>UPPSALA LÄN</t>
        </is>
      </c>
      <c r="E6986" t="inlineStr">
        <is>
          <t>ÖSTHAMMAR</t>
        </is>
      </c>
      <c r="F6986" t="inlineStr">
        <is>
          <t>Övriga Aktiebolag</t>
        </is>
      </c>
      <c r="G6986" t="n">
        <v>7.1</v>
      </c>
      <c r="H6986" t="n">
        <v>0</v>
      </c>
      <c r="I6986" t="n">
        <v>0</v>
      </c>
      <c r="J6986" t="n">
        <v>0</v>
      </c>
      <c r="K6986" t="n">
        <v>0</v>
      </c>
      <c r="L6986" t="n">
        <v>0</v>
      </c>
      <c r="M6986" t="n">
        <v>0</v>
      </c>
      <c r="N6986" t="n">
        <v>0</v>
      </c>
      <c r="O6986" t="n">
        <v>0</v>
      </c>
      <c r="P6986" t="n">
        <v>0</v>
      </c>
      <c r="Q6986" t="n">
        <v>0</v>
      </c>
      <c r="R6986" s="2" t="inlineStr"/>
    </row>
    <row r="6987" ht="15" customHeight="1">
      <c r="A6987" t="inlineStr">
        <is>
          <t>A 17448-2025</t>
        </is>
      </c>
      <c r="B6987" s="1" t="n">
        <v>45757</v>
      </c>
      <c r="C6987" s="1" t="n">
        <v>45846</v>
      </c>
      <c r="D6987" t="inlineStr">
        <is>
          <t>UPPSALA LÄN</t>
        </is>
      </c>
      <c r="E6987" t="inlineStr">
        <is>
          <t>TIERP</t>
        </is>
      </c>
      <c r="G6987" t="n">
        <v>4</v>
      </c>
      <c r="H6987" t="n">
        <v>0</v>
      </c>
      <c r="I6987" t="n">
        <v>0</v>
      </c>
      <c r="J6987" t="n">
        <v>0</v>
      </c>
      <c r="K6987" t="n">
        <v>0</v>
      </c>
      <c r="L6987" t="n">
        <v>0</v>
      </c>
      <c r="M6987" t="n">
        <v>0</v>
      </c>
      <c r="N6987" t="n">
        <v>0</v>
      </c>
      <c r="O6987" t="n">
        <v>0</v>
      </c>
      <c r="P6987" t="n">
        <v>0</v>
      </c>
      <c r="Q6987" t="n">
        <v>0</v>
      </c>
      <c r="R6987" s="2" t="inlineStr"/>
    </row>
    <row r="6988" ht="15" customHeight="1">
      <c r="A6988" t="inlineStr">
        <is>
          <t>A 17579-2025</t>
        </is>
      </c>
      <c r="B6988" s="1" t="n">
        <v>45757</v>
      </c>
      <c r="C6988" s="1" t="n">
        <v>45846</v>
      </c>
      <c r="D6988" t="inlineStr">
        <is>
          <t>UPPSALA LÄN</t>
        </is>
      </c>
      <c r="E6988" t="inlineStr">
        <is>
          <t>TIERP</t>
        </is>
      </c>
      <c r="F6988" t="inlineStr">
        <is>
          <t>Bergvik skog öst AB</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17595-2025</t>
        </is>
      </c>
      <c r="B6989" s="1" t="n">
        <v>45757</v>
      </c>
      <c r="C6989" s="1" t="n">
        <v>45846</v>
      </c>
      <c r="D6989" t="inlineStr">
        <is>
          <t>UPPSALA LÄN</t>
        </is>
      </c>
      <c r="E6989" t="inlineStr">
        <is>
          <t>UPPSALA</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17596-2025</t>
        </is>
      </c>
      <c r="B6990" s="1" t="n">
        <v>45757</v>
      </c>
      <c r="C6990" s="1" t="n">
        <v>45846</v>
      </c>
      <c r="D6990" t="inlineStr">
        <is>
          <t>UPPSALA LÄN</t>
        </is>
      </c>
      <c r="E6990" t="inlineStr">
        <is>
          <t>UPPSALA</t>
        </is>
      </c>
      <c r="G6990" t="n">
        <v>4.8</v>
      </c>
      <c r="H6990" t="n">
        <v>0</v>
      </c>
      <c r="I6990" t="n">
        <v>0</v>
      </c>
      <c r="J6990" t="n">
        <v>0</v>
      </c>
      <c r="K6990" t="n">
        <v>0</v>
      </c>
      <c r="L6990" t="n">
        <v>0</v>
      </c>
      <c r="M6990" t="n">
        <v>0</v>
      </c>
      <c r="N6990" t="n">
        <v>0</v>
      </c>
      <c r="O6990" t="n">
        <v>0</v>
      </c>
      <c r="P6990" t="n">
        <v>0</v>
      </c>
      <c r="Q6990" t="n">
        <v>0</v>
      </c>
      <c r="R6990" s="2" t="inlineStr"/>
    </row>
    <row r="6991" ht="15" customHeight="1">
      <c r="A6991" t="inlineStr">
        <is>
          <t>A 17658-2025</t>
        </is>
      </c>
      <c r="B6991" s="1" t="n">
        <v>45758</v>
      </c>
      <c r="C6991" s="1" t="n">
        <v>45846</v>
      </c>
      <c r="D6991" t="inlineStr">
        <is>
          <t>UPPSALA LÄN</t>
        </is>
      </c>
      <c r="E6991" t="inlineStr">
        <is>
          <t>UPPSALA</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17651-2025</t>
        </is>
      </c>
      <c r="B6992" s="1" t="n">
        <v>45758</v>
      </c>
      <c r="C6992" s="1" t="n">
        <v>45846</v>
      </c>
      <c r="D6992" t="inlineStr">
        <is>
          <t>UPPSALA LÄN</t>
        </is>
      </c>
      <c r="E6992" t="inlineStr">
        <is>
          <t>ÖSTHAMMAR</t>
        </is>
      </c>
      <c r="F6992" t="inlineStr">
        <is>
          <t>Bergvik skog väst AB</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17652-2025</t>
        </is>
      </c>
      <c r="B6993" s="1" t="n">
        <v>45758</v>
      </c>
      <c r="C6993" s="1" t="n">
        <v>45846</v>
      </c>
      <c r="D6993" t="inlineStr">
        <is>
          <t>UPPSALA LÄN</t>
        </is>
      </c>
      <c r="E6993" t="inlineStr">
        <is>
          <t>ÖSTHAMMAR</t>
        </is>
      </c>
      <c r="F6993" t="inlineStr">
        <is>
          <t>Bergvik skog väst AB</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17642-2025</t>
        </is>
      </c>
      <c r="B6994" s="1" t="n">
        <v>45758</v>
      </c>
      <c r="C6994" s="1" t="n">
        <v>45846</v>
      </c>
      <c r="D6994" t="inlineStr">
        <is>
          <t>UPPSALA LÄN</t>
        </is>
      </c>
      <c r="E6994" t="inlineStr">
        <is>
          <t>TIERP</t>
        </is>
      </c>
      <c r="F6994" t="inlineStr">
        <is>
          <t>Bergvik skog väst AB</t>
        </is>
      </c>
      <c r="G6994" t="n">
        <v>5.4</v>
      </c>
      <c r="H6994" t="n">
        <v>0</v>
      </c>
      <c r="I6994" t="n">
        <v>0</v>
      </c>
      <c r="J6994" t="n">
        <v>0</v>
      </c>
      <c r="K6994" t="n">
        <v>0</v>
      </c>
      <c r="L6994" t="n">
        <v>0</v>
      </c>
      <c r="M6994" t="n">
        <v>0</v>
      </c>
      <c r="N6994" t="n">
        <v>0</v>
      </c>
      <c r="O6994" t="n">
        <v>0</v>
      </c>
      <c r="P6994" t="n">
        <v>0</v>
      </c>
      <c r="Q6994" t="n">
        <v>0</v>
      </c>
      <c r="R6994" s="2" t="inlineStr"/>
    </row>
    <row r="6995" ht="15" customHeight="1">
      <c r="A6995" t="inlineStr">
        <is>
          <t>A 17643-2025</t>
        </is>
      </c>
      <c r="B6995" s="1" t="n">
        <v>45758</v>
      </c>
      <c r="C6995" s="1" t="n">
        <v>45846</v>
      </c>
      <c r="D6995" t="inlineStr">
        <is>
          <t>UPPSALA LÄN</t>
        </is>
      </c>
      <c r="E6995" t="inlineStr">
        <is>
          <t>ÖSTHAMMAR</t>
        </is>
      </c>
      <c r="F6995" t="inlineStr">
        <is>
          <t>Bergvik skog väst AB</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17960-2025</t>
        </is>
      </c>
      <c r="B6996" s="1" t="n">
        <v>45758</v>
      </c>
      <c r="C6996" s="1" t="n">
        <v>45846</v>
      </c>
      <c r="D6996" t="inlineStr">
        <is>
          <t>UPPSALA LÄN</t>
        </is>
      </c>
      <c r="E6996" t="inlineStr">
        <is>
          <t>HÅBO</t>
        </is>
      </c>
      <c r="G6996" t="n">
        <v>3.3</v>
      </c>
      <c r="H6996" t="n">
        <v>0</v>
      </c>
      <c r="I6996" t="n">
        <v>0</v>
      </c>
      <c r="J6996" t="n">
        <v>0</v>
      </c>
      <c r="K6996" t="n">
        <v>0</v>
      </c>
      <c r="L6996" t="n">
        <v>0</v>
      </c>
      <c r="M6996" t="n">
        <v>0</v>
      </c>
      <c r="N6996" t="n">
        <v>0</v>
      </c>
      <c r="O6996" t="n">
        <v>0</v>
      </c>
      <c r="P6996" t="n">
        <v>0</v>
      </c>
      <c r="Q6996" t="n">
        <v>0</v>
      </c>
      <c r="R6996" s="2" t="inlineStr"/>
    </row>
    <row r="6997" ht="15" customHeight="1">
      <c r="A6997" t="inlineStr">
        <is>
          <t>A 17655-2025</t>
        </is>
      </c>
      <c r="B6997" s="1" t="n">
        <v>45758</v>
      </c>
      <c r="C6997" s="1" t="n">
        <v>45846</v>
      </c>
      <c r="D6997" t="inlineStr">
        <is>
          <t>UPPSALA LÄN</t>
        </is>
      </c>
      <c r="E6997" t="inlineStr">
        <is>
          <t>ÖSTHAMMAR</t>
        </is>
      </c>
      <c r="F6997" t="inlineStr">
        <is>
          <t>Övriga Aktiebolag</t>
        </is>
      </c>
      <c r="G6997" t="n">
        <v>7</v>
      </c>
      <c r="H6997" t="n">
        <v>0</v>
      </c>
      <c r="I6997" t="n">
        <v>0</v>
      </c>
      <c r="J6997" t="n">
        <v>0</v>
      </c>
      <c r="K6997" t="n">
        <v>0</v>
      </c>
      <c r="L6997" t="n">
        <v>0</v>
      </c>
      <c r="M6997" t="n">
        <v>0</v>
      </c>
      <c r="N6997" t="n">
        <v>0</v>
      </c>
      <c r="O6997" t="n">
        <v>0</v>
      </c>
      <c r="P6997" t="n">
        <v>0</v>
      </c>
      <c r="Q6997" t="n">
        <v>0</v>
      </c>
      <c r="R6997" s="2" t="inlineStr"/>
    </row>
    <row r="6998" ht="15" customHeight="1">
      <c r="A6998" t="inlineStr">
        <is>
          <t>A 17644-2025</t>
        </is>
      </c>
      <c r="B6998" s="1" t="n">
        <v>45758</v>
      </c>
      <c r="C6998" s="1" t="n">
        <v>45846</v>
      </c>
      <c r="D6998" t="inlineStr">
        <is>
          <t>UPPSALA LÄN</t>
        </is>
      </c>
      <c r="E6998" t="inlineStr">
        <is>
          <t>ÖSTHAMMAR</t>
        </is>
      </c>
      <c r="F6998" t="inlineStr">
        <is>
          <t>Bergvik skog väst AB</t>
        </is>
      </c>
      <c r="G6998" t="n">
        <v>6.1</v>
      </c>
      <c r="H6998" t="n">
        <v>0</v>
      </c>
      <c r="I6998" t="n">
        <v>0</v>
      </c>
      <c r="J6998" t="n">
        <v>0</v>
      </c>
      <c r="K6998" t="n">
        <v>0</v>
      </c>
      <c r="L6998" t="n">
        <v>0</v>
      </c>
      <c r="M6998" t="n">
        <v>0</v>
      </c>
      <c r="N6998" t="n">
        <v>0</v>
      </c>
      <c r="O6998" t="n">
        <v>0</v>
      </c>
      <c r="P6998" t="n">
        <v>0</v>
      </c>
      <c r="Q6998" t="n">
        <v>0</v>
      </c>
      <c r="R6998" s="2" t="inlineStr"/>
    </row>
    <row r="6999" ht="15" customHeight="1">
      <c r="A6999" t="inlineStr">
        <is>
          <t>A 17646-2025</t>
        </is>
      </c>
      <c r="B6999" s="1" t="n">
        <v>45758</v>
      </c>
      <c r="C6999" s="1" t="n">
        <v>45846</v>
      </c>
      <c r="D6999" t="inlineStr">
        <is>
          <t>UPPSALA LÄN</t>
        </is>
      </c>
      <c r="E6999" t="inlineStr">
        <is>
          <t>ÖSTHAMMAR</t>
        </is>
      </c>
      <c r="F6999" t="inlineStr">
        <is>
          <t>Bergvik skog väst AB</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17648-2025</t>
        </is>
      </c>
      <c r="B7000" s="1" t="n">
        <v>45758</v>
      </c>
      <c r="C7000" s="1" t="n">
        <v>45846</v>
      </c>
      <c r="D7000" t="inlineStr">
        <is>
          <t>UPPSALA LÄN</t>
        </is>
      </c>
      <c r="E7000" t="inlineStr">
        <is>
          <t>ÖSTHAMMAR</t>
        </is>
      </c>
      <c r="F7000" t="inlineStr">
        <is>
          <t>Bergvik skog väst AB</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17844-2025</t>
        </is>
      </c>
      <c r="B7001" s="1" t="n">
        <v>45758</v>
      </c>
      <c r="C7001" s="1" t="n">
        <v>45846</v>
      </c>
      <c r="D7001" t="inlineStr">
        <is>
          <t>UPPSALA LÄN</t>
        </is>
      </c>
      <c r="E7001" t="inlineStr">
        <is>
          <t>ENKÖPING</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17657-2025</t>
        </is>
      </c>
      <c r="B7002" s="1" t="n">
        <v>45758</v>
      </c>
      <c r="C7002" s="1" t="n">
        <v>45846</v>
      </c>
      <c r="D7002" t="inlineStr">
        <is>
          <t>UPPSALA LÄN</t>
        </is>
      </c>
      <c r="E7002" t="inlineStr">
        <is>
          <t>ENKÖPING</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17925-2025</t>
        </is>
      </c>
      <c r="B7003" s="1" t="n">
        <v>45759</v>
      </c>
      <c r="C7003" s="1" t="n">
        <v>45846</v>
      </c>
      <c r="D7003" t="inlineStr">
        <is>
          <t>UPPSALA LÄN</t>
        </is>
      </c>
      <c r="E7003" t="inlineStr">
        <is>
          <t>ÖSTHAMMAR</t>
        </is>
      </c>
      <c r="F7003" t="inlineStr">
        <is>
          <t>Bergvik skog öst AB</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17930-2025</t>
        </is>
      </c>
      <c r="B7004" s="1" t="n">
        <v>45759</v>
      </c>
      <c r="C7004" s="1" t="n">
        <v>45846</v>
      </c>
      <c r="D7004" t="inlineStr">
        <is>
          <t>UPPSALA LÄN</t>
        </is>
      </c>
      <c r="E7004" t="inlineStr">
        <is>
          <t>ÖSTHAMMAR</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17924-2025</t>
        </is>
      </c>
      <c r="B7005" s="1" t="n">
        <v>45759</v>
      </c>
      <c r="C7005" s="1" t="n">
        <v>45846</v>
      </c>
      <c r="D7005" t="inlineStr">
        <is>
          <t>UPPSALA LÄN</t>
        </is>
      </c>
      <c r="E7005" t="inlineStr">
        <is>
          <t>ÖSTHAMMAR</t>
        </is>
      </c>
      <c r="F7005" t="inlineStr">
        <is>
          <t>Bergvik skog öst AB</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17929-2025</t>
        </is>
      </c>
      <c r="B7006" s="1" t="n">
        <v>45759</v>
      </c>
      <c r="C7006" s="1" t="n">
        <v>45846</v>
      </c>
      <c r="D7006" t="inlineStr">
        <is>
          <t>UPPSALA LÄN</t>
        </is>
      </c>
      <c r="E7006" t="inlineStr">
        <is>
          <t>ÖSTHAMMAR</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17931-2025</t>
        </is>
      </c>
      <c r="B7007" s="1" t="n">
        <v>45759</v>
      </c>
      <c r="C7007" s="1" t="n">
        <v>45846</v>
      </c>
      <c r="D7007" t="inlineStr">
        <is>
          <t>UPPSALA LÄN</t>
        </is>
      </c>
      <c r="E7007" t="inlineStr">
        <is>
          <t>ÖSTHAMMAR</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17940-2025</t>
        </is>
      </c>
      <c r="B7008" s="1" t="n">
        <v>45760</v>
      </c>
      <c r="C7008" s="1" t="n">
        <v>45846</v>
      </c>
      <c r="D7008" t="inlineStr">
        <is>
          <t>UPPSALA LÄN</t>
        </is>
      </c>
      <c r="E7008" t="inlineStr">
        <is>
          <t>ÖSTHAMMAR</t>
        </is>
      </c>
      <c r="F7008" t="inlineStr">
        <is>
          <t>Bergvik skog öst AB</t>
        </is>
      </c>
      <c r="G7008" t="n">
        <v>5.6</v>
      </c>
      <c r="H7008" t="n">
        <v>0</v>
      </c>
      <c r="I7008" t="n">
        <v>0</v>
      </c>
      <c r="J7008" t="n">
        <v>0</v>
      </c>
      <c r="K7008" t="n">
        <v>0</v>
      </c>
      <c r="L7008" t="n">
        <v>0</v>
      </c>
      <c r="M7008" t="n">
        <v>0</v>
      </c>
      <c r="N7008" t="n">
        <v>0</v>
      </c>
      <c r="O7008" t="n">
        <v>0</v>
      </c>
      <c r="P7008" t="n">
        <v>0</v>
      </c>
      <c r="Q7008" t="n">
        <v>0</v>
      </c>
      <c r="R7008" s="2" t="inlineStr"/>
    </row>
    <row r="7009" ht="15" customHeight="1">
      <c r="A7009" t="inlineStr">
        <is>
          <t>A 17939-2025</t>
        </is>
      </c>
      <c r="B7009" s="1" t="n">
        <v>45760</v>
      </c>
      <c r="C7009" s="1" t="n">
        <v>45846</v>
      </c>
      <c r="D7009" t="inlineStr">
        <is>
          <t>UPPSALA LÄN</t>
        </is>
      </c>
      <c r="E7009" t="inlineStr">
        <is>
          <t>ÖSTHAMMAR</t>
        </is>
      </c>
      <c r="F7009" t="inlineStr">
        <is>
          <t>Bergvik skog öst AB</t>
        </is>
      </c>
      <c r="G7009" t="n">
        <v>5.4</v>
      </c>
      <c r="H7009" t="n">
        <v>0</v>
      </c>
      <c r="I7009" t="n">
        <v>0</v>
      </c>
      <c r="J7009" t="n">
        <v>0</v>
      </c>
      <c r="K7009" t="n">
        <v>0</v>
      </c>
      <c r="L7009" t="n">
        <v>0</v>
      </c>
      <c r="M7009" t="n">
        <v>0</v>
      </c>
      <c r="N7009" t="n">
        <v>0</v>
      </c>
      <c r="O7009" t="n">
        <v>0</v>
      </c>
      <c r="P7009" t="n">
        <v>0</v>
      </c>
      <c r="Q7009" t="n">
        <v>0</v>
      </c>
      <c r="R7009" s="2" t="inlineStr"/>
    </row>
    <row r="7010" ht="15" customHeight="1">
      <c r="A7010" t="inlineStr">
        <is>
          <t>A 17938-2025</t>
        </is>
      </c>
      <c r="B7010" s="1" t="n">
        <v>45760</v>
      </c>
      <c r="C7010" s="1" t="n">
        <v>45846</v>
      </c>
      <c r="D7010" t="inlineStr">
        <is>
          <t>UPPSALA LÄN</t>
        </is>
      </c>
      <c r="E7010" t="inlineStr">
        <is>
          <t>ÖSTHAMMAR</t>
        </is>
      </c>
      <c r="F7010" t="inlineStr">
        <is>
          <t>Bergvik skog öst AB</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18110-2025</t>
        </is>
      </c>
      <c r="B7011" s="1" t="n">
        <v>45761</v>
      </c>
      <c r="C7011" s="1" t="n">
        <v>45846</v>
      </c>
      <c r="D7011" t="inlineStr">
        <is>
          <t>UPPSALA LÄN</t>
        </is>
      </c>
      <c r="E7011" t="inlineStr">
        <is>
          <t>TIERP</t>
        </is>
      </c>
      <c r="F7011" t="inlineStr">
        <is>
          <t>Bergvik skog väst AB</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18230-2025</t>
        </is>
      </c>
      <c r="B7012" s="1" t="n">
        <v>45761</v>
      </c>
      <c r="C7012" s="1" t="n">
        <v>45846</v>
      </c>
      <c r="D7012" t="inlineStr">
        <is>
          <t>UPPSALA LÄN</t>
        </is>
      </c>
      <c r="E7012" t="inlineStr">
        <is>
          <t>ÖSTHAMMAR</t>
        </is>
      </c>
      <c r="F7012" t="inlineStr">
        <is>
          <t>Bergvik skog öst AB</t>
        </is>
      </c>
      <c r="G7012" t="n">
        <v>4.2</v>
      </c>
      <c r="H7012" t="n">
        <v>0</v>
      </c>
      <c r="I7012" t="n">
        <v>0</v>
      </c>
      <c r="J7012" t="n">
        <v>0</v>
      </c>
      <c r="K7012" t="n">
        <v>0</v>
      </c>
      <c r="L7012" t="n">
        <v>0</v>
      </c>
      <c r="M7012" t="n">
        <v>0</v>
      </c>
      <c r="N7012" t="n">
        <v>0</v>
      </c>
      <c r="O7012" t="n">
        <v>0</v>
      </c>
      <c r="P7012" t="n">
        <v>0</v>
      </c>
      <c r="Q7012" t="n">
        <v>0</v>
      </c>
      <c r="R7012" s="2" t="inlineStr"/>
    </row>
    <row r="7013" ht="15" customHeight="1">
      <c r="A7013" t="inlineStr">
        <is>
          <t>A 18095-2025</t>
        </is>
      </c>
      <c r="B7013" s="1" t="n">
        <v>45761</v>
      </c>
      <c r="C7013" s="1" t="n">
        <v>45846</v>
      </c>
      <c r="D7013" t="inlineStr">
        <is>
          <t>UPPSALA LÄN</t>
        </is>
      </c>
      <c r="E7013" t="inlineStr">
        <is>
          <t>ÖSTHAMMAR</t>
        </is>
      </c>
      <c r="F7013" t="inlineStr">
        <is>
          <t>Bergvik skog öst AB</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18058-2025</t>
        </is>
      </c>
      <c r="B7014" s="1" t="n">
        <v>45761</v>
      </c>
      <c r="C7014" s="1" t="n">
        <v>45846</v>
      </c>
      <c r="D7014" t="inlineStr">
        <is>
          <t>UPPSALA LÄN</t>
        </is>
      </c>
      <c r="E7014" t="inlineStr">
        <is>
          <t>UPPSALA</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18060-2025</t>
        </is>
      </c>
      <c r="B7015" s="1" t="n">
        <v>45761</v>
      </c>
      <c r="C7015" s="1" t="n">
        <v>45846</v>
      </c>
      <c r="D7015" t="inlineStr">
        <is>
          <t>UPPSALA LÄN</t>
        </is>
      </c>
      <c r="E7015" t="inlineStr">
        <is>
          <t>TIERP</t>
        </is>
      </c>
      <c r="F7015" t="inlineStr">
        <is>
          <t>Bergvik skog väst AB</t>
        </is>
      </c>
      <c r="G7015" t="n">
        <v>0.3</v>
      </c>
      <c r="H7015" t="n">
        <v>0</v>
      </c>
      <c r="I7015" t="n">
        <v>0</v>
      </c>
      <c r="J7015" t="n">
        <v>0</v>
      </c>
      <c r="K7015" t="n">
        <v>0</v>
      </c>
      <c r="L7015" t="n">
        <v>0</v>
      </c>
      <c r="M7015" t="n">
        <v>0</v>
      </c>
      <c r="N7015" t="n">
        <v>0</v>
      </c>
      <c r="O7015" t="n">
        <v>0</v>
      </c>
      <c r="P7015" t="n">
        <v>0</v>
      </c>
      <c r="Q7015" t="n">
        <v>0</v>
      </c>
      <c r="R7015" s="2" t="inlineStr"/>
    </row>
    <row r="7016" ht="15" customHeight="1">
      <c r="A7016" t="inlineStr">
        <is>
          <t>A 18088-2025</t>
        </is>
      </c>
      <c r="B7016" s="1" t="n">
        <v>45761</v>
      </c>
      <c r="C7016" s="1" t="n">
        <v>45846</v>
      </c>
      <c r="D7016" t="inlineStr">
        <is>
          <t>UPPSALA LÄN</t>
        </is>
      </c>
      <c r="E7016" t="inlineStr">
        <is>
          <t>ÖSTHAMMAR</t>
        </is>
      </c>
      <c r="F7016" t="inlineStr">
        <is>
          <t>Bergvik skog öst AB</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18094-2025</t>
        </is>
      </c>
      <c r="B7017" s="1" t="n">
        <v>45761</v>
      </c>
      <c r="C7017" s="1" t="n">
        <v>45846</v>
      </c>
      <c r="D7017" t="inlineStr">
        <is>
          <t>UPPSALA LÄN</t>
        </is>
      </c>
      <c r="E7017" t="inlineStr">
        <is>
          <t>ÖSTHAMMAR</t>
        </is>
      </c>
      <c r="F7017" t="inlineStr">
        <is>
          <t>Bergvik skog öst AB</t>
        </is>
      </c>
      <c r="G7017" t="n">
        <v>6.5</v>
      </c>
      <c r="H7017" t="n">
        <v>0</v>
      </c>
      <c r="I7017" t="n">
        <v>0</v>
      </c>
      <c r="J7017" t="n">
        <v>0</v>
      </c>
      <c r="K7017" t="n">
        <v>0</v>
      </c>
      <c r="L7017" t="n">
        <v>0</v>
      </c>
      <c r="M7017" t="n">
        <v>0</v>
      </c>
      <c r="N7017" t="n">
        <v>0</v>
      </c>
      <c r="O7017" t="n">
        <v>0</v>
      </c>
      <c r="P7017" t="n">
        <v>0</v>
      </c>
      <c r="Q7017" t="n">
        <v>0</v>
      </c>
      <c r="R7017" s="2" t="inlineStr"/>
    </row>
    <row r="7018" ht="15" customHeight="1">
      <c r="A7018" t="inlineStr">
        <is>
          <t>A 18054-2025</t>
        </is>
      </c>
      <c r="B7018" s="1" t="n">
        <v>45761</v>
      </c>
      <c r="C7018" s="1" t="n">
        <v>45846</v>
      </c>
      <c r="D7018" t="inlineStr">
        <is>
          <t>UPPSALA LÄN</t>
        </is>
      </c>
      <c r="E7018" t="inlineStr">
        <is>
          <t>UPPSALA</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18056-2025</t>
        </is>
      </c>
      <c r="B7019" s="1" t="n">
        <v>45761</v>
      </c>
      <c r="C7019" s="1" t="n">
        <v>45846</v>
      </c>
      <c r="D7019" t="inlineStr">
        <is>
          <t>UPPSALA LÄN</t>
        </is>
      </c>
      <c r="E7019" t="inlineStr">
        <is>
          <t>HEBY</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18038-2025</t>
        </is>
      </c>
      <c r="B7020" s="1" t="n">
        <v>45761</v>
      </c>
      <c r="C7020" s="1" t="n">
        <v>45846</v>
      </c>
      <c r="D7020" t="inlineStr">
        <is>
          <t>UPPSALA LÄN</t>
        </is>
      </c>
      <c r="E7020" t="inlineStr">
        <is>
          <t>ENKÖPING</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17979-2025</t>
        </is>
      </c>
      <c r="B7021" s="1" t="n">
        <v>45761</v>
      </c>
      <c r="C7021" s="1" t="n">
        <v>45846</v>
      </c>
      <c r="D7021" t="inlineStr">
        <is>
          <t>UPPSALA LÄN</t>
        </is>
      </c>
      <c r="E7021" t="inlineStr">
        <is>
          <t>ENKÖPING</t>
        </is>
      </c>
      <c r="G7021" t="n">
        <v>8.300000000000001</v>
      </c>
      <c r="H7021" t="n">
        <v>0</v>
      </c>
      <c r="I7021" t="n">
        <v>0</v>
      </c>
      <c r="J7021" t="n">
        <v>0</v>
      </c>
      <c r="K7021" t="n">
        <v>0</v>
      </c>
      <c r="L7021" t="n">
        <v>0</v>
      </c>
      <c r="M7021" t="n">
        <v>0</v>
      </c>
      <c r="N7021" t="n">
        <v>0</v>
      </c>
      <c r="O7021" t="n">
        <v>0</v>
      </c>
      <c r="P7021" t="n">
        <v>0</v>
      </c>
      <c r="Q7021" t="n">
        <v>0</v>
      </c>
      <c r="R7021" s="2" t="inlineStr"/>
    </row>
    <row r="7022" ht="15" customHeight="1">
      <c r="A7022" t="inlineStr">
        <is>
          <t>A 18330-2025</t>
        </is>
      </c>
      <c r="B7022" s="1" t="n">
        <v>45762</v>
      </c>
      <c r="C7022" s="1" t="n">
        <v>45846</v>
      </c>
      <c r="D7022" t="inlineStr">
        <is>
          <t>UPPSALA LÄN</t>
        </is>
      </c>
      <c r="E7022" t="inlineStr">
        <is>
          <t>UPPSALA</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18299-2025</t>
        </is>
      </c>
      <c r="B7023" s="1" t="n">
        <v>45762</v>
      </c>
      <c r="C7023" s="1" t="n">
        <v>45846</v>
      </c>
      <c r="D7023" t="inlineStr">
        <is>
          <t>UPPSALA LÄN</t>
        </is>
      </c>
      <c r="E7023" t="inlineStr">
        <is>
          <t>ENKÖPING</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18368-2025</t>
        </is>
      </c>
      <c r="B7024" s="1" t="n">
        <v>45762</v>
      </c>
      <c r="C7024" s="1" t="n">
        <v>45846</v>
      </c>
      <c r="D7024" t="inlineStr">
        <is>
          <t>UPPSALA LÄN</t>
        </is>
      </c>
      <c r="E7024" t="inlineStr">
        <is>
          <t>TIERP</t>
        </is>
      </c>
      <c r="F7024" t="inlineStr">
        <is>
          <t>Bergvik skog öst AB</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18412-2025</t>
        </is>
      </c>
      <c r="B7025" s="1" t="n">
        <v>45762</v>
      </c>
      <c r="C7025" s="1" t="n">
        <v>45846</v>
      </c>
      <c r="D7025" t="inlineStr">
        <is>
          <t>UPPSALA LÄN</t>
        </is>
      </c>
      <c r="E7025" t="inlineStr">
        <is>
          <t>TIERP</t>
        </is>
      </c>
      <c r="F7025" t="inlineStr">
        <is>
          <t>Bergvik skog öst AB</t>
        </is>
      </c>
      <c r="G7025" t="n">
        <v>7.3</v>
      </c>
      <c r="H7025" t="n">
        <v>0</v>
      </c>
      <c r="I7025" t="n">
        <v>0</v>
      </c>
      <c r="J7025" t="n">
        <v>0</v>
      </c>
      <c r="K7025" t="n">
        <v>0</v>
      </c>
      <c r="L7025" t="n">
        <v>0</v>
      </c>
      <c r="M7025" t="n">
        <v>0</v>
      </c>
      <c r="N7025" t="n">
        <v>0</v>
      </c>
      <c r="O7025" t="n">
        <v>0</v>
      </c>
      <c r="P7025" t="n">
        <v>0</v>
      </c>
      <c r="Q7025" t="n">
        <v>0</v>
      </c>
      <c r="R7025" s="2" t="inlineStr"/>
    </row>
    <row r="7026" ht="15" customHeight="1">
      <c r="A7026" t="inlineStr">
        <is>
          <t>A 18410-2025</t>
        </is>
      </c>
      <c r="B7026" s="1" t="n">
        <v>45762</v>
      </c>
      <c r="C7026" s="1" t="n">
        <v>45846</v>
      </c>
      <c r="D7026" t="inlineStr">
        <is>
          <t>UPPSALA LÄN</t>
        </is>
      </c>
      <c r="E7026" t="inlineStr">
        <is>
          <t>UPPSALA</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18259-2025</t>
        </is>
      </c>
      <c r="B7027" s="1" t="n">
        <v>45762</v>
      </c>
      <c r="C7027" s="1" t="n">
        <v>45846</v>
      </c>
      <c r="D7027" t="inlineStr">
        <is>
          <t>UPPSALA LÄN</t>
        </is>
      </c>
      <c r="E7027" t="inlineStr">
        <is>
          <t>ENKÖPING</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18378-2025</t>
        </is>
      </c>
      <c r="B7028" s="1" t="n">
        <v>45762</v>
      </c>
      <c r="C7028" s="1" t="n">
        <v>45846</v>
      </c>
      <c r="D7028" t="inlineStr">
        <is>
          <t>UPPSALA LÄN</t>
        </is>
      </c>
      <c r="E7028" t="inlineStr">
        <is>
          <t>TIERP</t>
        </is>
      </c>
      <c r="F7028" t="inlineStr">
        <is>
          <t>Bergvik skog öst AB</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18401-2025</t>
        </is>
      </c>
      <c r="B7029" s="1" t="n">
        <v>45762</v>
      </c>
      <c r="C7029" s="1" t="n">
        <v>45846</v>
      </c>
      <c r="D7029" t="inlineStr">
        <is>
          <t>UPPSALA LÄN</t>
        </is>
      </c>
      <c r="E7029" t="inlineStr">
        <is>
          <t>ÖSTHAMMAR</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18302-2025</t>
        </is>
      </c>
      <c r="B7030" s="1" t="n">
        <v>45762</v>
      </c>
      <c r="C7030" s="1" t="n">
        <v>45846</v>
      </c>
      <c r="D7030" t="inlineStr">
        <is>
          <t>UPPSALA LÄN</t>
        </is>
      </c>
      <c r="E7030" t="inlineStr">
        <is>
          <t>ENKÖPING</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18423-2025</t>
        </is>
      </c>
      <c r="B7031" s="1" t="n">
        <v>45762</v>
      </c>
      <c r="C7031" s="1" t="n">
        <v>45846</v>
      </c>
      <c r="D7031" t="inlineStr">
        <is>
          <t>UPPSALA LÄN</t>
        </is>
      </c>
      <c r="E7031" t="inlineStr">
        <is>
          <t>TIERP</t>
        </is>
      </c>
      <c r="F7031" t="inlineStr">
        <is>
          <t>Bergvik skog öst AB</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18451-2025</t>
        </is>
      </c>
      <c r="B7032" s="1" t="n">
        <v>45762</v>
      </c>
      <c r="C7032" s="1" t="n">
        <v>45846</v>
      </c>
      <c r="D7032" t="inlineStr">
        <is>
          <t>UPPSALA LÄN</t>
        </is>
      </c>
      <c r="E7032" t="inlineStr">
        <is>
          <t>ÄLVKARLEBY</t>
        </is>
      </c>
      <c r="F7032" t="inlineStr">
        <is>
          <t>Bergvik skog väst AB</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18717-2025</t>
        </is>
      </c>
      <c r="B7033" s="1" t="n">
        <v>45763</v>
      </c>
      <c r="C7033" s="1" t="n">
        <v>45846</v>
      </c>
      <c r="D7033" t="inlineStr">
        <is>
          <t>UPPSALA LÄN</t>
        </is>
      </c>
      <c r="E7033" t="inlineStr">
        <is>
          <t>UPPSALA</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18734-2025</t>
        </is>
      </c>
      <c r="B7034" s="1" t="n">
        <v>45763</v>
      </c>
      <c r="C7034" s="1" t="n">
        <v>45846</v>
      </c>
      <c r="D7034" t="inlineStr">
        <is>
          <t>UPPSALA LÄN</t>
        </is>
      </c>
      <c r="E7034" t="inlineStr">
        <is>
          <t>TIERP</t>
        </is>
      </c>
      <c r="F7034" t="inlineStr">
        <is>
          <t>Kyrkan</t>
        </is>
      </c>
      <c r="G7034" t="n">
        <v>4.5</v>
      </c>
      <c r="H7034" t="n">
        <v>0</v>
      </c>
      <c r="I7034" t="n">
        <v>0</v>
      </c>
      <c r="J7034" t="n">
        <v>0</v>
      </c>
      <c r="K7034" t="n">
        <v>0</v>
      </c>
      <c r="L7034" t="n">
        <v>0</v>
      </c>
      <c r="M7034" t="n">
        <v>0</v>
      </c>
      <c r="N7034" t="n">
        <v>0</v>
      </c>
      <c r="O7034" t="n">
        <v>0</v>
      </c>
      <c r="P7034" t="n">
        <v>0</v>
      </c>
      <c r="Q7034" t="n">
        <v>0</v>
      </c>
      <c r="R7034" s="2" t="inlineStr"/>
    </row>
    <row r="7035" ht="15" customHeight="1">
      <c r="A7035" t="inlineStr">
        <is>
          <t>A 18526-2025</t>
        </is>
      </c>
      <c r="B7035" s="1" t="n">
        <v>45763</v>
      </c>
      <c r="C7035" s="1" t="n">
        <v>45846</v>
      </c>
      <c r="D7035" t="inlineStr">
        <is>
          <t>UPPSALA LÄN</t>
        </is>
      </c>
      <c r="E7035" t="inlineStr">
        <is>
          <t>TIERP</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18781-2025</t>
        </is>
      </c>
      <c r="B7036" s="1" t="n">
        <v>45763</v>
      </c>
      <c r="C7036" s="1" t="n">
        <v>45846</v>
      </c>
      <c r="D7036" t="inlineStr">
        <is>
          <t>UPPSALA LÄN</t>
        </is>
      </c>
      <c r="E7036" t="inlineStr">
        <is>
          <t>UPPSALA</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18626-2025</t>
        </is>
      </c>
      <c r="B7037" s="1" t="n">
        <v>45763</v>
      </c>
      <c r="C7037" s="1" t="n">
        <v>45846</v>
      </c>
      <c r="D7037" t="inlineStr">
        <is>
          <t>UPPSALA LÄN</t>
        </is>
      </c>
      <c r="E7037" t="inlineStr">
        <is>
          <t>UPPSALA</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18805-2025</t>
        </is>
      </c>
      <c r="B7038" s="1" t="n">
        <v>45763</v>
      </c>
      <c r="C7038" s="1" t="n">
        <v>45846</v>
      </c>
      <c r="D7038" t="inlineStr">
        <is>
          <t>UPPSALA LÄN</t>
        </is>
      </c>
      <c r="E7038" t="inlineStr">
        <is>
          <t>UPPSALA</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18625-2025</t>
        </is>
      </c>
      <c r="B7039" s="1" t="n">
        <v>45763</v>
      </c>
      <c r="C7039" s="1" t="n">
        <v>45846</v>
      </c>
      <c r="D7039" t="inlineStr">
        <is>
          <t>UPPSALA LÄN</t>
        </is>
      </c>
      <c r="E7039" t="inlineStr">
        <is>
          <t>UPPSALA</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18516-2025</t>
        </is>
      </c>
      <c r="B7040" s="1" t="n">
        <v>45763</v>
      </c>
      <c r="C7040" s="1" t="n">
        <v>45846</v>
      </c>
      <c r="D7040" t="inlineStr">
        <is>
          <t>UPPSALA LÄN</t>
        </is>
      </c>
      <c r="E7040" t="inlineStr">
        <is>
          <t>TIERP</t>
        </is>
      </c>
      <c r="F7040" t="inlineStr">
        <is>
          <t>Bergvik skog öst AB</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18544-2025</t>
        </is>
      </c>
      <c r="B7041" s="1" t="n">
        <v>45763</v>
      </c>
      <c r="C7041" s="1" t="n">
        <v>45846</v>
      </c>
      <c r="D7041" t="inlineStr">
        <is>
          <t>UPPSALA LÄN</t>
        </is>
      </c>
      <c r="E7041" t="inlineStr">
        <is>
          <t>TIERP</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18928-2025</t>
        </is>
      </c>
      <c r="B7042" s="1" t="n">
        <v>45764</v>
      </c>
      <c r="C7042" s="1" t="n">
        <v>45846</v>
      </c>
      <c r="D7042" t="inlineStr">
        <is>
          <t>UPPSALA LÄN</t>
        </is>
      </c>
      <c r="E7042" t="inlineStr">
        <is>
          <t>TIERP</t>
        </is>
      </c>
      <c r="F7042" t="inlineStr">
        <is>
          <t>Bergvik skog öst AB</t>
        </is>
      </c>
      <c r="G7042" t="n">
        <v>8.800000000000001</v>
      </c>
      <c r="H7042" t="n">
        <v>0</v>
      </c>
      <c r="I7042" t="n">
        <v>0</v>
      </c>
      <c r="J7042" t="n">
        <v>0</v>
      </c>
      <c r="K7042" t="n">
        <v>0</v>
      </c>
      <c r="L7042" t="n">
        <v>0</v>
      </c>
      <c r="M7042" t="n">
        <v>0</v>
      </c>
      <c r="N7042" t="n">
        <v>0</v>
      </c>
      <c r="O7042" t="n">
        <v>0</v>
      </c>
      <c r="P7042" t="n">
        <v>0</v>
      </c>
      <c r="Q7042" t="n">
        <v>0</v>
      </c>
      <c r="R7042" s="2" t="inlineStr"/>
    </row>
    <row r="7043" ht="15" customHeight="1">
      <c r="A7043" t="inlineStr">
        <is>
          <t>A 18986-2025</t>
        </is>
      </c>
      <c r="B7043" s="1" t="n">
        <v>45764</v>
      </c>
      <c r="C7043" s="1" t="n">
        <v>45846</v>
      </c>
      <c r="D7043" t="inlineStr">
        <is>
          <t>UPPSALA LÄN</t>
        </is>
      </c>
      <c r="E7043" t="inlineStr">
        <is>
          <t>ENKÖPING</t>
        </is>
      </c>
      <c r="G7043" t="n">
        <v>6.9</v>
      </c>
      <c r="H7043" t="n">
        <v>0</v>
      </c>
      <c r="I7043" t="n">
        <v>0</v>
      </c>
      <c r="J7043" t="n">
        <v>0</v>
      </c>
      <c r="K7043" t="n">
        <v>0</v>
      </c>
      <c r="L7043" t="n">
        <v>0</v>
      </c>
      <c r="M7043" t="n">
        <v>0</v>
      </c>
      <c r="N7043" t="n">
        <v>0</v>
      </c>
      <c r="O7043" t="n">
        <v>0</v>
      </c>
      <c r="P7043" t="n">
        <v>0</v>
      </c>
      <c r="Q7043" t="n">
        <v>0</v>
      </c>
      <c r="R7043" s="2" t="inlineStr"/>
    </row>
    <row r="7044" ht="15" customHeight="1">
      <c r="A7044" t="inlineStr">
        <is>
          <t>A 19026-2025</t>
        </is>
      </c>
      <c r="B7044" s="1" t="n">
        <v>45764</v>
      </c>
      <c r="C7044" s="1" t="n">
        <v>45846</v>
      </c>
      <c r="D7044" t="inlineStr">
        <is>
          <t>UPPSALA LÄN</t>
        </is>
      </c>
      <c r="E7044" t="inlineStr">
        <is>
          <t>TIERP</t>
        </is>
      </c>
      <c r="F7044" t="inlineStr">
        <is>
          <t>Bergvik skog öst AB</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18994-2025</t>
        </is>
      </c>
      <c r="B7045" s="1" t="n">
        <v>45764</v>
      </c>
      <c r="C7045" s="1" t="n">
        <v>45846</v>
      </c>
      <c r="D7045" t="inlineStr">
        <is>
          <t>UPPSALA LÄN</t>
        </is>
      </c>
      <c r="E7045" t="inlineStr">
        <is>
          <t>ENKÖPING</t>
        </is>
      </c>
      <c r="G7045" t="n">
        <v>3.8</v>
      </c>
      <c r="H7045" t="n">
        <v>0</v>
      </c>
      <c r="I7045" t="n">
        <v>0</v>
      </c>
      <c r="J7045" t="n">
        <v>0</v>
      </c>
      <c r="K7045" t="n">
        <v>0</v>
      </c>
      <c r="L7045" t="n">
        <v>0</v>
      </c>
      <c r="M7045" t="n">
        <v>0</v>
      </c>
      <c r="N7045" t="n">
        <v>0</v>
      </c>
      <c r="O7045" t="n">
        <v>0</v>
      </c>
      <c r="P7045" t="n">
        <v>0</v>
      </c>
      <c r="Q7045" t="n">
        <v>0</v>
      </c>
      <c r="R7045" s="2" t="inlineStr"/>
    </row>
    <row r="7046" ht="15" customHeight="1">
      <c r="A7046" t="inlineStr">
        <is>
          <t>A 19014-2025</t>
        </is>
      </c>
      <c r="B7046" s="1" t="n">
        <v>45764</v>
      </c>
      <c r="C7046" s="1" t="n">
        <v>45846</v>
      </c>
      <c r="D7046" t="inlineStr">
        <is>
          <t>UPPSALA LÄN</t>
        </is>
      </c>
      <c r="E7046" t="inlineStr">
        <is>
          <t>ENKÖPING</t>
        </is>
      </c>
      <c r="G7046" t="n">
        <v>0.2</v>
      </c>
      <c r="H7046" t="n">
        <v>0</v>
      </c>
      <c r="I7046" t="n">
        <v>0</v>
      </c>
      <c r="J7046" t="n">
        <v>0</v>
      </c>
      <c r="K7046" t="n">
        <v>0</v>
      </c>
      <c r="L7046" t="n">
        <v>0</v>
      </c>
      <c r="M7046" t="n">
        <v>0</v>
      </c>
      <c r="N7046" t="n">
        <v>0</v>
      </c>
      <c r="O7046" t="n">
        <v>0</v>
      </c>
      <c r="P7046" t="n">
        <v>0</v>
      </c>
      <c r="Q7046" t="n">
        <v>0</v>
      </c>
      <c r="R7046" s="2" t="inlineStr"/>
    </row>
    <row r="7047" ht="15" customHeight="1">
      <c r="A7047" t="inlineStr">
        <is>
          <t>A 19013-2025</t>
        </is>
      </c>
      <c r="B7047" s="1" t="n">
        <v>45764</v>
      </c>
      <c r="C7047" s="1" t="n">
        <v>45846</v>
      </c>
      <c r="D7047" t="inlineStr">
        <is>
          <t>UPPSALA LÄN</t>
        </is>
      </c>
      <c r="E7047" t="inlineStr">
        <is>
          <t>ENKÖPING</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18885-2025</t>
        </is>
      </c>
      <c r="B7048" s="1" t="n">
        <v>45764</v>
      </c>
      <c r="C7048" s="1" t="n">
        <v>45846</v>
      </c>
      <c r="D7048" t="inlineStr">
        <is>
          <t>UPPSALA LÄN</t>
        </is>
      </c>
      <c r="E7048" t="inlineStr">
        <is>
          <t>TIERP</t>
        </is>
      </c>
      <c r="F7048" t="inlineStr">
        <is>
          <t>Bergvik skog öst AB</t>
        </is>
      </c>
      <c r="G7048" t="n">
        <v>4.7</v>
      </c>
      <c r="H7048" t="n">
        <v>0</v>
      </c>
      <c r="I7048" t="n">
        <v>0</v>
      </c>
      <c r="J7048" t="n">
        <v>0</v>
      </c>
      <c r="K7048" t="n">
        <v>0</v>
      </c>
      <c r="L7048" t="n">
        <v>0</v>
      </c>
      <c r="M7048" t="n">
        <v>0</v>
      </c>
      <c r="N7048" t="n">
        <v>0</v>
      </c>
      <c r="O7048" t="n">
        <v>0</v>
      </c>
      <c r="P7048" t="n">
        <v>0</v>
      </c>
      <c r="Q7048" t="n">
        <v>0</v>
      </c>
      <c r="R7048" s="2" t="inlineStr"/>
    </row>
    <row r="7049" ht="15" customHeight="1">
      <c r="A7049" t="inlineStr">
        <is>
          <t>A 19345-2025</t>
        </is>
      </c>
      <c r="B7049" s="1" t="n">
        <v>45769</v>
      </c>
      <c r="C7049" s="1" t="n">
        <v>45846</v>
      </c>
      <c r="D7049" t="inlineStr">
        <is>
          <t>UPPSALA LÄN</t>
        </is>
      </c>
      <c r="E7049" t="inlineStr">
        <is>
          <t>UPPSALA</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19339-2025</t>
        </is>
      </c>
      <c r="B7050" s="1" t="n">
        <v>45769</v>
      </c>
      <c r="C7050" s="1" t="n">
        <v>45846</v>
      </c>
      <c r="D7050" t="inlineStr">
        <is>
          <t>UPPSALA LÄN</t>
        </is>
      </c>
      <c r="E7050" t="inlineStr">
        <is>
          <t>TIERP</t>
        </is>
      </c>
      <c r="F7050" t="inlineStr">
        <is>
          <t>Bergvik skog öst AB</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19138-2025</t>
        </is>
      </c>
      <c r="B7051" s="1" t="n">
        <v>45769</v>
      </c>
      <c r="C7051" s="1" t="n">
        <v>45846</v>
      </c>
      <c r="D7051" t="inlineStr">
        <is>
          <t>UPPSALA LÄN</t>
        </is>
      </c>
      <c r="E7051" t="inlineStr">
        <is>
          <t>TIERP</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19380-2025</t>
        </is>
      </c>
      <c r="B7052" s="1" t="n">
        <v>45769</v>
      </c>
      <c r="C7052" s="1" t="n">
        <v>45846</v>
      </c>
      <c r="D7052" t="inlineStr">
        <is>
          <t>UPPSALA LÄN</t>
        </is>
      </c>
      <c r="E7052" t="inlineStr">
        <is>
          <t>TIERP</t>
        </is>
      </c>
      <c r="F7052" t="inlineStr">
        <is>
          <t>Bergvik skog öst AB</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19274-2025</t>
        </is>
      </c>
      <c r="B7053" s="1" t="n">
        <v>45769</v>
      </c>
      <c r="C7053" s="1" t="n">
        <v>45846</v>
      </c>
      <c r="D7053" t="inlineStr">
        <is>
          <t>UPPSALA LÄN</t>
        </is>
      </c>
      <c r="E7053" t="inlineStr">
        <is>
          <t>HÅBO</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19613-2025</t>
        </is>
      </c>
      <c r="B7054" s="1" t="n">
        <v>45770</v>
      </c>
      <c r="C7054" s="1" t="n">
        <v>45846</v>
      </c>
      <c r="D7054" t="inlineStr">
        <is>
          <t>UPPSALA LÄN</t>
        </is>
      </c>
      <c r="E7054" t="inlineStr">
        <is>
          <t>UPPSALA</t>
        </is>
      </c>
      <c r="F7054" t="inlineStr">
        <is>
          <t>Övriga Aktiebolag</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19637-2025</t>
        </is>
      </c>
      <c r="B7055" s="1" t="n">
        <v>45770</v>
      </c>
      <c r="C7055" s="1" t="n">
        <v>45846</v>
      </c>
      <c r="D7055" t="inlineStr">
        <is>
          <t>UPPSALA LÄN</t>
        </is>
      </c>
      <c r="E7055" t="inlineStr">
        <is>
          <t>ÖSTHAMMAR</t>
        </is>
      </c>
      <c r="F7055" t="inlineStr">
        <is>
          <t>Övriga Aktiebolag</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19650-2025</t>
        </is>
      </c>
      <c r="B7056" s="1" t="n">
        <v>45770</v>
      </c>
      <c r="C7056" s="1" t="n">
        <v>45846</v>
      </c>
      <c r="D7056" t="inlineStr">
        <is>
          <t>UPPSALA LÄN</t>
        </is>
      </c>
      <c r="E7056" t="inlineStr">
        <is>
          <t>ÖSTHAMMAR</t>
        </is>
      </c>
      <c r="F7056" t="inlineStr">
        <is>
          <t>Övriga Aktiebolag</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19676-2025</t>
        </is>
      </c>
      <c r="B7057" s="1" t="n">
        <v>45770</v>
      </c>
      <c r="C7057" s="1" t="n">
        <v>45846</v>
      </c>
      <c r="D7057" t="inlineStr">
        <is>
          <t>UPPSALA LÄN</t>
        </is>
      </c>
      <c r="E7057" t="inlineStr">
        <is>
          <t>KNIVSTA</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19559-2025</t>
        </is>
      </c>
      <c r="B7058" s="1" t="n">
        <v>45770</v>
      </c>
      <c r="C7058" s="1" t="n">
        <v>45846</v>
      </c>
      <c r="D7058" t="inlineStr">
        <is>
          <t>UPPSALA LÄN</t>
        </is>
      </c>
      <c r="E7058" t="inlineStr">
        <is>
          <t>HEBY</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19640-2025</t>
        </is>
      </c>
      <c r="B7059" s="1" t="n">
        <v>45770</v>
      </c>
      <c r="C7059" s="1" t="n">
        <v>45846</v>
      </c>
      <c r="D7059" t="inlineStr">
        <is>
          <t>UPPSALA LÄN</t>
        </is>
      </c>
      <c r="E7059" t="inlineStr">
        <is>
          <t>ÖSTHAMMAR</t>
        </is>
      </c>
      <c r="F7059" t="inlineStr">
        <is>
          <t>Övriga Aktiebolag</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19611-2025</t>
        </is>
      </c>
      <c r="B7060" s="1" t="n">
        <v>45770</v>
      </c>
      <c r="C7060" s="1" t="n">
        <v>45846</v>
      </c>
      <c r="D7060" t="inlineStr">
        <is>
          <t>UPPSALA LÄN</t>
        </is>
      </c>
      <c r="E7060" t="inlineStr">
        <is>
          <t>HEBY</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19554-2025</t>
        </is>
      </c>
      <c r="B7061" s="1" t="n">
        <v>45770</v>
      </c>
      <c r="C7061" s="1" t="n">
        <v>45846</v>
      </c>
      <c r="D7061" t="inlineStr">
        <is>
          <t>UPPSALA LÄN</t>
        </is>
      </c>
      <c r="E7061" t="inlineStr">
        <is>
          <t>TIERP</t>
        </is>
      </c>
      <c r="F7061" t="inlineStr">
        <is>
          <t>Bergvik skog öst AB</t>
        </is>
      </c>
      <c r="G7061" t="n">
        <v>6.2</v>
      </c>
      <c r="H7061" t="n">
        <v>0</v>
      </c>
      <c r="I7061" t="n">
        <v>0</v>
      </c>
      <c r="J7061" t="n">
        <v>0</v>
      </c>
      <c r="K7061" t="n">
        <v>0</v>
      </c>
      <c r="L7061" t="n">
        <v>0</v>
      </c>
      <c r="M7061" t="n">
        <v>0</v>
      </c>
      <c r="N7061" t="n">
        <v>0</v>
      </c>
      <c r="O7061" t="n">
        <v>0</v>
      </c>
      <c r="P7061" t="n">
        <v>0</v>
      </c>
      <c r="Q7061" t="n">
        <v>0</v>
      </c>
      <c r="R7061" s="2" t="inlineStr"/>
    </row>
    <row r="7062" ht="15" customHeight="1">
      <c r="A7062" t="inlineStr">
        <is>
          <t>A 19523-2025</t>
        </is>
      </c>
      <c r="B7062" s="1" t="n">
        <v>45770</v>
      </c>
      <c r="C7062" s="1" t="n">
        <v>45846</v>
      </c>
      <c r="D7062" t="inlineStr">
        <is>
          <t>UPPSALA LÄN</t>
        </is>
      </c>
      <c r="E7062" t="inlineStr">
        <is>
          <t>TIERP</t>
        </is>
      </c>
      <c r="F7062" t="inlineStr">
        <is>
          <t>Bergvik skog öst AB</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19555-2025</t>
        </is>
      </c>
      <c r="B7063" s="1" t="n">
        <v>45770</v>
      </c>
      <c r="C7063" s="1" t="n">
        <v>45846</v>
      </c>
      <c r="D7063" t="inlineStr">
        <is>
          <t>UPPSALA LÄN</t>
        </is>
      </c>
      <c r="E7063" t="inlineStr">
        <is>
          <t>HEBY</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19646-2025</t>
        </is>
      </c>
      <c r="B7064" s="1" t="n">
        <v>45770</v>
      </c>
      <c r="C7064" s="1" t="n">
        <v>45846</v>
      </c>
      <c r="D7064" t="inlineStr">
        <is>
          <t>UPPSALA LÄN</t>
        </is>
      </c>
      <c r="E7064" t="inlineStr">
        <is>
          <t>ÖSTHAMMAR</t>
        </is>
      </c>
      <c r="F7064" t="inlineStr">
        <is>
          <t>Övriga Aktiebolag</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19501-2025</t>
        </is>
      </c>
      <c r="B7065" s="1" t="n">
        <v>45770</v>
      </c>
      <c r="C7065" s="1" t="n">
        <v>45846</v>
      </c>
      <c r="D7065" t="inlineStr">
        <is>
          <t>UPPSALA LÄN</t>
        </is>
      </c>
      <c r="E7065" t="inlineStr">
        <is>
          <t>ÖSTHAMMAR</t>
        </is>
      </c>
      <c r="F7065" t="inlineStr">
        <is>
          <t>Övriga Aktiebolag</t>
        </is>
      </c>
      <c r="G7065" t="n">
        <v>17.3</v>
      </c>
      <c r="H7065" t="n">
        <v>0</v>
      </c>
      <c r="I7065" t="n">
        <v>0</v>
      </c>
      <c r="J7065" t="n">
        <v>0</v>
      </c>
      <c r="K7065" t="n">
        <v>0</v>
      </c>
      <c r="L7065" t="n">
        <v>0</v>
      </c>
      <c r="M7065" t="n">
        <v>0</v>
      </c>
      <c r="N7065" t="n">
        <v>0</v>
      </c>
      <c r="O7065" t="n">
        <v>0</v>
      </c>
      <c r="P7065" t="n">
        <v>0</v>
      </c>
      <c r="Q7065" t="n">
        <v>0</v>
      </c>
      <c r="R7065" s="2" t="inlineStr"/>
    </row>
    <row r="7066" ht="15" customHeight="1">
      <c r="A7066" t="inlineStr">
        <is>
          <t>A 19522-2025</t>
        </is>
      </c>
      <c r="B7066" s="1" t="n">
        <v>45770</v>
      </c>
      <c r="C7066" s="1" t="n">
        <v>45846</v>
      </c>
      <c r="D7066" t="inlineStr">
        <is>
          <t>UPPSALA LÄN</t>
        </is>
      </c>
      <c r="E7066" t="inlineStr">
        <is>
          <t>TIERP</t>
        </is>
      </c>
      <c r="F7066" t="inlineStr">
        <is>
          <t>Bergvik skog öst AB</t>
        </is>
      </c>
      <c r="G7066" t="n">
        <v>7.9</v>
      </c>
      <c r="H7066" t="n">
        <v>0</v>
      </c>
      <c r="I7066" t="n">
        <v>0</v>
      </c>
      <c r="J7066" t="n">
        <v>0</v>
      </c>
      <c r="K7066" t="n">
        <v>0</v>
      </c>
      <c r="L7066" t="n">
        <v>0</v>
      </c>
      <c r="M7066" t="n">
        <v>0</v>
      </c>
      <c r="N7066" t="n">
        <v>0</v>
      </c>
      <c r="O7066" t="n">
        <v>0</v>
      </c>
      <c r="P7066" t="n">
        <v>0</v>
      </c>
      <c r="Q7066" t="n">
        <v>0</v>
      </c>
      <c r="R7066" s="2" t="inlineStr"/>
    </row>
    <row r="7067" ht="15" customHeight="1">
      <c r="A7067" t="inlineStr">
        <is>
          <t>A 19744-2025</t>
        </is>
      </c>
      <c r="B7067" s="1" t="n">
        <v>45771</v>
      </c>
      <c r="C7067" s="1" t="n">
        <v>45846</v>
      </c>
      <c r="D7067" t="inlineStr">
        <is>
          <t>UPPSALA LÄN</t>
        </is>
      </c>
      <c r="E7067" t="inlineStr">
        <is>
          <t>ÖSTHAMMAR</t>
        </is>
      </c>
      <c r="F7067" t="inlineStr">
        <is>
          <t>Övriga Aktiebolag</t>
        </is>
      </c>
      <c r="G7067" t="n">
        <v>9.6</v>
      </c>
      <c r="H7067" t="n">
        <v>0</v>
      </c>
      <c r="I7067" t="n">
        <v>0</v>
      </c>
      <c r="J7067" t="n">
        <v>0</v>
      </c>
      <c r="K7067" t="n">
        <v>0</v>
      </c>
      <c r="L7067" t="n">
        <v>0</v>
      </c>
      <c r="M7067" t="n">
        <v>0</v>
      </c>
      <c r="N7067" t="n">
        <v>0</v>
      </c>
      <c r="O7067" t="n">
        <v>0</v>
      </c>
      <c r="P7067" t="n">
        <v>0</v>
      </c>
      <c r="Q7067" t="n">
        <v>0</v>
      </c>
      <c r="R7067" s="2" t="inlineStr"/>
    </row>
    <row r="7068" ht="15" customHeight="1">
      <c r="A7068" t="inlineStr">
        <is>
          <t>A 19748-2025</t>
        </is>
      </c>
      <c r="B7068" s="1" t="n">
        <v>45771</v>
      </c>
      <c r="C7068" s="1" t="n">
        <v>45846</v>
      </c>
      <c r="D7068" t="inlineStr">
        <is>
          <t>UPPSALA LÄN</t>
        </is>
      </c>
      <c r="E7068" t="inlineStr">
        <is>
          <t>ÖSTHAMMAR</t>
        </is>
      </c>
      <c r="F7068" t="inlineStr">
        <is>
          <t>Övriga Aktiebolag</t>
        </is>
      </c>
      <c r="G7068" t="n">
        <v>6.8</v>
      </c>
      <c r="H7068" t="n">
        <v>0</v>
      </c>
      <c r="I7068" t="n">
        <v>0</v>
      </c>
      <c r="J7068" t="n">
        <v>0</v>
      </c>
      <c r="K7068" t="n">
        <v>0</v>
      </c>
      <c r="L7068" t="n">
        <v>0</v>
      </c>
      <c r="M7068" t="n">
        <v>0</v>
      </c>
      <c r="N7068" t="n">
        <v>0</v>
      </c>
      <c r="O7068" t="n">
        <v>0</v>
      </c>
      <c r="P7068" t="n">
        <v>0</v>
      </c>
      <c r="Q7068" t="n">
        <v>0</v>
      </c>
      <c r="R7068" s="2" t="inlineStr"/>
    </row>
    <row r="7069" ht="15" customHeight="1">
      <c r="A7069" t="inlineStr">
        <is>
          <t>A 19697-2025</t>
        </is>
      </c>
      <c r="B7069" s="1" t="n">
        <v>45771</v>
      </c>
      <c r="C7069" s="1" t="n">
        <v>45846</v>
      </c>
      <c r="D7069" t="inlineStr">
        <is>
          <t>UPPSALA LÄN</t>
        </is>
      </c>
      <c r="E7069" t="inlineStr">
        <is>
          <t>ÄLVKARLEBY</t>
        </is>
      </c>
      <c r="F7069" t="inlineStr">
        <is>
          <t>Bergvik skog väst AB</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19740-2025</t>
        </is>
      </c>
      <c r="B7070" s="1" t="n">
        <v>45771</v>
      </c>
      <c r="C7070" s="1" t="n">
        <v>45846</v>
      </c>
      <c r="D7070" t="inlineStr">
        <is>
          <t>UPPSALA LÄN</t>
        </is>
      </c>
      <c r="E7070" t="inlineStr">
        <is>
          <t>ÄLVKARLEBY</t>
        </is>
      </c>
      <c r="F7070" t="inlineStr">
        <is>
          <t>Bergvik skog väst AB</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19862-2025</t>
        </is>
      </c>
      <c r="B7071" s="1" t="n">
        <v>45771</v>
      </c>
      <c r="C7071" s="1" t="n">
        <v>45846</v>
      </c>
      <c r="D7071" t="inlineStr">
        <is>
          <t>UPPSALA LÄN</t>
        </is>
      </c>
      <c r="E7071" t="inlineStr">
        <is>
          <t>ÄLVKARLEBY</t>
        </is>
      </c>
      <c r="F7071" t="inlineStr">
        <is>
          <t>Kyrkan</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19703-2025</t>
        </is>
      </c>
      <c r="B7072" s="1" t="n">
        <v>45771</v>
      </c>
      <c r="C7072" s="1" t="n">
        <v>45846</v>
      </c>
      <c r="D7072" t="inlineStr">
        <is>
          <t>UPPSALA LÄN</t>
        </is>
      </c>
      <c r="E7072" t="inlineStr">
        <is>
          <t>ÄLVKARLEBY</t>
        </is>
      </c>
      <c r="F7072" t="inlineStr">
        <is>
          <t>Bergvik skog väst AB</t>
        </is>
      </c>
      <c r="G7072" t="n">
        <v>3.8</v>
      </c>
      <c r="H7072" t="n">
        <v>0</v>
      </c>
      <c r="I7072" t="n">
        <v>0</v>
      </c>
      <c r="J7072" t="n">
        <v>0</v>
      </c>
      <c r="K7072" t="n">
        <v>0</v>
      </c>
      <c r="L7072" t="n">
        <v>0</v>
      </c>
      <c r="M7072" t="n">
        <v>0</v>
      </c>
      <c r="N7072" t="n">
        <v>0</v>
      </c>
      <c r="O7072" t="n">
        <v>0</v>
      </c>
      <c r="P7072" t="n">
        <v>0</v>
      </c>
      <c r="Q7072" t="n">
        <v>0</v>
      </c>
      <c r="R7072" s="2" t="inlineStr"/>
    </row>
    <row r="7073" ht="15" customHeight="1">
      <c r="A7073" t="inlineStr">
        <is>
          <t>A 20180-2025</t>
        </is>
      </c>
      <c r="B7073" s="1" t="n">
        <v>45772</v>
      </c>
      <c r="C7073" s="1" t="n">
        <v>45846</v>
      </c>
      <c r="D7073" t="inlineStr">
        <is>
          <t>UPPSALA LÄN</t>
        </is>
      </c>
      <c r="E7073" t="inlineStr">
        <is>
          <t>TIERP</t>
        </is>
      </c>
      <c r="G7073" t="n">
        <v>4.7</v>
      </c>
      <c r="H7073" t="n">
        <v>0</v>
      </c>
      <c r="I7073" t="n">
        <v>0</v>
      </c>
      <c r="J7073" t="n">
        <v>0</v>
      </c>
      <c r="K7073" t="n">
        <v>0</v>
      </c>
      <c r="L7073" t="n">
        <v>0</v>
      </c>
      <c r="M7073" t="n">
        <v>0</v>
      </c>
      <c r="N7073" t="n">
        <v>0</v>
      </c>
      <c r="O7073" t="n">
        <v>0</v>
      </c>
      <c r="P7073" t="n">
        <v>0</v>
      </c>
      <c r="Q7073" t="n">
        <v>0</v>
      </c>
      <c r="R7073" s="2" t="inlineStr"/>
    </row>
    <row r="7074" ht="15" customHeight="1">
      <c r="A7074" t="inlineStr">
        <is>
          <t>A 20055-2025</t>
        </is>
      </c>
      <c r="B7074" s="1" t="n">
        <v>45772</v>
      </c>
      <c r="C7074" s="1" t="n">
        <v>45846</v>
      </c>
      <c r="D7074" t="inlineStr">
        <is>
          <t>UPPSALA LÄN</t>
        </is>
      </c>
      <c r="E7074" t="inlineStr">
        <is>
          <t>TIERP</t>
        </is>
      </c>
      <c r="F7074" t="inlineStr">
        <is>
          <t>Bergvik skog öst AB</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20021-2025</t>
        </is>
      </c>
      <c r="B7075" s="1" t="n">
        <v>45772</v>
      </c>
      <c r="C7075" s="1" t="n">
        <v>45846</v>
      </c>
      <c r="D7075" t="inlineStr">
        <is>
          <t>UPPSALA LÄN</t>
        </is>
      </c>
      <c r="E7075" t="inlineStr">
        <is>
          <t>TIERP</t>
        </is>
      </c>
      <c r="F7075" t="inlineStr">
        <is>
          <t>Kyrkan</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20190-2025</t>
        </is>
      </c>
      <c r="B7076" s="1" t="n">
        <v>45772</v>
      </c>
      <c r="C7076" s="1" t="n">
        <v>45846</v>
      </c>
      <c r="D7076" t="inlineStr">
        <is>
          <t>UPPSALA LÄN</t>
        </is>
      </c>
      <c r="E7076" t="inlineStr">
        <is>
          <t>TIERP</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20152-2025</t>
        </is>
      </c>
      <c r="B7077" s="1" t="n">
        <v>45772</v>
      </c>
      <c r="C7077" s="1" t="n">
        <v>45846</v>
      </c>
      <c r="D7077" t="inlineStr">
        <is>
          <t>UPPSALA LÄN</t>
        </is>
      </c>
      <c r="E7077" t="inlineStr">
        <is>
          <t>UPPSALA</t>
        </is>
      </c>
      <c r="F7077" t="inlineStr">
        <is>
          <t>Allmännings- och besparingsskogar</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20248-2025</t>
        </is>
      </c>
      <c r="B7078" s="1" t="n">
        <v>45772</v>
      </c>
      <c r="C7078" s="1" t="n">
        <v>45846</v>
      </c>
      <c r="D7078" t="inlineStr">
        <is>
          <t>UPPSALA LÄN</t>
        </is>
      </c>
      <c r="E7078" t="inlineStr">
        <is>
          <t>UPPSALA</t>
        </is>
      </c>
      <c r="G7078" t="n">
        <v>7.7</v>
      </c>
      <c r="H7078" t="n">
        <v>0</v>
      </c>
      <c r="I7078" t="n">
        <v>0</v>
      </c>
      <c r="J7078" t="n">
        <v>0</v>
      </c>
      <c r="K7078" t="n">
        <v>0</v>
      </c>
      <c r="L7078" t="n">
        <v>0</v>
      </c>
      <c r="M7078" t="n">
        <v>0</v>
      </c>
      <c r="N7078" t="n">
        <v>0</v>
      </c>
      <c r="O7078" t="n">
        <v>0</v>
      </c>
      <c r="P7078" t="n">
        <v>0</v>
      </c>
      <c r="Q7078" t="n">
        <v>0</v>
      </c>
      <c r="R7078" s="2" t="inlineStr"/>
    </row>
    <row r="7079" ht="15" customHeight="1">
      <c r="A7079" t="inlineStr">
        <is>
          <t>A 20072-2025</t>
        </is>
      </c>
      <c r="B7079" s="1" t="n">
        <v>45772</v>
      </c>
      <c r="C7079" s="1" t="n">
        <v>45846</v>
      </c>
      <c r="D7079" t="inlineStr">
        <is>
          <t>UPPSALA LÄN</t>
        </is>
      </c>
      <c r="E7079" t="inlineStr">
        <is>
          <t>ÖSTHAMMAR</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20385-2025</t>
        </is>
      </c>
      <c r="B7080" s="1" t="n">
        <v>45775</v>
      </c>
      <c r="C7080" s="1" t="n">
        <v>45846</v>
      </c>
      <c r="D7080" t="inlineStr">
        <is>
          <t>UPPSALA LÄN</t>
        </is>
      </c>
      <c r="E7080" t="inlineStr">
        <is>
          <t>ÖSTHAMMAR</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20418-2025</t>
        </is>
      </c>
      <c r="B7081" s="1" t="n">
        <v>45775</v>
      </c>
      <c r="C7081" s="1" t="n">
        <v>45846</v>
      </c>
      <c r="D7081" t="inlineStr">
        <is>
          <t>UPPSALA LÄN</t>
        </is>
      </c>
      <c r="E7081" t="inlineStr">
        <is>
          <t>UPPSALA</t>
        </is>
      </c>
      <c r="F7081" t="inlineStr">
        <is>
          <t>Allmännings- och besparingsskogar</t>
        </is>
      </c>
      <c r="G7081" t="n">
        <v>5.2</v>
      </c>
      <c r="H7081" t="n">
        <v>0</v>
      </c>
      <c r="I7081" t="n">
        <v>0</v>
      </c>
      <c r="J7081" t="n">
        <v>0</v>
      </c>
      <c r="K7081" t="n">
        <v>0</v>
      </c>
      <c r="L7081" t="n">
        <v>0</v>
      </c>
      <c r="M7081" t="n">
        <v>0</v>
      </c>
      <c r="N7081" t="n">
        <v>0</v>
      </c>
      <c r="O7081" t="n">
        <v>0</v>
      </c>
      <c r="P7081" t="n">
        <v>0</v>
      </c>
      <c r="Q7081" t="n">
        <v>0</v>
      </c>
      <c r="R7081" s="2" t="inlineStr"/>
    </row>
    <row r="7082" ht="15" customHeight="1">
      <c r="A7082" t="inlineStr">
        <is>
          <t>A 20440-2025</t>
        </is>
      </c>
      <c r="B7082" s="1" t="n">
        <v>45775</v>
      </c>
      <c r="C7082" s="1" t="n">
        <v>45846</v>
      </c>
      <c r="D7082" t="inlineStr">
        <is>
          <t>UPPSALA LÄN</t>
        </is>
      </c>
      <c r="E7082" t="inlineStr">
        <is>
          <t>ENKÖPING</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20552-2025</t>
        </is>
      </c>
      <c r="B7083" s="1" t="n">
        <v>45775</v>
      </c>
      <c r="C7083" s="1" t="n">
        <v>45846</v>
      </c>
      <c r="D7083" t="inlineStr">
        <is>
          <t>UPPSALA LÄN</t>
        </is>
      </c>
      <c r="E7083" t="inlineStr">
        <is>
          <t>TIERP</t>
        </is>
      </c>
      <c r="F7083" t="inlineStr">
        <is>
          <t>Bergvik skog öst AB</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20317-2025</t>
        </is>
      </c>
      <c r="B7084" s="1" t="n">
        <v>45775</v>
      </c>
      <c r="C7084" s="1" t="n">
        <v>45846</v>
      </c>
      <c r="D7084" t="inlineStr">
        <is>
          <t>UPPSALA LÄN</t>
        </is>
      </c>
      <c r="E7084" t="inlineStr">
        <is>
          <t>TIERP</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20797-2025</t>
        </is>
      </c>
      <c r="B7085" s="1" t="n">
        <v>45776</v>
      </c>
      <c r="C7085" s="1" t="n">
        <v>45846</v>
      </c>
      <c r="D7085" t="inlineStr">
        <is>
          <t>UPPSALA LÄN</t>
        </is>
      </c>
      <c r="E7085" t="inlineStr">
        <is>
          <t>UPPSALA</t>
        </is>
      </c>
      <c r="F7085" t="inlineStr">
        <is>
          <t>Kommuner</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20686-2025</t>
        </is>
      </c>
      <c r="B7086" s="1" t="n">
        <v>45776</v>
      </c>
      <c r="C7086" s="1" t="n">
        <v>45846</v>
      </c>
      <c r="D7086" t="inlineStr">
        <is>
          <t>UPPSALA LÄN</t>
        </is>
      </c>
      <c r="E7086" t="inlineStr">
        <is>
          <t>UPPSALA</t>
        </is>
      </c>
      <c r="F7086" t="inlineStr">
        <is>
          <t>Holmen skog AB</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20641-2025</t>
        </is>
      </c>
      <c r="B7087" s="1" t="n">
        <v>45776</v>
      </c>
      <c r="C7087" s="1" t="n">
        <v>45846</v>
      </c>
      <c r="D7087" t="inlineStr">
        <is>
          <t>UPPSALA LÄN</t>
        </is>
      </c>
      <c r="E7087" t="inlineStr">
        <is>
          <t>TIERP</t>
        </is>
      </c>
      <c r="F7087" t="inlineStr">
        <is>
          <t>Bergvik skog öst AB</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20703-2025</t>
        </is>
      </c>
      <c r="B7088" s="1" t="n">
        <v>45776</v>
      </c>
      <c r="C7088" s="1" t="n">
        <v>45846</v>
      </c>
      <c r="D7088" t="inlineStr">
        <is>
          <t>UPPSALA LÄN</t>
        </is>
      </c>
      <c r="E7088" t="inlineStr">
        <is>
          <t>UPPSALA</t>
        </is>
      </c>
      <c r="F7088" t="inlineStr">
        <is>
          <t>Holmen skog AB</t>
        </is>
      </c>
      <c r="G7088" t="n">
        <v>3.5</v>
      </c>
      <c r="H7088" t="n">
        <v>0</v>
      </c>
      <c r="I7088" t="n">
        <v>0</v>
      </c>
      <c r="J7088" t="n">
        <v>0</v>
      </c>
      <c r="K7088" t="n">
        <v>0</v>
      </c>
      <c r="L7088" t="n">
        <v>0</v>
      </c>
      <c r="M7088" t="n">
        <v>0</v>
      </c>
      <c r="N7088" t="n">
        <v>0</v>
      </c>
      <c r="O7088" t="n">
        <v>0</v>
      </c>
      <c r="P7088" t="n">
        <v>0</v>
      </c>
      <c r="Q7088" t="n">
        <v>0</v>
      </c>
      <c r="R7088" s="2" t="inlineStr"/>
    </row>
    <row r="7089" ht="15" customHeight="1">
      <c r="A7089" t="inlineStr">
        <is>
          <t>A 20712-2025</t>
        </is>
      </c>
      <c r="B7089" s="1" t="n">
        <v>45776</v>
      </c>
      <c r="C7089" s="1" t="n">
        <v>45846</v>
      </c>
      <c r="D7089" t="inlineStr">
        <is>
          <t>UPPSALA LÄN</t>
        </is>
      </c>
      <c r="E7089" t="inlineStr">
        <is>
          <t>UPPSALA</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20772-2025</t>
        </is>
      </c>
      <c r="B7090" s="1" t="n">
        <v>45776</v>
      </c>
      <c r="C7090" s="1" t="n">
        <v>45846</v>
      </c>
      <c r="D7090" t="inlineStr">
        <is>
          <t>UPPSALA LÄN</t>
        </is>
      </c>
      <c r="E7090" t="inlineStr">
        <is>
          <t>HEBY</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20644-2025</t>
        </is>
      </c>
      <c r="B7091" s="1" t="n">
        <v>45776</v>
      </c>
      <c r="C7091" s="1" t="n">
        <v>45846</v>
      </c>
      <c r="D7091" t="inlineStr">
        <is>
          <t>UPPSALA LÄN</t>
        </is>
      </c>
      <c r="E7091" t="inlineStr">
        <is>
          <t>TIERP</t>
        </is>
      </c>
      <c r="F7091" t="inlineStr">
        <is>
          <t>Bergvik skog öst AB</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20676-2025</t>
        </is>
      </c>
      <c r="B7092" s="1" t="n">
        <v>45776</v>
      </c>
      <c r="C7092" s="1" t="n">
        <v>45846</v>
      </c>
      <c r="D7092" t="inlineStr">
        <is>
          <t>UPPSALA LÄN</t>
        </is>
      </c>
      <c r="E7092" t="inlineStr">
        <is>
          <t>TIERP</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21033-2025</t>
        </is>
      </c>
      <c r="B7093" s="1" t="n">
        <v>45777</v>
      </c>
      <c r="C7093" s="1" t="n">
        <v>45846</v>
      </c>
      <c r="D7093" t="inlineStr">
        <is>
          <t>UPPSALA LÄN</t>
        </is>
      </c>
      <c r="E7093" t="inlineStr">
        <is>
          <t>UPPSALA</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21012-2025</t>
        </is>
      </c>
      <c r="B7094" s="1" t="n">
        <v>45777</v>
      </c>
      <c r="C7094" s="1" t="n">
        <v>45846</v>
      </c>
      <c r="D7094" t="inlineStr">
        <is>
          <t>UPPSALA LÄN</t>
        </is>
      </c>
      <c r="E7094" t="inlineStr">
        <is>
          <t>ÄLVKARLEBY</t>
        </is>
      </c>
      <c r="F7094" t="inlineStr">
        <is>
          <t>Bergvik skog väst AB</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20888-2025</t>
        </is>
      </c>
      <c r="B7095" s="1" t="n">
        <v>45777</v>
      </c>
      <c r="C7095" s="1" t="n">
        <v>45846</v>
      </c>
      <c r="D7095" t="inlineStr">
        <is>
          <t>UPPSALA LÄN</t>
        </is>
      </c>
      <c r="E7095" t="inlineStr">
        <is>
          <t>UPPSALA</t>
        </is>
      </c>
      <c r="F7095" t="inlineStr">
        <is>
          <t>Övriga statliga verk och myndigheter</t>
        </is>
      </c>
      <c r="G7095" t="n">
        <v>5.1</v>
      </c>
      <c r="H7095" t="n">
        <v>0</v>
      </c>
      <c r="I7095" t="n">
        <v>0</v>
      </c>
      <c r="J7095" t="n">
        <v>0</v>
      </c>
      <c r="K7095" t="n">
        <v>0</v>
      </c>
      <c r="L7095" t="n">
        <v>0</v>
      </c>
      <c r="M7095" t="n">
        <v>0</v>
      </c>
      <c r="N7095" t="n">
        <v>0</v>
      </c>
      <c r="O7095" t="n">
        <v>0</v>
      </c>
      <c r="P7095" t="n">
        <v>0</v>
      </c>
      <c r="Q7095" t="n">
        <v>0</v>
      </c>
      <c r="R7095" s="2" t="inlineStr"/>
    </row>
    <row r="7096" ht="15" customHeight="1">
      <c r="A7096" t="inlineStr">
        <is>
          <t>A 20886-2025</t>
        </is>
      </c>
      <c r="B7096" s="1" t="n">
        <v>45777</v>
      </c>
      <c r="C7096" s="1" t="n">
        <v>45846</v>
      </c>
      <c r="D7096" t="inlineStr">
        <is>
          <t>UPPSALA LÄN</t>
        </is>
      </c>
      <c r="E7096" t="inlineStr">
        <is>
          <t>TIERP</t>
        </is>
      </c>
      <c r="F7096" t="inlineStr">
        <is>
          <t>Bergvik skog öst AB</t>
        </is>
      </c>
      <c r="G7096" t="n">
        <v>6.6</v>
      </c>
      <c r="H7096" t="n">
        <v>0</v>
      </c>
      <c r="I7096" t="n">
        <v>0</v>
      </c>
      <c r="J7096" t="n">
        <v>0</v>
      </c>
      <c r="K7096" t="n">
        <v>0</v>
      </c>
      <c r="L7096" t="n">
        <v>0</v>
      </c>
      <c r="M7096" t="n">
        <v>0</v>
      </c>
      <c r="N7096" t="n">
        <v>0</v>
      </c>
      <c r="O7096" t="n">
        <v>0</v>
      </c>
      <c r="P7096" t="n">
        <v>0</v>
      </c>
      <c r="Q7096" t="n">
        <v>0</v>
      </c>
      <c r="R7096" s="2" t="inlineStr"/>
    </row>
    <row r="7097" ht="15" customHeight="1">
      <c r="A7097" t="inlineStr">
        <is>
          <t>A 21047-2025</t>
        </is>
      </c>
      <c r="B7097" s="1" t="n">
        <v>45777</v>
      </c>
      <c r="C7097" s="1" t="n">
        <v>45846</v>
      </c>
      <c r="D7097" t="inlineStr">
        <is>
          <t>UPPSALA LÄN</t>
        </is>
      </c>
      <c r="E7097" t="inlineStr">
        <is>
          <t>TIERP</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20995-2025</t>
        </is>
      </c>
      <c r="B7098" s="1" t="n">
        <v>45777</v>
      </c>
      <c r="C7098" s="1" t="n">
        <v>45846</v>
      </c>
      <c r="D7098" t="inlineStr">
        <is>
          <t>UPPSALA LÄN</t>
        </is>
      </c>
      <c r="E7098" t="inlineStr">
        <is>
          <t>HEBY</t>
        </is>
      </c>
      <c r="G7098" t="n">
        <v>6.5</v>
      </c>
      <c r="H7098" t="n">
        <v>0</v>
      </c>
      <c r="I7098" t="n">
        <v>0</v>
      </c>
      <c r="J7098" t="n">
        <v>0</v>
      </c>
      <c r="K7098" t="n">
        <v>0</v>
      </c>
      <c r="L7098" t="n">
        <v>0</v>
      </c>
      <c r="M7098" t="n">
        <v>0</v>
      </c>
      <c r="N7098" t="n">
        <v>0</v>
      </c>
      <c r="O7098" t="n">
        <v>0</v>
      </c>
      <c r="P7098" t="n">
        <v>0</v>
      </c>
      <c r="Q7098" t="n">
        <v>0</v>
      </c>
      <c r="R7098" s="2" t="inlineStr"/>
    </row>
    <row r="7099" ht="15" customHeight="1">
      <c r="A7099" t="inlineStr">
        <is>
          <t>A 20990-2025</t>
        </is>
      </c>
      <c r="B7099" s="1" t="n">
        <v>45777</v>
      </c>
      <c r="C7099" s="1" t="n">
        <v>45846</v>
      </c>
      <c r="D7099" t="inlineStr">
        <is>
          <t>UPPSALA LÄN</t>
        </is>
      </c>
      <c r="E7099" t="inlineStr">
        <is>
          <t>HEBY</t>
        </is>
      </c>
      <c r="G7099" t="n">
        <v>10.1</v>
      </c>
      <c r="H7099" t="n">
        <v>0</v>
      </c>
      <c r="I7099" t="n">
        <v>0</v>
      </c>
      <c r="J7099" t="n">
        <v>0</v>
      </c>
      <c r="K7099" t="n">
        <v>0</v>
      </c>
      <c r="L7099" t="n">
        <v>0</v>
      </c>
      <c r="M7099" t="n">
        <v>0</v>
      </c>
      <c r="N7099" t="n">
        <v>0</v>
      </c>
      <c r="O7099" t="n">
        <v>0</v>
      </c>
      <c r="P7099" t="n">
        <v>0</v>
      </c>
      <c r="Q7099" t="n">
        <v>0</v>
      </c>
      <c r="R7099" s="2" t="inlineStr"/>
    </row>
    <row r="7100" ht="15" customHeight="1">
      <c r="A7100" t="inlineStr">
        <is>
          <t>A 20928-2025</t>
        </is>
      </c>
      <c r="B7100" s="1" t="n">
        <v>45777</v>
      </c>
      <c r="C7100" s="1" t="n">
        <v>45846</v>
      </c>
      <c r="D7100" t="inlineStr">
        <is>
          <t>UPPSALA LÄN</t>
        </is>
      </c>
      <c r="E7100" t="inlineStr">
        <is>
          <t>UPPSALA</t>
        </is>
      </c>
      <c r="G7100" t="n">
        <v>11.9</v>
      </c>
      <c r="H7100" t="n">
        <v>0</v>
      </c>
      <c r="I7100" t="n">
        <v>0</v>
      </c>
      <c r="J7100" t="n">
        <v>0</v>
      </c>
      <c r="K7100" t="n">
        <v>0</v>
      </c>
      <c r="L7100" t="n">
        <v>0</v>
      </c>
      <c r="M7100" t="n">
        <v>0</v>
      </c>
      <c r="N7100" t="n">
        <v>0</v>
      </c>
      <c r="O7100" t="n">
        <v>0</v>
      </c>
      <c r="P7100" t="n">
        <v>0</v>
      </c>
      <c r="Q7100" t="n">
        <v>0</v>
      </c>
      <c r="R7100" s="2" t="inlineStr"/>
    </row>
    <row r="7101" ht="15" customHeight="1">
      <c r="A7101" t="inlineStr">
        <is>
          <t>A 20858-2025</t>
        </is>
      </c>
      <c r="B7101" s="1" t="n">
        <v>45777</v>
      </c>
      <c r="C7101" s="1" t="n">
        <v>45846</v>
      </c>
      <c r="D7101" t="inlineStr">
        <is>
          <t>UPPSALA LÄN</t>
        </is>
      </c>
      <c r="E7101" t="inlineStr">
        <is>
          <t>UPPSALA</t>
        </is>
      </c>
      <c r="F7101" t="inlineStr">
        <is>
          <t>Övriga Aktiebolag</t>
        </is>
      </c>
      <c r="G7101" t="n">
        <v>4.1</v>
      </c>
      <c r="H7101" t="n">
        <v>0</v>
      </c>
      <c r="I7101" t="n">
        <v>0</v>
      </c>
      <c r="J7101" t="n">
        <v>0</v>
      </c>
      <c r="K7101" t="n">
        <v>0</v>
      </c>
      <c r="L7101" t="n">
        <v>0</v>
      </c>
      <c r="M7101" t="n">
        <v>0</v>
      </c>
      <c r="N7101" t="n">
        <v>0</v>
      </c>
      <c r="O7101" t="n">
        <v>0</v>
      </c>
      <c r="P7101" t="n">
        <v>0</v>
      </c>
      <c r="Q7101" t="n">
        <v>0</v>
      </c>
      <c r="R7101" s="2" t="inlineStr"/>
    </row>
    <row r="7102" ht="15" customHeight="1">
      <c r="A7102" t="inlineStr">
        <is>
          <t>A 20874-2025</t>
        </is>
      </c>
      <c r="B7102" s="1" t="n">
        <v>45777</v>
      </c>
      <c r="C7102" s="1" t="n">
        <v>45846</v>
      </c>
      <c r="D7102" t="inlineStr">
        <is>
          <t>UPPSALA LÄN</t>
        </is>
      </c>
      <c r="E7102" t="inlineStr">
        <is>
          <t>UPPSALA</t>
        </is>
      </c>
      <c r="F7102" t="inlineStr">
        <is>
          <t>Övriga Aktiebolag</t>
        </is>
      </c>
      <c r="G7102" t="n">
        <v>3.9</v>
      </c>
      <c r="H7102" t="n">
        <v>0</v>
      </c>
      <c r="I7102" t="n">
        <v>0</v>
      </c>
      <c r="J7102" t="n">
        <v>0</v>
      </c>
      <c r="K7102" t="n">
        <v>0</v>
      </c>
      <c r="L7102" t="n">
        <v>0</v>
      </c>
      <c r="M7102" t="n">
        <v>0</v>
      </c>
      <c r="N7102" t="n">
        <v>0</v>
      </c>
      <c r="O7102" t="n">
        <v>0</v>
      </c>
      <c r="P7102" t="n">
        <v>0</v>
      </c>
      <c r="Q7102" t="n">
        <v>0</v>
      </c>
      <c r="R7102" s="2" t="inlineStr"/>
    </row>
    <row r="7103" ht="15" customHeight="1">
      <c r="A7103" t="inlineStr">
        <is>
          <t>A 21130-2025</t>
        </is>
      </c>
      <c r="B7103" s="1" t="n">
        <v>45778</v>
      </c>
      <c r="C7103" s="1" t="n">
        <v>45846</v>
      </c>
      <c r="D7103" t="inlineStr">
        <is>
          <t>UPPSALA LÄN</t>
        </is>
      </c>
      <c r="E7103" t="inlineStr">
        <is>
          <t>KNIVSTA</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21133-2025</t>
        </is>
      </c>
      <c r="B7104" s="1" t="n">
        <v>45778</v>
      </c>
      <c r="C7104" s="1" t="n">
        <v>45846</v>
      </c>
      <c r="D7104" t="inlineStr">
        <is>
          <t>UPPSALA LÄN</t>
        </is>
      </c>
      <c r="E7104" t="inlineStr">
        <is>
          <t>ÖSTHAMMAR</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21132-2025</t>
        </is>
      </c>
      <c r="B7105" s="1" t="n">
        <v>45778</v>
      </c>
      <c r="C7105" s="1" t="n">
        <v>45846</v>
      </c>
      <c r="D7105" t="inlineStr">
        <is>
          <t>UPPSALA LÄN</t>
        </is>
      </c>
      <c r="E7105" t="inlineStr">
        <is>
          <t>ÖSTHAMMAR</t>
        </is>
      </c>
      <c r="G7105" t="n">
        <v>10.1</v>
      </c>
      <c r="H7105" t="n">
        <v>0</v>
      </c>
      <c r="I7105" t="n">
        <v>0</v>
      </c>
      <c r="J7105" t="n">
        <v>0</v>
      </c>
      <c r="K7105" t="n">
        <v>0</v>
      </c>
      <c r="L7105" t="n">
        <v>0</v>
      </c>
      <c r="M7105" t="n">
        <v>0</v>
      </c>
      <c r="N7105" t="n">
        <v>0</v>
      </c>
      <c r="O7105" t="n">
        <v>0</v>
      </c>
      <c r="P7105" t="n">
        <v>0</v>
      </c>
      <c r="Q7105" t="n">
        <v>0</v>
      </c>
      <c r="R7105" s="2" t="inlineStr"/>
    </row>
    <row r="7106" ht="15" customHeight="1">
      <c r="A7106" t="inlineStr">
        <is>
          <t>A 21281-2025</t>
        </is>
      </c>
      <c r="B7106" s="1" t="n">
        <v>45779</v>
      </c>
      <c r="C7106" s="1" t="n">
        <v>45846</v>
      </c>
      <c r="D7106" t="inlineStr">
        <is>
          <t>UPPSALA LÄN</t>
        </is>
      </c>
      <c r="E7106" t="inlineStr">
        <is>
          <t>UPPSALA</t>
        </is>
      </c>
      <c r="F7106" t="inlineStr">
        <is>
          <t>Övriga Aktiebolag</t>
        </is>
      </c>
      <c r="G7106" t="n">
        <v>5.9</v>
      </c>
      <c r="H7106" t="n">
        <v>0</v>
      </c>
      <c r="I7106" t="n">
        <v>0</v>
      </c>
      <c r="J7106" t="n">
        <v>0</v>
      </c>
      <c r="K7106" t="n">
        <v>0</v>
      </c>
      <c r="L7106" t="n">
        <v>0</v>
      </c>
      <c r="M7106" t="n">
        <v>0</v>
      </c>
      <c r="N7106" t="n">
        <v>0</v>
      </c>
      <c r="O7106" t="n">
        <v>0</v>
      </c>
      <c r="P7106" t="n">
        <v>0</v>
      </c>
      <c r="Q7106" t="n">
        <v>0</v>
      </c>
      <c r="R7106" s="2" t="inlineStr"/>
    </row>
    <row r="7107" ht="15" customHeight="1">
      <c r="A7107" t="inlineStr">
        <is>
          <t>A 21279-2025</t>
        </is>
      </c>
      <c r="B7107" s="1" t="n">
        <v>45779</v>
      </c>
      <c r="C7107" s="1" t="n">
        <v>45846</v>
      </c>
      <c r="D7107" t="inlineStr">
        <is>
          <t>UPPSALA LÄN</t>
        </is>
      </c>
      <c r="E7107" t="inlineStr">
        <is>
          <t>UPPSALA</t>
        </is>
      </c>
      <c r="F7107" t="inlineStr">
        <is>
          <t>Övriga Aktiebolag</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21217-2025</t>
        </is>
      </c>
      <c r="B7108" s="1" t="n">
        <v>45779</v>
      </c>
      <c r="C7108" s="1" t="n">
        <v>45846</v>
      </c>
      <c r="D7108" t="inlineStr">
        <is>
          <t>UPPSALA LÄN</t>
        </is>
      </c>
      <c r="E7108" t="inlineStr">
        <is>
          <t>UPPSALA</t>
        </is>
      </c>
      <c r="F7108" t="inlineStr">
        <is>
          <t>Holmen skog AB</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21473-2025</t>
        </is>
      </c>
      <c r="B7109" s="1" t="n">
        <v>45782</v>
      </c>
      <c r="C7109" s="1" t="n">
        <v>45846</v>
      </c>
      <c r="D7109" t="inlineStr">
        <is>
          <t>UPPSALA LÄN</t>
        </is>
      </c>
      <c r="E7109" t="inlineStr">
        <is>
          <t>TIERP</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21398-2025</t>
        </is>
      </c>
      <c r="B7110" s="1" t="n">
        <v>45782</v>
      </c>
      <c r="C7110" s="1" t="n">
        <v>45846</v>
      </c>
      <c r="D7110" t="inlineStr">
        <is>
          <t>UPPSALA LÄN</t>
        </is>
      </c>
      <c r="E7110" t="inlineStr">
        <is>
          <t>TIERP</t>
        </is>
      </c>
      <c r="F7110" t="inlineStr">
        <is>
          <t>Kyrkan</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21325-2025</t>
        </is>
      </c>
      <c r="B7111" s="1" t="n">
        <v>45782</v>
      </c>
      <c r="C7111" s="1" t="n">
        <v>45846</v>
      </c>
      <c r="D7111" t="inlineStr">
        <is>
          <t>UPPSALA LÄN</t>
        </is>
      </c>
      <c r="E7111" t="inlineStr">
        <is>
          <t>TIERP</t>
        </is>
      </c>
      <c r="F7111" t="inlineStr">
        <is>
          <t>Bergvik skog öst AB</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21345-2025</t>
        </is>
      </c>
      <c r="B7112" s="1" t="n">
        <v>45782</v>
      </c>
      <c r="C7112" s="1" t="n">
        <v>45846</v>
      </c>
      <c r="D7112" t="inlineStr">
        <is>
          <t>UPPSALA LÄN</t>
        </is>
      </c>
      <c r="E7112" t="inlineStr">
        <is>
          <t>TIERP</t>
        </is>
      </c>
      <c r="F7112" t="inlineStr">
        <is>
          <t>Bergvik skog öst AB</t>
        </is>
      </c>
      <c r="G7112" t="n">
        <v>5.5</v>
      </c>
      <c r="H7112" t="n">
        <v>0</v>
      </c>
      <c r="I7112" t="n">
        <v>0</v>
      </c>
      <c r="J7112" t="n">
        <v>0</v>
      </c>
      <c r="K7112" t="n">
        <v>0</v>
      </c>
      <c r="L7112" t="n">
        <v>0</v>
      </c>
      <c r="M7112" t="n">
        <v>0</v>
      </c>
      <c r="N7112" t="n">
        <v>0</v>
      </c>
      <c r="O7112" t="n">
        <v>0</v>
      </c>
      <c r="P7112" t="n">
        <v>0</v>
      </c>
      <c r="Q7112" t="n">
        <v>0</v>
      </c>
      <c r="R7112" s="2" t="inlineStr"/>
    </row>
    <row r="7113" ht="15" customHeight="1">
      <c r="A7113" t="inlineStr">
        <is>
          <t>A 21501-2025</t>
        </is>
      </c>
      <c r="B7113" s="1" t="n">
        <v>45782</v>
      </c>
      <c r="C7113" s="1" t="n">
        <v>45846</v>
      </c>
      <c r="D7113" t="inlineStr">
        <is>
          <t>UPPSALA LÄN</t>
        </is>
      </c>
      <c r="E7113" t="inlineStr">
        <is>
          <t>ENKÖPING</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21636-2025</t>
        </is>
      </c>
      <c r="B7114" s="1" t="n">
        <v>45783</v>
      </c>
      <c r="C7114" s="1" t="n">
        <v>45846</v>
      </c>
      <c r="D7114" t="inlineStr">
        <is>
          <t>UPPSALA LÄN</t>
        </is>
      </c>
      <c r="E7114" t="inlineStr">
        <is>
          <t>TIERP</t>
        </is>
      </c>
      <c r="F7114" t="inlineStr">
        <is>
          <t>Bergvik skog öst AB</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21635-2025</t>
        </is>
      </c>
      <c r="B7115" s="1" t="n">
        <v>45783</v>
      </c>
      <c r="C7115" s="1" t="n">
        <v>45846</v>
      </c>
      <c r="D7115" t="inlineStr">
        <is>
          <t>UPPSALA LÄN</t>
        </is>
      </c>
      <c r="E7115" t="inlineStr">
        <is>
          <t>TIERP</t>
        </is>
      </c>
      <c r="F7115" t="inlineStr">
        <is>
          <t>Bergvik skog öst AB</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21748-2025</t>
        </is>
      </c>
      <c r="B7116" s="1" t="n">
        <v>45783</v>
      </c>
      <c r="C7116" s="1" t="n">
        <v>45846</v>
      </c>
      <c r="D7116" t="inlineStr">
        <is>
          <t>UPPSALA LÄN</t>
        </is>
      </c>
      <c r="E7116" t="inlineStr">
        <is>
          <t>UPPSALA</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21782-2025</t>
        </is>
      </c>
      <c r="B7117" s="1" t="n">
        <v>45783</v>
      </c>
      <c r="C7117" s="1" t="n">
        <v>45846</v>
      </c>
      <c r="D7117" t="inlineStr">
        <is>
          <t>UPPSALA LÄN</t>
        </is>
      </c>
      <c r="E7117" t="inlineStr">
        <is>
          <t>TIERP</t>
        </is>
      </c>
      <c r="F7117" t="inlineStr">
        <is>
          <t>Bergvik skog öst AB</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21889-2025</t>
        </is>
      </c>
      <c r="B7118" s="1" t="n">
        <v>45784</v>
      </c>
      <c r="C7118" s="1" t="n">
        <v>45846</v>
      </c>
      <c r="D7118" t="inlineStr">
        <is>
          <t>UPPSALA LÄN</t>
        </is>
      </c>
      <c r="E7118" t="inlineStr">
        <is>
          <t>TIERP</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21876-2025</t>
        </is>
      </c>
      <c r="B7119" s="1" t="n">
        <v>45784</v>
      </c>
      <c r="C7119" s="1" t="n">
        <v>45846</v>
      </c>
      <c r="D7119" t="inlineStr">
        <is>
          <t>UPPSALA LÄN</t>
        </is>
      </c>
      <c r="E7119" t="inlineStr">
        <is>
          <t>TIERP</t>
        </is>
      </c>
      <c r="F7119" t="inlineStr">
        <is>
          <t>Bergvik skog öst AB</t>
        </is>
      </c>
      <c r="G7119" t="n">
        <v>8.199999999999999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21936-2025</t>
        </is>
      </c>
      <c r="B7120" s="1" t="n">
        <v>45784</v>
      </c>
      <c r="C7120" s="1" t="n">
        <v>45846</v>
      </c>
      <c r="D7120" t="inlineStr">
        <is>
          <t>UPPSALA LÄN</t>
        </is>
      </c>
      <c r="E7120" t="inlineStr">
        <is>
          <t>UPPSALA</t>
        </is>
      </c>
      <c r="F7120" t="inlineStr">
        <is>
          <t>Bergvik skog öst AB</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21905-2025</t>
        </is>
      </c>
      <c r="B7121" s="1" t="n">
        <v>45784</v>
      </c>
      <c r="C7121" s="1" t="n">
        <v>45846</v>
      </c>
      <c r="D7121" t="inlineStr">
        <is>
          <t>UPPSALA LÄN</t>
        </is>
      </c>
      <c r="E7121" t="inlineStr">
        <is>
          <t>TIERP</t>
        </is>
      </c>
      <c r="F7121" t="inlineStr">
        <is>
          <t>Bergvik skog öst AB</t>
        </is>
      </c>
      <c r="G7121" t="n">
        <v>7.6</v>
      </c>
      <c r="H7121" t="n">
        <v>0</v>
      </c>
      <c r="I7121" t="n">
        <v>0</v>
      </c>
      <c r="J7121" t="n">
        <v>0</v>
      </c>
      <c r="K7121" t="n">
        <v>0</v>
      </c>
      <c r="L7121" t="n">
        <v>0</v>
      </c>
      <c r="M7121" t="n">
        <v>0</v>
      </c>
      <c r="N7121" t="n">
        <v>0</v>
      </c>
      <c r="O7121" t="n">
        <v>0</v>
      </c>
      <c r="P7121" t="n">
        <v>0</v>
      </c>
      <c r="Q7121" t="n">
        <v>0</v>
      </c>
      <c r="R7121" s="2" t="inlineStr"/>
    </row>
    <row r="7122" ht="15" customHeight="1">
      <c r="A7122" t="inlineStr">
        <is>
          <t>A 22018-2025</t>
        </is>
      </c>
      <c r="B7122" s="1" t="n">
        <v>45784</v>
      </c>
      <c r="C7122" s="1" t="n">
        <v>45846</v>
      </c>
      <c r="D7122" t="inlineStr">
        <is>
          <t>UPPSALA LÄN</t>
        </is>
      </c>
      <c r="E7122" t="inlineStr">
        <is>
          <t>UPPSALA</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22156-2025</t>
        </is>
      </c>
      <c r="B7123" s="1" t="n">
        <v>45785</v>
      </c>
      <c r="C7123" s="1" t="n">
        <v>45846</v>
      </c>
      <c r="D7123" t="inlineStr">
        <is>
          <t>UPPSALA LÄN</t>
        </is>
      </c>
      <c r="E7123" t="inlineStr">
        <is>
          <t>ENKÖPING</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22135-2025</t>
        </is>
      </c>
      <c r="B7124" s="1" t="n">
        <v>45785</v>
      </c>
      <c r="C7124" s="1" t="n">
        <v>45846</v>
      </c>
      <c r="D7124" t="inlineStr">
        <is>
          <t>UPPSALA LÄN</t>
        </is>
      </c>
      <c r="E7124" t="inlineStr">
        <is>
          <t>TIERP</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22149-2025</t>
        </is>
      </c>
      <c r="B7125" s="1" t="n">
        <v>45785</v>
      </c>
      <c r="C7125" s="1" t="n">
        <v>45846</v>
      </c>
      <c r="D7125" t="inlineStr">
        <is>
          <t>UPPSALA LÄN</t>
        </is>
      </c>
      <c r="E7125" t="inlineStr">
        <is>
          <t>ENKÖPING</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22150-2025</t>
        </is>
      </c>
      <c r="B7126" s="1" t="n">
        <v>45785</v>
      </c>
      <c r="C7126" s="1" t="n">
        <v>45846</v>
      </c>
      <c r="D7126" t="inlineStr">
        <is>
          <t>UPPSALA LÄN</t>
        </is>
      </c>
      <c r="E7126" t="inlineStr">
        <is>
          <t>ENKÖPING</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22223-2025</t>
        </is>
      </c>
      <c r="B7127" s="1" t="n">
        <v>45785</v>
      </c>
      <c r="C7127" s="1" t="n">
        <v>45846</v>
      </c>
      <c r="D7127" t="inlineStr">
        <is>
          <t>UPPSALA LÄN</t>
        </is>
      </c>
      <c r="E7127" t="inlineStr">
        <is>
          <t>ÄLVKARLEBY</t>
        </is>
      </c>
      <c r="F7127" t="inlineStr">
        <is>
          <t>Bergvik skog väst AB</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22083-2025</t>
        </is>
      </c>
      <c r="B7128" s="1" t="n">
        <v>45785</v>
      </c>
      <c r="C7128" s="1" t="n">
        <v>45846</v>
      </c>
      <c r="D7128" t="inlineStr">
        <is>
          <t>UPPSALA LÄN</t>
        </is>
      </c>
      <c r="E7128" t="inlineStr">
        <is>
          <t>TIERP</t>
        </is>
      </c>
      <c r="G7128" t="n">
        <v>8</v>
      </c>
      <c r="H7128" t="n">
        <v>0</v>
      </c>
      <c r="I7128" t="n">
        <v>0</v>
      </c>
      <c r="J7128" t="n">
        <v>0</v>
      </c>
      <c r="K7128" t="n">
        <v>0</v>
      </c>
      <c r="L7128" t="n">
        <v>0</v>
      </c>
      <c r="M7128" t="n">
        <v>0</v>
      </c>
      <c r="N7128" t="n">
        <v>0</v>
      </c>
      <c r="O7128" t="n">
        <v>0</v>
      </c>
      <c r="P7128" t="n">
        <v>0</v>
      </c>
      <c r="Q7128" t="n">
        <v>0</v>
      </c>
      <c r="R7128" s="2" t="inlineStr"/>
    </row>
    <row r="7129" ht="15" customHeight="1">
      <c r="A7129" t="inlineStr">
        <is>
          <t>A 22525-2025</t>
        </is>
      </c>
      <c r="B7129" s="1" t="n">
        <v>45786</v>
      </c>
      <c r="C7129" s="1" t="n">
        <v>45846</v>
      </c>
      <c r="D7129" t="inlineStr">
        <is>
          <t>UPPSALA LÄN</t>
        </is>
      </c>
      <c r="E7129" t="inlineStr">
        <is>
          <t>HÅBO</t>
        </is>
      </c>
      <c r="F7129" t="inlineStr">
        <is>
          <t>Kyrkan</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22524-2025</t>
        </is>
      </c>
      <c r="B7130" s="1" t="n">
        <v>45786</v>
      </c>
      <c r="C7130" s="1" t="n">
        <v>45846</v>
      </c>
      <c r="D7130" t="inlineStr">
        <is>
          <t>UPPSALA LÄN</t>
        </is>
      </c>
      <c r="E7130" t="inlineStr">
        <is>
          <t>HÅBO</t>
        </is>
      </c>
      <c r="F7130" t="inlineStr">
        <is>
          <t>Kyrkan</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22492-2025</t>
        </is>
      </c>
      <c r="B7131" s="1" t="n">
        <v>45786</v>
      </c>
      <c r="C7131" s="1" t="n">
        <v>45846</v>
      </c>
      <c r="D7131" t="inlineStr">
        <is>
          <t>UPPSALA LÄN</t>
        </is>
      </c>
      <c r="E7131" t="inlineStr">
        <is>
          <t>ÖSTHAMMAR</t>
        </is>
      </c>
      <c r="F7131" t="inlineStr">
        <is>
          <t>Bergvik skog öst AB</t>
        </is>
      </c>
      <c r="G7131" t="n">
        <v>16.6</v>
      </c>
      <c r="H7131" t="n">
        <v>0</v>
      </c>
      <c r="I7131" t="n">
        <v>0</v>
      </c>
      <c r="J7131" t="n">
        <v>0</v>
      </c>
      <c r="K7131" t="n">
        <v>0</v>
      </c>
      <c r="L7131" t="n">
        <v>0</v>
      </c>
      <c r="M7131" t="n">
        <v>0</v>
      </c>
      <c r="N7131" t="n">
        <v>0</v>
      </c>
      <c r="O7131" t="n">
        <v>0</v>
      </c>
      <c r="P7131" t="n">
        <v>0</v>
      </c>
      <c r="Q7131" t="n">
        <v>0</v>
      </c>
      <c r="R7131" s="2" t="inlineStr"/>
    </row>
    <row r="7132" ht="15" customHeight="1">
      <c r="A7132" t="inlineStr">
        <is>
          <t>A 22327-2025</t>
        </is>
      </c>
      <c r="B7132" s="1" t="n">
        <v>45786</v>
      </c>
      <c r="C7132" s="1" t="n">
        <v>45846</v>
      </c>
      <c r="D7132" t="inlineStr">
        <is>
          <t>UPPSALA LÄN</t>
        </is>
      </c>
      <c r="E7132" t="inlineStr">
        <is>
          <t>HEBY</t>
        </is>
      </c>
      <c r="G7132" t="n">
        <v>9.5</v>
      </c>
      <c r="H7132" t="n">
        <v>0</v>
      </c>
      <c r="I7132" t="n">
        <v>0</v>
      </c>
      <c r="J7132" t="n">
        <v>0</v>
      </c>
      <c r="K7132" t="n">
        <v>0</v>
      </c>
      <c r="L7132" t="n">
        <v>0</v>
      </c>
      <c r="M7132" t="n">
        <v>0</v>
      </c>
      <c r="N7132" t="n">
        <v>0</v>
      </c>
      <c r="O7132" t="n">
        <v>0</v>
      </c>
      <c r="P7132" t="n">
        <v>0</v>
      </c>
      <c r="Q7132" t="n">
        <v>0</v>
      </c>
      <c r="R7132" s="2" t="inlineStr"/>
    </row>
    <row r="7133" ht="15" customHeight="1">
      <c r="A7133" t="inlineStr">
        <is>
          <t>A 22455-2025</t>
        </is>
      </c>
      <c r="B7133" s="1" t="n">
        <v>45786</v>
      </c>
      <c r="C7133" s="1" t="n">
        <v>45846</v>
      </c>
      <c r="D7133" t="inlineStr">
        <is>
          <t>UPPSALA LÄN</t>
        </is>
      </c>
      <c r="E7133" t="inlineStr">
        <is>
          <t>HEBY</t>
        </is>
      </c>
      <c r="F7133" t="inlineStr">
        <is>
          <t>Kyrkan</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22483-2025</t>
        </is>
      </c>
      <c r="B7134" s="1" t="n">
        <v>45786</v>
      </c>
      <c r="C7134" s="1" t="n">
        <v>45846</v>
      </c>
      <c r="D7134" t="inlineStr">
        <is>
          <t>UPPSALA LÄN</t>
        </is>
      </c>
      <c r="E7134" t="inlineStr">
        <is>
          <t>ÖSTHAMMAR</t>
        </is>
      </c>
      <c r="F7134" t="inlineStr">
        <is>
          <t>Bergvik skog öst AB</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22460-2025</t>
        </is>
      </c>
      <c r="B7135" s="1" t="n">
        <v>45786</v>
      </c>
      <c r="C7135" s="1" t="n">
        <v>45846</v>
      </c>
      <c r="D7135" t="inlineStr">
        <is>
          <t>UPPSALA LÄN</t>
        </is>
      </c>
      <c r="E7135" t="inlineStr">
        <is>
          <t>HEBY</t>
        </is>
      </c>
      <c r="F7135" t="inlineStr">
        <is>
          <t>Kyrkan</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22333-2025</t>
        </is>
      </c>
      <c r="B7136" s="1" t="n">
        <v>45786</v>
      </c>
      <c r="C7136" s="1" t="n">
        <v>45846</v>
      </c>
      <c r="D7136" t="inlineStr">
        <is>
          <t>UPPSALA LÄN</t>
        </is>
      </c>
      <c r="E7136" t="inlineStr">
        <is>
          <t>HEBY</t>
        </is>
      </c>
      <c r="F7136" t="inlineStr">
        <is>
          <t>Kyrkan</t>
        </is>
      </c>
      <c r="G7136" t="n">
        <v>5.8</v>
      </c>
      <c r="H7136" t="n">
        <v>0</v>
      </c>
      <c r="I7136" t="n">
        <v>0</v>
      </c>
      <c r="J7136" t="n">
        <v>0</v>
      </c>
      <c r="K7136" t="n">
        <v>0</v>
      </c>
      <c r="L7136" t="n">
        <v>0</v>
      </c>
      <c r="M7136" t="n">
        <v>0</v>
      </c>
      <c r="N7136" t="n">
        <v>0</v>
      </c>
      <c r="O7136" t="n">
        <v>0</v>
      </c>
      <c r="P7136" t="n">
        <v>0</v>
      </c>
      <c r="Q7136" t="n">
        <v>0</v>
      </c>
      <c r="R7136" s="2" t="inlineStr"/>
    </row>
    <row r="7137" ht="15" customHeight="1">
      <c r="A7137" t="inlineStr">
        <is>
          <t>A 22334-2025</t>
        </is>
      </c>
      <c r="B7137" s="1" t="n">
        <v>45786</v>
      </c>
      <c r="C7137" s="1" t="n">
        <v>45846</v>
      </c>
      <c r="D7137" t="inlineStr">
        <is>
          <t>UPPSALA LÄN</t>
        </is>
      </c>
      <c r="E7137" t="inlineStr">
        <is>
          <t>HEBY</t>
        </is>
      </c>
      <c r="F7137" t="inlineStr">
        <is>
          <t>Kyrkan</t>
        </is>
      </c>
      <c r="G7137" t="n">
        <v>5.8</v>
      </c>
      <c r="H7137" t="n">
        <v>0</v>
      </c>
      <c r="I7137" t="n">
        <v>0</v>
      </c>
      <c r="J7137" t="n">
        <v>0</v>
      </c>
      <c r="K7137" t="n">
        <v>0</v>
      </c>
      <c r="L7137" t="n">
        <v>0</v>
      </c>
      <c r="M7137" t="n">
        <v>0</v>
      </c>
      <c r="N7137" t="n">
        <v>0</v>
      </c>
      <c r="O7137" t="n">
        <v>0</v>
      </c>
      <c r="P7137" t="n">
        <v>0</v>
      </c>
      <c r="Q7137" t="n">
        <v>0</v>
      </c>
      <c r="R7137" s="2" t="inlineStr"/>
    </row>
    <row r="7138" ht="15" customHeight="1">
      <c r="A7138" t="inlineStr">
        <is>
          <t>A 22392-2025</t>
        </is>
      </c>
      <c r="B7138" s="1" t="n">
        <v>45786</v>
      </c>
      <c r="C7138" s="1" t="n">
        <v>45846</v>
      </c>
      <c r="D7138" t="inlineStr">
        <is>
          <t>UPPSALA LÄN</t>
        </is>
      </c>
      <c r="E7138" t="inlineStr">
        <is>
          <t>TIERP</t>
        </is>
      </c>
      <c r="F7138" t="inlineStr">
        <is>
          <t>Bergvik skog öst AB</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22528-2025</t>
        </is>
      </c>
      <c r="B7139" s="1" t="n">
        <v>45786</v>
      </c>
      <c r="C7139" s="1" t="n">
        <v>45846</v>
      </c>
      <c r="D7139" t="inlineStr">
        <is>
          <t>UPPSALA LÄN</t>
        </is>
      </c>
      <c r="E7139" t="inlineStr">
        <is>
          <t>TIERP</t>
        </is>
      </c>
      <c r="F7139" t="inlineStr">
        <is>
          <t>Övriga Aktiebolag</t>
        </is>
      </c>
      <c r="G7139" t="n">
        <v>7.7</v>
      </c>
      <c r="H7139" t="n">
        <v>0</v>
      </c>
      <c r="I7139" t="n">
        <v>0</v>
      </c>
      <c r="J7139" t="n">
        <v>0</v>
      </c>
      <c r="K7139" t="n">
        <v>0</v>
      </c>
      <c r="L7139" t="n">
        <v>0</v>
      </c>
      <c r="M7139" t="n">
        <v>0</v>
      </c>
      <c r="N7139" t="n">
        <v>0</v>
      </c>
      <c r="O7139" t="n">
        <v>0</v>
      </c>
      <c r="P7139" t="n">
        <v>0</v>
      </c>
      <c r="Q7139" t="n">
        <v>0</v>
      </c>
      <c r="R7139" s="2" t="inlineStr"/>
    </row>
    <row r="7140" ht="15" customHeight="1">
      <c r="A7140" t="inlineStr">
        <is>
          <t>A 22529-2025</t>
        </is>
      </c>
      <c r="B7140" s="1" t="n">
        <v>45786</v>
      </c>
      <c r="C7140" s="1" t="n">
        <v>45846</v>
      </c>
      <c r="D7140" t="inlineStr">
        <is>
          <t>UPPSALA LÄN</t>
        </is>
      </c>
      <c r="E7140" t="inlineStr">
        <is>
          <t>TIERP</t>
        </is>
      </c>
      <c r="F7140" t="inlineStr">
        <is>
          <t>Övriga Aktiebolag</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22488-2025</t>
        </is>
      </c>
      <c r="B7141" s="1" t="n">
        <v>45786</v>
      </c>
      <c r="C7141" s="1" t="n">
        <v>45846</v>
      </c>
      <c r="D7141" t="inlineStr">
        <is>
          <t>UPPSALA LÄN</t>
        </is>
      </c>
      <c r="E7141" t="inlineStr">
        <is>
          <t>ÖSTHAMMAR</t>
        </is>
      </c>
      <c r="F7141" t="inlineStr">
        <is>
          <t>Bergvik skog öst AB</t>
        </is>
      </c>
      <c r="G7141" t="n">
        <v>14.9</v>
      </c>
      <c r="H7141" t="n">
        <v>0</v>
      </c>
      <c r="I7141" t="n">
        <v>0</v>
      </c>
      <c r="J7141" t="n">
        <v>0</v>
      </c>
      <c r="K7141" t="n">
        <v>0</v>
      </c>
      <c r="L7141" t="n">
        <v>0</v>
      </c>
      <c r="M7141" t="n">
        <v>0</v>
      </c>
      <c r="N7141" t="n">
        <v>0</v>
      </c>
      <c r="O7141" t="n">
        <v>0</v>
      </c>
      <c r="P7141" t="n">
        <v>0</v>
      </c>
      <c r="Q7141" t="n">
        <v>0</v>
      </c>
      <c r="R7141" s="2" t="inlineStr"/>
    </row>
    <row r="7142" ht="15" customHeight="1">
      <c r="A7142" t="inlineStr">
        <is>
          <t>A 22274-2025</t>
        </is>
      </c>
      <c r="B7142" s="1" t="n">
        <v>45786</v>
      </c>
      <c r="C7142" s="1" t="n">
        <v>45846</v>
      </c>
      <c r="D7142" t="inlineStr">
        <is>
          <t>UPPSALA LÄN</t>
        </is>
      </c>
      <c r="E7142" t="inlineStr">
        <is>
          <t>TIERP</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22729-2025</t>
        </is>
      </c>
      <c r="B7143" s="1" t="n">
        <v>45789</v>
      </c>
      <c r="C7143" s="1" t="n">
        <v>45846</v>
      </c>
      <c r="D7143" t="inlineStr">
        <is>
          <t>UPPSALA LÄN</t>
        </is>
      </c>
      <c r="E7143" t="inlineStr">
        <is>
          <t>ENKÖPING</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22632-2025</t>
        </is>
      </c>
      <c r="B7144" s="1" t="n">
        <v>45789</v>
      </c>
      <c r="C7144" s="1" t="n">
        <v>45846</v>
      </c>
      <c r="D7144" t="inlineStr">
        <is>
          <t>UPPSALA LÄN</t>
        </is>
      </c>
      <c r="E7144" t="inlineStr">
        <is>
          <t>ENKÖPING</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22802-2025</t>
        </is>
      </c>
      <c r="B7145" s="1" t="n">
        <v>45789</v>
      </c>
      <c r="C7145" s="1" t="n">
        <v>45846</v>
      </c>
      <c r="D7145" t="inlineStr">
        <is>
          <t>UPPSALA LÄN</t>
        </is>
      </c>
      <c r="E7145" t="inlineStr">
        <is>
          <t>ENKÖPING</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22796-2025</t>
        </is>
      </c>
      <c r="B7146" s="1" t="n">
        <v>45789</v>
      </c>
      <c r="C7146" s="1" t="n">
        <v>45846</v>
      </c>
      <c r="D7146" t="inlineStr">
        <is>
          <t>UPPSALA LÄN</t>
        </is>
      </c>
      <c r="E7146" t="inlineStr">
        <is>
          <t>ENKÖPING</t>
        </is>
      </c>
      <c r="G7146" t="n">
        <v>4</v>
      </c>
      <c r="H7146" t="n">
        <v>0</v>
      </c>
      <c r="I7146" t="n">
        <v>0</v>
      </c>
      <c r="J7146" t="n">
        <v>0</v>
      </c>
      <c r="K7146" t="n">
        <v>0</v>
      </c>
      <c r="L7146" t="n">
        <v>0</v>
      </c>
      <c r="M7146" t="n">
        <v>0</v>
      </c>
      <c r="N7146" t="n">
        <v>0</v>
      </c>
      <c r="O7146" t="n">
        <v>0</v>
      </c>
      <c r="P7146" t="n">
        <v>0</v>
      </c>
      <c r="Q7146" t="n">
        <v>0</v>
      </c>
      <c r="R7146" s="2" t="inlineStr"/>
    </row>
    <row r="7147" ht="15" customHeight="1">
      <c r="A7147" t="inlineStr">
        <is>
          <t>A 22786-2025</t>
        </is>
      </c>
      <c r="B7147" s="1" t="n">
        <v>45789</v>
      </c>
      <c r="C7147" s="1" t="n">
        <v>45846</v>
      </c>
      <c r="D7147" t="inlineStr">
        <is>
          <t>UPPSALA LÄN</t>
        </is>
      </c>
      <c r="E7147" t="inlineStr">
        <is>
          <t>ENKÖPING</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22795-2025</t>
        </is>
      </c>
      <c r="B7148" s="1" t="n">
        <v>45789</v>
      </c>
      <c r="C7148" s="1" t="n">
        <v>45846</v>
      </c>
      <c r="D7148" t="inlineStr">
        <is>
          <t>UPPSALA LÄN</t>
        </is>
      </c>
      <c r="E7148" t="inlineStr">
        <is>
          <t>ENKÖPING</t>
        </is>
      </c>
      <c r="G7148" t="n">
        <v>10.4</v>
      </c>
      <c r="H7148" t="n">
        <v>0</v>
      </c>
      <c r="I7148" t="n">
        <v>0</v>
      </c>
      <c r="J7148" t="n">
        <v>0</v>
      </c>
      <c r="K7148" t="n">
        <v>0</v>
      </c>
      <c r="L7148" t="n">
        <v>0</v>
      </c>
      <c r="M7148" t="n">
        <v>0</v>
      </c>
      <c r="N7148" t="n">
        <v>0</v>
      </c>
      <c r="O7148" t="n">
        <v>0</v>
      </c>
      <c r="P7148" t="n">
        <v>0</v>
      </c>
      <c r="Q7148" t="n">
        <v>0</v>
      </c>
      <c r="R7148" s="2" t="inlineStr"/>
    </row>
    <row r="7149" ht="15" customHeight="1">
      <c r="A7149" t="inlineStr">
        <is>
          <t>A 22770-2025</t>
        </is>
      </c>
      <c r="B7149" s="1" t="n">
        <v>45789</v>
      </c>
      <c r="C7149" s="1" t="n">
        <v>45846</v>
      </c>
      <c r="D7149" t="inlineStr">
        <is>
          <t>UPPSALA LÄN</t>
        </is>
      </c>
      <c r="E7149" t="inlineStr">
        <is>
          <t>ENKÖPING</t>
        </is>
      </c>
      <c r="G7149" t="n">
        <v>4.5</v>
      </c>
      <c r="H7149" t="n">
        <v>0</v>
      </c>
      <c r="I7149" t="n">
        <v>0</v>
      </c>
      <c r="J7149" t="n">
        <v>0</v>
      </c>
      <c r="K7149" t="n">
        <v>0</v>
      </c>
      <c r="L7149" t="n">
        <v>0</v>
      </c>
      <c r="M7149" t="n">
        <v>0</v>
      </c>
      <c r="N7149" t="n">
        <v>0</v>
      </c>
      <c r="O7149" t="n">
        <v>0</v>
      </c>
      <c r="P7149" t="n">
        <v>0</v>
      </c>
      <c r="Q7149" t="n">
        <v>0</v>
      </c>
      <c r="R7149" s="2" t="inlineStr"/>
    </row>
    <row r="7150" ht="15" customHeight="1">
      <c r="A7150" t="inlineStr">
        <is>
          <t>A 22793-2025</t>
        </is>
      </c>
      <c r="B7150" s="1" t="n">
        <v>45789</v>
      </c>
      <c r="C7150" s="1" t="n">
        <v>45846</v>
      </c>
      <c r="D7150" t="inlineStr">
        <is>
          <t>UPPSALA LÄN</t>
        </is>
      </c>
      <c r="E7150" t="inlineStr">
        <is>
          <t>ENKÖPING</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22769-2025</t>
        </is>
      </c>
      <c r="B7151" s="1" t="n">
        <v>45789</v>
      </c>
      <c r="C7151" s="1" t="n">
        <v>45846</v>
      </c>
      <c r="D7151" t="inlineStr">
        <is>
          <t>UPPSALA LÄN</t>
        </is>
      </c>
      <c r="E7151" t="inlineStr">
        <is>
          <t>TIERP</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22680-2025</t>
        </is>
      </c>
      <c r="B7152" s="1" t="n">
        <v>45789</v>
      </c>
      <c r="C7152" s="1" t="n">
        <v>45846</v>
      </c>
      <c r="D7152" t="inlineStr">
        <is>
          <t>UPPSALA LÄN</t>
        </is>
      </c>
      <c r="E7152" t="inlineStr">
        <is>
          <t>ENKÖPING</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22800-2025</t>
        </is>
      </c>
      <c r="B7153" s="1" t="n">
        <v>45789</v>
      </c>
      <c r="C7153" s="1" t="n">
        <v>45846</v>
      </c>
      <c r="D7153" t="inlineStr">
        <is>
          <t>UPPSALA LÄN</t>
        </is>
      </c>
      <c r="E7153" t="inlineStr">
        <is>
          <t>ENKÖPING</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22677-2025</t>
        </is>
      </c>
      <c r="B7154" s="1" t="n">
        <v>45789</v>
      </c>
      <c r="C7154" s="1" t="n">
        <v>45846</v>
      </c>
      <c r="D7154" t="inlineStr">
        <is>
          <t>UPPSALA LÄN</t>
        </is>
      </c>
      <c r="E7154" t="inlineStr">
        <is>
          <t>ENKÖPING</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22679-2025</t>
        </is>
      </c>
      <c r="B7155" s="1" t="n">
        <v>45789</v>
      </c>
      <c r="C7155" s="1" t="n">
        <v>45846</v>
      </c>
      <c r="D7155" t="inlineStr">
        <is>
          <t>UPPSALA LÄN</t>
        </is>
      </c>
      <c r="E7155" t="inlineStr">
        <is>
          <t>ENKÖPING</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22725-2025</t>
        </is>
      </c>
      <c r="B7156" s="1" t="n">
        <v>45789</v>
      </c>
      <c r="C7156" s="1" t="n">
        <v>45846</v>
      </c>
      <c r="D7156" t="inlineStr">
        <is>
          <t>UPPSALA LÄN</t>
        </is>
      </c>
      <c r="E7156" t="inlineStr">
        <is>
          <t>ENKÖPING</t>
        </is>
      </c>
      <c r="G7156" t="n">
        <v>4.8</v>
      </c>
      <c r="H7156" t="n">
        <v>0</v>
      </c>
      <c r="I7156" t="n">
        <v>0</v>
      </c>
      <c r="J7156" t="n">
        <v>0</v>
      </c>
      <c r="K7156" t="n">
        <v>0</v>
      </c>
      <c r="L7156" t="n">
        <v>0</v>
      </c>
      <c r="M7156" t="n">
        <v>0</v>
      </c>
      <c r="N7156" t="n">
        <v>0</v>
      </c>
      <c r="O7156" t="n">
        <v>0</v>
      </c>
      <c r="P7156" t="n">
        <v>0</v>
      </c>
      <c r="Q7156" t="n">
        <v>0</v>
      </c>
      <c r="R7156" s="2" t="inlineStr"/>
    </row>
    <row r="7157" ht="15" customHeight="1">
      <c r="A7157" t="inlineStr">
        <is>
          <t>A 22930-2025</t>
        </is>
      </c>
      <c r="B7157" s="1" t="n">
        <v>45790</v>
      </c>
      <c r="C7157" s="1" t="n">
        <v>45846</v>
      </c>
      <c r="D7157" t="inlineStr">
        <is>
          <t>UPPSALA LÄN</t>
        </is>
      </c>
      <c r="E7157" t="inlineStr">
        <is>
          <t>UPPSALA</t>
        </is>
      </c>
      <c r="G7157" t="n">
        <v>7.7</v>
      </c>
      <c r="H7157" t="n">
        <v>0</v>
      </c>
      <c r="I7157" t="n">
        <v>0</v>
      </c>
      <c r="J7157" t="n">
        <v>0</v>
      </c>
      <c r="K7157" t="n">
        <v>0</v>
      </c>
      <c r="L7157" t="n">
        <v>0</v>
      </c>
      <c r="M7157" t="n">
        <v>0</v>
      </c>
      <c r="N7157" t="n">
        <v>0</v>
      </c>
      <c r="O7157" t="n">
        <v>0</v>
      </c>
      <c r="P7157" t="n">
        <v>0</v>
      </c>
      <c r="Q7157" t="n">
        <v>0</v>
      </c>
      <c r="R7157" s="2" t="inlineStr"/>
    </row>
    <row r="7158" ht="15" customHeight="1">
      <c r="A7158" t="inlineStr">
        <is>
          <t>A 22953-2025</t>
        </is>
      </c>
      <c r="B7158" s="1" t="n">
        <v>45790</v>
      </c>
      <c r="C7158" s="1" t="n">
        <v>45846</v>
      </c>
      <c r="D7158" t="inlineStr">
        <is>
          <t>UPPSALA LÄN</t>
        </is>
      </c>
      <c r="E7158" t="inlineStr">
        <is>
          <t>UPPSALA</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22981-2025</t>
        </is>
      </c>
      <c r="B7159" s="1" t="n">
        <v>45790</v>
      </c>
      <c r="C7159" s="1" t="n">
        <v>45846</v>
      </c>
      <c r="D7159" t="inlineStr">
        <is>
          <t>UPPSALA LÄN</t>
        </is>
      </c>
      <c r="E7159" t="inlineStr">
        <is>
          <t>ENKÖPING</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23020-2025</t>
        </is>
      </c>
      <c r="B7160" s="1" t="n">
        <v>45790</v>
      </c>
      <c r="C7160" s="1" t="n">
        <v>45846</v>
      </c>
      <c r="D7160" t="inlineStr">
        <is>
          <t>UPPSALA LÄN</t>
        </is>
      </c>
      <c r="E7160" t="inlineStr">
        <is>
          <t>ENKÖPING</t>
        </is>
      </c>
      <c r="G7160" t="n">
        <v>5.2</v>
      </c>
      <c r="H7160" t="n">
        <v>0</v>
      </c>
      <c r="I7160" t="n">
        <v>0</v>
      </c>
      <c r="J7160" t="n">
        <v>0</v>
      </c>
      <c r="K7160" t="n">
        <v>0</v>
      </c>
      <c r="L7160" t="n">
        <v>0</v>
      </c>
      <c r="M7160" t="n">
        <v>0</v>
      </c>
      <c r="N7160" t="n">
        <v>0</v>
      </c>
      <c r="O7160" t="n">
        <v>0</v>
      </c>
      <c r="P7160" t="n">
        <v>0</v>
      </c>
      <c r="Q7160" t="n">
        <v>0</v>
      </c>
      <c r="R7160" s="2" t="inlineStr"/>
    </row>
    <row r="7161" ht="15" customHeight="1">
      <c r="A7161" t="inlineStr">
        <is>
          <t>A 22951-2025</t>
        </is>
      </c>
      <c r="B7161" s="1" t="n">
        <v>45790</v>
      </c>
      <c r="C7161" s="1" t="n">
        <v>45846</v>
      </c>
      <c r="D7161" t="inlineStr">
        <is>
          <t>UPPSALA LÄN</t>
        </is>
      </c>
      <c r="E7161" t="inlineStr">
        <is>
          <t>UPPSALA</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23305-2025</t>
        </is>
      </c>
      <c r="B7162" s="1" t="n">
        <v>45791</v>
      </c>
      <c r="C7162" s="1" t="n">
        <v>45846</v>
      </c>
      <c r="D7162" t="inlineStr">
        <is>
          <t>UPPSALA LÄN</t>
        </is>
      </c>
      <c r="E7162" t="inlineStr">
        <is>
          <t>ÖSTHAMMAR</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23312-2025</t>
        </is>
      </c>
      <c r="B7163" s="1" t="n">
        <v>45791</v>
      </c>
      <c r="C7163" s="1" t="n">
        <v>45846</v>
      </c>
      <c r="D7163" t="inlineStr">
        <is>
          <t>UPPSALA LÄN</t>
        </is>
      </c>
      <c r="E7163" t="inlineStr">
        <is>
          <t>TIERP</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23201-2025</t>
        </is>
      </c>
      <c r="B7164" s="1" t="n">
        <v>45791</v>
      </c>
      <c r="C7164" s="1" t="n">
        <v>45846</v>
      </c>
      <c r="D7164" t="inlineStr">
        <is>
          <t>UPPSALA LÄN</t>
        </is>
      </c>
      <c r="E7164" t="inlineStr">
        <is>
          <t>TIERP</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23198-2025</t>
        </is>
      </c>
      <c r="B7165" s="1" t="n">
        <v>45791</v>
      </c>
      <c r="C7165" s="1" t="n">
        <v>45846</v>
      </c>
      <c r="D7165" t="inlineStr">
        <is>
          <t>UPPSALA LÄN</t>
        </is>
      </c>
      <c r="E7165" t="inlineStr">
        <is>
          <t>TIERP</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23204-2025</t>
        </is>
      </c>
      <c r="B7166" s="1" t="n">
        <v>45791</v>
      </c>
      <c r="C7166" s="1" t="n">
        <v>45846</v>
      </c>
      <c r="D7166" t="inlineStr">
        <is>
          <t>UPPSALA LÄN</t>
        </is>
      </c>
      <c r="E7166" t="inlineStr">
        <is>
          <t>TIERP</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23370-2025</t>
        </is>
      </c>
      <c r="B7167" s="1" t="n">
        <v>45791</v>
      </c>
      <c r="C7167" s="1" t="n">
        <v>45846</v>
      </c>
      <c r="D7167" t="inlineStr">
        <is>
          <t>UPPSALA LÄN</t>
        </is>
      </c>
      <c r="E7167" t="inlineStr">
        <is>
          <t>HÅBO</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23468-2025</t>
        </is>
      </c>
      <c r="B7168" s="1" t="n">
        <v>45792</v>
      </c>
      <c r="C7168" s="1" t="n">
        <v>45846</v>
      </c>
      <c r="D7168" t="inlineStr">
        <is>
          <t>UPPSALA LÄN</t>
        </is>
      </c>
      <c r="E7168" t="inlineStr">
        <is>
          <t>TIERP</t>
        </is>
      </c>
      <c r="F7168" t="inlineStr">
        <is>
          <t>Bergvik skog väst AB</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23796-2025</t>
        </is>
      </c>
      <c r="B7169" s="1" t="n">
        <v>45793</v>
      </c>
      <c r="C7169" s="1" t="n">
        <v>45846</v>
      </c>
      <c r="D7169" t="inlineStr">
        <is>
          <t>UPPSALA LÄN</t>
        </is>
      </c>
      <c r="E7169" t="inlineStr">
        <is>
          <t>TIERP</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23890-2025</t>
        </is>
      </c>
      <c r="B7170" s="1" t="n">
        <v>45793</v>
      </c>
      <c r="C7170" s="1" t="n">
        <v>45846</v>
      </c>
      <c r="D7170" t="inlineStr">
        <is>
          <t>UPPSALA LÄN</t>
        </is>
      </c>
      <c r="E7170" t="inlineStr">
        <is>
          <t>HEBY</t>
        </is>
      </c>
      <c r="F7170" t="inlineStr">
        <is>
          <t>Bergvik skog väst AB</t>
        </is>
      </c>
      <c r="G7170" t="n">
        <v>35.2</v>
      </c>
      <c r="H7170" t="n">
        <v>0</v>
      </c>
      <c r="I7170" t="n">
        <v>0</v>
      </c>
      <c r="J7170" t="n">
        <v>0</v>
      </c>
      <c r="K7170" t="n">
        <v>0</v>
      </c>
      <c r="L7170" t="n">
        <v>0</v>
      </c>
      <c r="M7170" t="n">
        <v>0</v>
      </c>
      <c r="N7170" t="n">
        <v>0</v>
      </c>
      <c r="O7170" t="n">
        <v>0</v>
      </c>
      <c r="P7170" t="n">
        <v>0</v>
      </c>
      <c r="Q7170" t="n">
        <v>0</v>
      </c>
      <c r="R7170" s="2" t="inlineStr"/>
    </row>
    <row r="7171" ht="15" customHeight="1">
      <c r="A7171" t="inlineStr">
        <is>
          <t>A 23728-2025</t>
        </is>
      </c>
      <c r="B7171" s="1" t="n">
        <v>45793</v>
      </c>
      <c r="C7171" s="1" t="n">
        <v>45846</v>
      </c>
      <c r="D7171" t="inlineStr">
        <is>
          <t>UPPSALA LÄN</t>
        </is>
      </c>
      <c r="E7171" t="inlineStr">
        <is>
          <t>ÖSTHAMMAR</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24174-2025</t>
        </is>
      </c>
      <c r="B7172" s="1" t="n">
        <v>45796</v>
      </c>
      <c r="C7172" s="1" t="n">
        <v>45846</v>
      </c>
      <c r="D7172" t="inlineStr">
        <is>
          <t>UPPSALA LÄN</t>
        </is>
      </c>
      <c r="E7172" t="inlineStr">
        <is>
          <t>ÖSTHAMMAR</t>
        </is>
      </c>
      <c r="G7172" t="n">
        <v>4.9</v>
      </c>
      <c r="H7172" t="n">
        <v>0</v>
      </c>
      <c r="I7172" t="n">
        <v>0</v>
      </c>
      <c r="J7172" t="n">
        <v>0</v>
      </c>
      <c r="K7172" t="n">
        <v>0</v>
      </c>
      <c r="L7172" t="n">
        <v>0</v>
      </c>
      <c r="M7172" t="n">
        <v>0</v>
      </c>
      <c r="N7172" t="n">
        <v>0</v>
      </c>
      <c r="O7172" t="n">
        <v>0</v>
      </c>
      <c r="P7172" t="n">
        <v>0</v>
      </c>
      <c r="Q7172" t="n">
        <v>0</v>
      </c>
      <c r="R7172" s="2" t="inlineStr"/>
    </row>
    <row r="7173" ht="15" customHeight="1">
      <c r="A7173" t="inlineStr">
        <is>
          <t>A 23968-2025</t>
        </is>
      </c>
      <c r="B7173" s="1" t="n">
        <v>45796</v>
      </c>
      <c r="C7173" s="1" t="n">
        <v>45846</v>
      </c>
      <c r="D7173" t="inlineStr">
        <is>
          <t>UPPSALA LÄN</t>
        </is>
      </c>
      <c r="E7173" t="inlineStr">
        <is>
          <t>ÖSTHAMMAR</t>
        </is>
      </c>
      <c r="F7173" t="inlineStr">
        <is>
          <t>Bergvik skog öst AB</t>
        </is>
      </c>
      <c r="G7173" t="n">
        <v>7.5</v>
      </c>
      <c r="H7173" t="n">
        <v>0</v>
      </c>
      <c r="I7173" t="n">
        <v>0</v>
      </c>
      <c r="J7173" t="n">
        <v>0</v>
      </c>
      <c r="K7173" t="n">
        <v>0</v>
      </c>
      <c r="L7173" t="n">
        <v>0</v>
      </c>
      <c r="M7173" t="n">
        <v>0</v>
      </c>
      <c r="N7173" t="n">
        <v>0</v>
      </c>
      <c r="O7173" t="n">
        <v>0</v>
      </c>
      <c r="P7173" t="n">
        <v>0</v>
      </c>
      <c r="Q7173" t="n">
        <v>0</v>
      </c>
      <c r="R7173" s="2" t="inlineStr"/>
    </row>
    <row r="7174" ht="15" customHeight="1">
      <c r="A7174" t="inlineStr">
        <is>
          <t>A 24150-2025</t>
        </is>
      </c>
      <c r="B7174" s="1" t="n">
        <v>45796</v>
      </c>
      <c r="C7174" s="1" t="n">
        <v>45846</v>
      </c>
      <c r="D7174" t="inlineStr">
        <is>
          <t>UPPSALA LÄN</t>
        </is>
      </c>
      <c r="E7174" t="inlineStr">
        <is>
          <t>TIERP</t>
        </is>
      </c>
      <c r="F7174" t="inlineStr">
        <is>
          <t>Bergvik skog öst AB</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24160-2025</t>
        </is>
      </c>
      <c r="B7175" s="1" t="n">
        <v>45796</v>
      </c>
      <c r="C7175" s="1" t="n">
        <v>45846</v>
      </c>
      <c r="D7175" t="inlineStr">
        <is>
          <t>UPPSALA LÄN</t>
        </is>
      </c>
      <c r="E7175" t="inlineStr">
        <is>
          <t>TIERP</t>
        </is>
      </c>
      <c r="F7175" t="inlineStr">
        <is>
          <t>Bergvik skog öst AB</t>
        </is>
      </c>
      <c r="G7175" t="n">
        <v>6.4</v>
      </c>
      <c r="H7175" t="n">
        <v>0</v>
      </c>
      <c r="I7175" t="n">
        <v>0</v>
      </c>
      <c r="J7175" t="n">
        <v>0</v>
      </c>
      <c r="K7175" t="n">
        <v>0</v>
      </c>
      <c r="L7175" t="n">
        <v>0</v>
      </c>
      <c r="M7175" t="n">
        <v>0</v>
      </c>
      <c r="N7175" t="n">
        <v>0</v>
      </c>
      <c r="O7175" t="n">
        <v>0</v>
      </c>
      <c r="P7175" t="n">
        <v>0</v>
      </c>
      <c r="Q7175" t="n">
        <v>0</v>
      </c>
      <c r="R7175" s="2" t="inlineStr"/>
    </row>
    <row r="7176" ht="15" customHeight="1">
      <c r="A7176" t="inlineStr">
        <is>
          <t>A 24124-2025</t>
        </is>
      </c>
      <c r="B7176" s="1" t="n">
        <v>45796</v>
      </c>
      <c r="C7176" s="1" t="n">
        <v>45846</v>
      </c>
      <c r="D7176" t="inlineStr">
        <is>
          <t>UPPSALA LÄN</t>
        </is>
      </c>
      <c r="E7176" t="inlineStr">
        <is>
          <t>TIERP</t>
        </is>
      </c>
      <c r="F7176" t="inlineStr">
        <is>
          <t>Bergvik skog öst AB</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24284-2025</t>
        </is>
      </c>
      <c r="B7177" s="1" t="n">
        <v>45797</v>
      </c>
      <c r="C7177" s="1" t="n">
        <v>45846</v>
      </c>
      <c r="D7177" t="inlineStr">
        <is>
          <t>UPPSALA LÄN</t>
        </is>
      </c>
      <c r="E7177" t="inlineStr">
        <is>
          <t>UPPSALA</t>
        </is>
      </c>
      <c r="F7177" t="inlineStr">
        <is>
          <t>Holmen skog AB</t>
        </is>
      </c>
      <c r="G7177" t="n">
        <v>12.7</v>
      </c>
      <c r="H7177" t="n">
        <v>0</v>
      </c>
      <c r="I7177" t="n">
        <v>0</v>
      </c>
      <c r="J7177" t="n">
        <v>0</v>
      </c>
      <c r="K7177" t="n">
        <v>0</v>
      </c>
      <c r="L7177" t="n">
        <v>0</v>
      </c>
      <c r="M7177" t="n">
        <v>0</v>
      </c>
      <c r="N7177" t="n">
        <v>0</v>
      </c>
      <c r="O7177" t="n">
        <v>0</v>
      </c>
      <c r="P7177" t="n">
        <v>0</v>
      </c>
      <c r="Q7177" t="n">
        <v>0</v>
      </c>
      <c r="R7177" s="2" t="inlineStr"/>
    </row>
    <row r="7178" ht="15" customHeight="1">
      <c r="A7178" t="inlineStr">
        <is>
          <t>A 24389-2025</t>
        </is>
      </c>
      <c r="B7178" s="1" t="n">
        <v>45797</v>
      </c>
      <c r="C7178" s="1" t="n">
        <v>45846</v>
      </c>
      <c r="D7178" t="inlineStr">
        <is>
          <t>UPPSALA LÄN</t>
        </is>
      </c>
      <c r="E7178" t="inlineStr">
        <is>
          <t>ÖSTHAMMAR</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24415-2025</t>
        </is>
      </c>
      <c r="B7179" s="1" t="n">
        <v>45797</v>
      </c>
      <c r="C7179" s="1" t="n">
        <v>45846</v>
      </c>
      <c r="D7179" t="inlineStr">
        <is>
          <t>UPPSALA LÄN</t>
        </is>
      </c>
      <c r="E7179" t="inlineStr">
        <is>
          <t>ÖSTHAMMAR</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24408-2025</t>
        </is>
      </c>
      <c r="B7180" s="1" t="n">
        <v>45797</v>
      </c>
      <c r="C7180" s="1" t="n">
        <v>45846</v>
      </c>
      <c r="D7180" t="inlineStr">
        <is>
          <t>UPPSALA LÄN</t>
        </is>
      </c>
      <c r="E7180" t="inlineStr">
        <is>
          <t>ÖSTHAMMAR</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24268-2025</t>
        </is>
      </c>
      <c r="B7181" s="1" t="n">
        <v>45797</v>
      </c>
      <c r="C7181" s="1" t="n">
        <v>45846</v>
      </c>
      <c r="D7181" t="inlineStr">
        <is>
          <t>UPPSALA LÄN</t>
        </is>
      </c>
      <c r="E7181" t="inlineStr">
        <is>
          <t>UPPSALA</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24381-2025</t>
        </is>
      </c>
      <c r="B7182" s="1" t="n">
        <v>45797</v>
      </c>
      <c r="C7182" s="1" t="n">
        <v>45846</v>
      </c>
      <c r="D7182" t="inlineStr">
        <is>
          <t>UPPSALA LÄN</t>
        </is>
      </c>
      <c r="E7182" t="inlineStr">
        <is>
          <t>HEBY</t>
        </is>
      </c>
      <c r="F7182" t="inlineStr">
        <is>
          <t>Kyrkan</t>
        </is>
      </c>
      <c r="G7182" t="n">
        <v>10.6</v>
      </c>
      <c r="H7182" t="n">
        <v>0</v>
      </c>
      <c r="I7182" t="n">
        <v>0</v>
      </c>
      <c r="J7182" t="n">
        <v>0</v>
      </c>
      <c r="K7182" t="n">
        <v>0</v>
      </c>
      <c r="L7182" t="n">
        <v>0</v>
      </c>
      <c r="M7182" t="n">
        <v>0</v>
      </c>
      <c r="N7182" t="n">
        <v>0</v>
      </c>
      <c r="O7182" t="n">
        <v>0</v>
      </c>
      <c r="P7182" t="n">
        <v>0</v>
      </c>
      <c r="Q7182" t="n">
        <v>0</v>
      </c>
      <c r="R7182" s="2" t="inlineStr"/>
    </row>
    <row r="7183" ht="15" customHeight="1">
      <c r="A7183" t="inlineStr">
        <is>
          <t>A 24401-2025</t>
        </is>
      </c>
      <c r="B7183" s="1" t="n">
        <v>45797</v>
      </c>
      <c r="C7183" s="1" t="n">
        <v>45846</v>
      </c>
      <c r="D7183" t="inlineStr">
        <is>
          <t>UPPSALA LÄN</t>
        </is>
      </c>
      <c r="E7183" t="inlineStr">
        <is>
          <t>ÖSTHAMMAR</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24412-2025</t>
        </is>
      </c>
      <c r="B7184" s="1" t="n">
        <v>45797</v>
      </c>
      <c r="C7184" s="1" t="n">
        <v>45846</v>
      </c>
      <c r="D7184" t="inlineStr">
        <is>
          <t>UPPSALA LÄN</t>
        </is>
      </c>
      <c r="E7184" t="inlineStr">
        <is>
          <t>ÖSTHAMMAR</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24591-2025</t>
        </is>
      </c>
      <c r="B7185" s="1" t="n">
        <v>45798</v>
      </c>
      <c r="C7185" s="1" t="n">
        <v>45846</v>
      </c>
      <c r="D7185" t="inlineStr">
        <is>
          <t>UPPSALA LÄN</t>
        </is>
      </c>
      <c r="E7185" t="inlineStr">
        <is>
          <t>ÄLVKARLEBY</t>
        </is>
      </c>
      <c r="F7185" t="inlineStr">
        <is>
          <t>Bergvik skog väst AB</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24521-2025</t>
        </is>
      </c>
      <c r="B7186" s="1" t="n">
        <v>45798</v>
      </c>
      <c r="C7186" s="1" t="n">
        <v>45846</v>
      </c>
      <c r="D7186" t="inlineStr">
        <is>
          <t>UPPSALA LÄN</t>
        </is>
      </c>
      <c r="E7186" t="inlineStr">
        <is>
          <t>UPPSALA</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24593-2025</t>
        </is>
      </c>
      <c r="B7187" s="1" t="n">
        <v>45798</v>
      </c>
      <c r="C7187" s="1" t="n">
        <v>45846</v>
      </c>
      <c r="D7187" t="inlineStr">
        <is>
          <t>UPPSALA LÄN</t>
        </is>
      </c>
      <c r="E7187" t="inlineStr">
        <is>
          <t>ÄLVKARLEBY</t>
        </is>
      </c>
      <c r="F7187" t="inlineStr">
        <is>
          <t>Bergvik skog väst AB</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24525-2025</t>
        </is>
      </c>
      <c r="B7188" s="1" t="n">
        <v>45798</v>
      </c>
      <c r="C7188" s="1" t="n">
        <v>45846</v>
      </c>
      <c r="D7188" t="inlineStr">
        <is>
          <t>UPPSALA LÄN</t>
        </is>
      </c>
      <c r="E7188" t="inlineStr">
        <is>
          <t>UPPSALA</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24592-2025</t>
        </is>
      </c>
      <c r="B7189" s="1" t="n">
        <v>45798</v>
      </c>
      <c r="C7189" s="1" t="n">
        <v>45846</v>
      </c>
      <c r="D7189" t="inlineStr">
        <is>
          <t>UPPSALA LÄN</t>
        </is>
      </c>
      <c r="E7189" t="inlineStr">
        <is>
          <t>ÄLVKARLEBY</t>
        </is>
      </c>
      <c r="F7189" t="inlineStr">
        <is>
          <t>Bergvik skog väst AB</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24912-2025</t>
        </is>
      </c>
      <c r="B7190" s="1" t="n">
        <v>45799</v>
      </c>
      <c r="C7190" s="1" t="n">
        <v>45846</v>
      </c>
      <c r="D7190" t="inlineStr">
        <is>
          <t>UPPSALA LÄN</t>
        </is>
      </c>
      <c r="E7190" t="inlineStr">
        <is>
          <t>UPPSALA</t>
        </is>
      </c>
      <c r="F7190" t="inlineStr">
        <is>
          <t>Sveaskog</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24799-2025</t>
        </is>
      </c>
      <c r="B7191" s="1" t="n">
        <v>45799</v>
      </c>
      <c r="C7191" s="1" t="n">
        <v>45846</v>
      </c>
      <c r="D7191" t="inlineStr">
        <is>
          <t>UPPSALA LÄN</t>
        </is>
      </c>
      <c r="E7191" t="inlineStr">
        <is>
          <t>TIERP</t>
        </is>
      </c>
      <c r="F7191" t="inlineStr">
        <is>
          <t>Bergvik skog öst AB</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25030-2025</t>
        </is>
      </c>
      <c r="B7192" s="1" t="n">
        <v>45799</v>
      </c>
      <c r="C7192" s="1" t="n">
        <v>45846</v>
      </c>
      <c r="D7192" t="inlineStr">
        <is>
          <t>UPPSALA LÄN</t>
        </is>
      </c>
      <c r="E7192" t="inlineStr">
        <is>
          <t>UPPSALA</t>
        </is>
      </c>
      <c r="F7192" t="inlineStr">
        <is>
          <t>Sveaskog</t>
        </is>
      </c>
      <c r="G7192" t="n">
        <v>6</v>
      </c>
      <c r="H7192" t="n">
        <v>0</v>
      </c>
      <c r="I7192" t="n">
        <v>0</v>
      </c>
      <c r="J7192" t="n">
        <v>0</v>
      </c>
      <c r="K7192" t="n">
        <v>0</v>
      </c>
      <c r="L7192" t="n">
        <v>0</v>
      </c>
      <c r="M7192" t="n">
        <v>0</v>
      </c>
      <c r="N7192" t="n">
        <v>0</v>
      </c>
      <c r="O7192" t="n">
        <v>0</v>
      </c>
      <c r="P7192" t="n">
        <v>0</v>
      </c>
      <c r="Q7192" t="n">
        <v>0</v>
      </c>
      <c r="R7192" s="2" t="inlineStr"/>
    </row>
    <row r="7193" ht="15" customHeight="1">
      <c r="A7193" t="inlineStr">
        <is>
          <t>A 24913-2025</t>
        </is>
      </c>
      <c r="B7193" s="1" t="n">
        <v>45799</v>
      </c>
      <c r="C7193" s="1" t="n">
        <v>45846</v>
      </c>
      <c r="D7193" t="inlineStr">
        <is>
          <t>UPPSALA LÄN</t>
        </is>
      </c>
      <c r="E7193" t="inlineStr">
        <is>
          <t>UPPSALA</t>
        </is>
      </c>
      <c r="F7193" t="inlineStr">
        <is>
          <t>Sveaskog</t>
        </is>
      </c>
      <c r="G7193" t="n">
        <v>4.9</v>
      </c>
      <c r="H7193" t="n">
        <v>0</v>
      </c>
      <c r="I7193" t="n">
        <v>0</v>
      </c>
      <c r="J7193" t="n">
        <v>0</v>
      </c>
      <c r="K7193" t="n">
        <v>0</v>
      </c>
      <c r="L7193" t="n">
        <v>0</v>
      </c>
      <c r="M7193" t="n">
        <v>0</v>
      </c>
      <c r="N7193" t="n">
        <v>0</v>
      </c>
      <c r="O7193" t="n">
        <v>0</v>
      </c>
      <c r="P7193" t="n">
        <v>0</v>
      </c>
      <c r="Q7193" t="n">
        <v>0</v>
      </c>
      <c r="R7193" s="2" t="inlineStr"/>
    </row>
    <row r="7194" ht="15" customHeight="1">
      <c r="A7194" t="inlineStr">
        <is>
          <t>A 24944-2025</t>
        </is>
      </c>
      <c r="B7194" s="1" t="n">
        <v>45799</v>
      </c>
      <c r="C7194" s="1" t="n">
        <v>45846</v>
      </c>
      <c r="D7194" t="inlineStr">
        <is>
          <t>UPPSALA LÄN</t>
        </is>
      </c>
      <c r="E7194" t="inlineStr">
        <is>
          <t>ÖSTHAMMAR</t>
        </is>
      </c>
      <c r="G7194" t="n">
        <v>7.3</v>
      </c>
      <c r="H7194" t="n">
        <v>0</v>
      </c>
      <c r="I7194" t="n">
        <v>0</v>
      </c>
      <c r="J7194" t="n">
        <v>0</v>
      </c>
      <c r="K7194" t="n">
        <v>0</v>
      </c>
      <c r="L7194" t="n">
        <v>0</v>
      </c>
      <c r="M7194" t="n">
        <v>0</v>
      </c>
      <c r="N7194" t="n">
        <v>0</v>
      </c>
      <c r="O7194" t="n">
        <v>0</v>
      </c>
      <c r="P7194" t="n">
        <v>0</v>
      </c>
      <c r="Q7194" t="n">
        <v>0</v>
      </c>
      <c r="R7194" s="2" t="inlineStr"/>
    </row>
    <row r="7195" ht="15" customHeight="1">
      <c r="A7195" t="inlineStr">
        <is>
          <t>A 25056-2025</t>
        </is>
      </c>
      <c r="B7195" s="1" t="n">
        <v>45799</v>
      </c>
      <c r="C7195" s="1" t="n">
        <v>45846</v>
      </c>
      <c r="D7195" t="inlineStr">
        <is>
          <t>UPPSALA LÄN</t>
        </is>
      </c>
      <c r="E7195" t="inlineStr">
        <is>
          <t>UPPSALA</t>
        </is>
      </c>
      <c r="F7195" t="inlineStr">
        <is>
          <t>Bergvik skog öst AB</t>
        </is>
      </c>
      <c r="G7195" t="n">
        <v>20.9</v>
      </c>
      <c r="H7195" t="n">
        <v>0</v>
      </c>
      <c r="I7195" t="n">
        <v>0</v>
      </c>
      <c r="J7195" t="n">
        <v>0</v>
      </c>
      <c r="K7195" t="n">
        <v>0</v>
      </c>
      <c r="L7195" t="n">
        <v>0</v>
      </c>
      <c r="M7195" t="n">
        <v>0</v>
      </c>
      <c r="N7195" t="n">
        <v>0</v>
      </c>
      <c r="O7195" t="n">
        <v>0</v>
      </c>
      <c r="P7195" t="n">
        <v>0</v>
      </c>
      <c r="Q7195" t="n">
        <v>0</v>
      </c>
      <c r="R7195" s="2" t="inlineStr"/>
    </row>
    <row r="7196" ht="15" customHeight="1">
      <c r="A7196" t="inlineStr">
        <is>
          <t>A 25025-2025</t>
        </is>
      </c>
      <c r="B7196" s="1" t="n">
        <v>45799</v>
      </c>
      <c r="C7196" s="1" t="n">
        <v>45846</v>
      </c>
      <c r="D7196" t="inlineStr">
        <is>
          <t>UPPSALA LÄN</t>
        </is>
      </c>
      <c r="E7196" t="inlineStr">
        <is>
          <t>UPPSALA</t>
        </is>
      </c>
      <c r="F7196" t="inlineStr">
        <is>
          <t>Sveaskog</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25026-2025</t>
        </is>
      </c>
      <c r="B7197" s="1" t="n">
        <v>45799</v>
      </c>
      <c r="C7197" s="1" t="n">
        <v>45846</v>
      </c>
      <c r="D7197" t="inlineStr">
        <is>
          <t>UPPSALA LÄN</t>
        </is>
      </c>
      <c r="E7197" t="inlineStr">
        <is>
          <t>UPPSALA</t>
        </is>
      </c>
      <c r="F7197" t="inlineStr">
        <is>
          <t>Sveaskog</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24807-2025</t>
        </is>
      </c>
      <c r="B7198" s="1" t="n">
        <v>45799</v>
      </c>
      <c r="C7198" s="1" t="n">
        <v>45846</v>
      </c>
      <c r="D7198" t="inlineStr">
        <is>
          <t>UPPSALA LÄN</t>
        </is>
      </c>
      <c r="E7198" t="inlineStr">
        <is>
          <t>TIERP</t>
        </is>
      </c>
      <c r="F7198" t="inlineStr">
        <is>
          <t>Bergvik skog öst AB</t>
        </is>
      </c>
      <c r="G7198" t="n">
        <v>0.3</v>
      </c>
      <c r="H7198" t="n">
        <v>0</v>
      </c>
      <c r="I7198" t="n">
        <v>0</v>
      </c>
      <c r="J7198" t="n">
        <v>0</v>
      </c>
      <c r="K7198" t="n">
        <v>0</v>
      </c>
      <c r="L7198" t="n">
        <v>0</v>
      </c>
      <c r="M7198" t="n">
        <v>0</v>
      </c>
      <c r="N7198" t="n">
        <v>0</v>
      </c>
      <c r="O7198" t="n">
        <v>0</v>
      </c>
      <c r="P7198" t="n">
        <v>0</v>
      </c>
      <c r="Q7198" t="n">
        <v>0</v>
      </c>
      <c r="R7198" s="2" t="inlineStr"/>
    </row>
    <row r="7199" ht="15" customHeight="1">
      <c r="A7199" t="inlineStr">
        <is>
          <t>A 24909-2025</t>
        </is>
      </c>
      <c r="B7199" s="1" t="n">
        <v>45799</v>
      </c>
      <c r="C7199" s="1" t="n">
        <v>45846</v>
      </c>
      <c r="D7199" t="inlineStr">
        <is>
          <t>UPPSALA LÄN</t>
        </is>
      </c>
      <c r="E7199" t="inlineStr">
        <is>
          <t>UPPSALA</t>
        </is>
      </c>
      <c r="F7199" t="inlineStr">
        <is>
          <t>Sveaskog</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24916-2025</t>
        </is>
      </c>
      <c r="B7200" s="1" t="n">
        <v>45799</v>
      </c>
      <c r="C7200" s="1" t="n">
        <v>45846</v>
      </c>
      <c r="D7200" t="inlineStr">
        <is>
          <t>UPPSALA LÄN</t>
        </is>
      </c>
      <c r="E7200" t="inlineStr">
        <is>
          <t>UPPSALA</t>
        </is>
      </c>
      <c r="F7200" t="inlineStr">
        <is>
          <t>Sveaskog</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24837-2025</t>
        </is>
      </c>
      <c r="B7201" s="1" t="n">
        <v>45799</v>
      </c>
      <c r="C7201" s="1" t="n">
        <v>45846</v>
      </c>
      <c r="D7201" t="inlineStr">
        <is>
          <t>UPPSALA LÄN</t>
        </is>
      </c>
      <c r="E7201" t="inlineStr">
        <is>
          <t>TIERP</t>
        </is>
      </c>
      <c r="F7201" t="inlineStr">
        <is>
          <t>Bergvik skog öst AB</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25052-2025</t>
        </is>
      </c>
      <c r="B7202" s="1" t="n">
        <v>45799</v>
      </c>
      <c r="C7202" s="1" t="n">
        <v>45846</v>
      </c>
      <c r="D7202" t="inlineStr">
        <is>
          <t>UPPSALA LÄN</t>
        </is>
      </c>
      <c r="E7202" t="inlineStr">
        <is>
          <t>UPPSALA</t>
        </is>
      </c>
      <c r="F7202" t="inlineStr">
        <is>
          <t>Bergvik skog öst AB</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24794-2025</t>
        </is>
      </c>
      <c r="B7203" s="1" t="n">
        <v>45799</v>
      </c>
      <c r="C7203" s="1" t="n">
        <v>45846</v>
      </c>
      <c r="D7203" t="inlineStr">
        <is>
          <t>UPPSALA LÄN</t>
        </is>
      </c>
      <c r="E7203" t="inlineStr">
        <is>
          <t>UPPSALA</t>
        </is>
      </c>
      <c r="F7203" t="inlineStr">
        <is>
          <t>BillerudKorsnäs AB</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24915-2025</t>
        </is>
      </c>
      <c r="B7204" s="1" t="n">
        <v>45799</v>
      </c>
      <c r="C7204" s="1" t="n">
        <v>45846</v>
      </c>
      <c r="D7204" t="inlineStr">
        <is>
          <t>UPPSALA LÄN</t>
        </is>
      </c>
      <c r="E7204" t="inlineStr">
        <is>
          <t>UPPSALA</t>
        </is>
      </c>
      <c r="F7204" t="inlineStr">
        <is>
          <t>Sveaskog</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24961-2025</t>
        </is>
      </c>
      <c r="B7205" s="1" t="n">
        <v>45799</v>
      </c>
      <c r="C7205" s="1" t="n">
        <v>45846</v>
      </c>
      <c r="D7205" t="inlineStr">
        <is>
          <t>UPPSALA LÄN</t>
        </is>
      </c>
      <c r="E7205" t="inlineStr">
        <is>
          <t>UPPSALA</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25049-2025</t>
        </is>
      </c>
      <c r="B7206" s="1" t="n">
        <v>45799</v>
      </c>
      <c r="C7206" s="1" t="n">
        <v>45846</v>
      </c>
      <c r="D7206" t="inlineStr">
        <is>
          <t>UPPSALA LÄN</t>
        </is>
      </c>
      <c r="E7206" t="inlineStr">
        <is>
          <t>ÖSTHAMMAR</t>
        </is>
      </c>
      <c r="F7206" t="inlineStr">
        <is>
          <t>Bergvik skog öst AB</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25055-2025</t>
        </is>
      </c>
      <c r="B7207" s="1" t="n">
        <v>45799</v>
      </c>
      <c r="C7207" s="1" t="n">
        <v>45846</v>
      </c>
      <c r="D7207" t="inlineStr">
        <is>
          <t>UPPSALA LÄN</t>
        </is>
      </c>
      <c r="E7207" t="inlineStr">
        <is>
          <t>UPPSALA</t>
        </is>
      </c>
      <c r="F7207" t="inlineStr">
        <is>
          <t>Bergvik skog öst AB</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24841-2025</t>
        </is>
      </c>
      <c r="B7208" s="1" t="n">
        <v>45799</v>
      </c>
      <c r="C7208" s="1" t="n">
        <v>45846</v>
      </c>
      <c r="D7208" t="inlineStr">
        <is>
          <t>UPPSALA LÄN</t>
        </is>
      </c>
      <c r="E7208" t="inlineStr">
        <is>
          <t>TIERP</t>
        </is>
      </c>
      <c r="F7208" t="inlineStr">
        <is>
          <t>Bergvik skog öst AB</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24975-2025</t>
        </is>
      </c>
      <c r="B7209" s="1" t="n">
        <v>45799</v>
      </c>
      <c r="C7209" s="1" t="n">
        <v>45846</v>
      </c>
      <c r="D7209" t="inlineStr">
        <is>
          <t>UPPSALA LÄN</t>
        </is>
      </c>
      <c r="E7209" t="inlineStr">
        <is>
          <t>TIERP</t>
        </is>
      </c>
      <c r="G7209" t="n">
        <v>5.7</v>
      </c>
      <c r="H7209" t="n">
        <v>0</v>
      </c>
      <c r="I7209" t="n">
        <v>0</v>
      </c>
      <c r="J7209" t="n">
        <v>0</v>
      </c>
      <c r="K7209" t="n">
        <v>0</v>
      </c>
      <c r="L7209" t="n">
        <v>0</v>
      </c>
      <c r="M7209" t="n">
        <v>0</v>
      </c>
      <c r="N7209" t="n">
        <v>0</v>
      </c>
      <c r="O7209" t="n">
        <v>0</v>
      </c>
      <c r="P7209" t="n">
        <v>0</v>
      </c>
      <c r="Q7209" t="n">
        <v>0</v>
      </c>
      <c r="R7209" s="2" t="inlineStr"/>
    </row>
    <row r="7210" ht="15" customHeight="1">
      <c r="A7210" t="inlineStr">
        <is>
          <t>A 25264-2025</t>
        </is>
      </c>
      <c r="B7210" s="1" t="n">
        <v>45800</v>
      </c>
      <c r="C7210" s="1" t="n">
        <v>45846</v>
      </c>
      <c r="D7210" t="inlineStr">
        <is>
          <t>UPPSALA LÄN</t>
        </is>
      </c>
      <c r="E7210" t="inlineStr">
        <is>
          <t>ÄLVKARLEBY</t>
        </is>
      </c>
      <c r="F7210" t="inlineStr">
        <is>
          <t>Bergvik skog väst AB</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25330-2025</t>
        </is>
      </c>
      <c r="B7211" s="1" t="n">
        <v>45800</v>
      </c>
      <c r="C7211" s="1" t="n">
        <v>45846</v>
      </c>
      <c r="D7211" t="inlineStr">
        <is>
          <t>UPPSALA LÄN</t>
        </is>
      </c>
      <c r="E7211" t="inlineStr">
        <is>
          <t>ÄLVKARLEBY</t>
        </is>
      </c>
      <c r="F7211" t="inlineStr">
        <is>
          <t>Bergvik skog väst AB</t>
        </is>
      </c>
      <c r="G7211" t="n">
        <v>5</v>
      </c>
      <c r="H7211" t="n">
        <v>0</v>
      </c>
      <c r="I7211" t="n">
        <v>0</v>
      </c>
      <c r="J7211" t="n">
        <v>0</v>
      </c>
      <c r="K7211" t="n">
        <v>0</v>
      </c>
      <c r="L7211" t="n">
        <v>0</v>
      </c>
      <c r="M7211" t="n">
        <v>0</v>
      </c>
      <c r="N7211" t="n">
        <v>0</v>
      </c>
      <c r="O7211" t="n">
        <v>0</v>
      </c>
      <c r="P7211" t="n">
        <v>0</v>
      </c>
      <c r="Q7211" t="n">
        <v>0</v>
      </c>
      <c r="R7211" s="2" t="inlineStr"/>
    </row>
    <row r="7212" ht="15" customHeight="1">
      <c r="A7212" t="inlineStr">
        <is>
          <t>A 25671-2025</t>
        </is>
      </c>
      <c r="B7212" s="1" t="n">
        <v>45803</v>
      </c>
      <c r="C7212" s="1" t="n">
        <v>45846</v>
      </c>
      <c r="D7212" t="inlineStr">
        <is>
          <t>UPPSALA LÄN</t>
        </is>
      </c>
      <c r="E7212" t="inlineStr">
        <is>
          <t>TIERP</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25675-2025</t>
        </is>
      </c>
      <c r="B7213" s="1" t="n">
        <v>45803</v>
      </c>
      <c r="C7213" s="1" t="n">
        <v>45846</v>
      </c>
      <c r="D7213" t="inlineStr">
        <is>
          <t>UPPSALA LÄN</t>
        </is>
      </c>
      <c r="E7213" t="inlineStr">
        <is>
          <t>HEBY</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25513-2025</t>
        </is>
      </c>
      <c r="B7214" s="1" t="n">
        <v>45803</v>
      </c>
      <c r="C7214" s="1" t="n">
        <v>45846</v>
      </c>
      <c r="D7214" t="inlineStr">
        <is>
          <t>UPPSALA LÄN</t>
        </is>
      </c>
      <c r="E7214" t="inlineStr">
        <is>
          <t>UPPSALA</t>
        </is>
      </c>
      <c r="F7214" t="inlineStr">
        <is>
          <t>Bergvik skog öst AB</t>
        </is>
      </c>
      <c r="G7214" t="n">
        <v>8.9</v>
      </c>
      <c r="H7214" t="n">
        <v>0</v>
      </c>
      <c r="I7214" t="n">
        <v>0</v>
      </c>
      <c r="J7214" t="n">
        <v>0</v>
      </c>
      <c r="K7214" t="n">
        <v>0</v>
      </c>
      <c r="L7214" t="n">
        <v>0</v>
      </c>
      <c r="M7214" t="n">
        <v>0</v>
      </c>
      <c r="N7214" t="n">
        <v>0</v>
      </c>
      <c r="O7214" t="n">
        <v>0</v>
      </c>
      <c r="P7214" t="n">
        <v>0</v>
      </c>
      <c r="Q7214" t="n">
        <v>0</v>
      </c>
      <c r="R7214" s="2" t="inlineStr"/>
    </row>
    <row r="7215" ht="15" customHeight="1">
      <c r="A7215" t="inlineStr">
        <is>
          <t>A 25674-2025</t>
        </is>
      </c>
      <c r="B7215" s="1" t="n">
        <v>45803</v>
      </c>
      <c r="C7215" s="1" t="n">
        <v>45846</v>
      </c>
      <c r="D7215" t="inlineStr">
        <is>
          <t>UPPSALA LÄN</t>
        </is>
      </c>
      <c r="E7215" t="inlineStr">
        <is>
          <t>UPPSALA</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25677-2025</t>
        </is>
      </c>
      <c r="B7216" s="1" t="n">
        <v>45803</v>
      </c>
      <c r="C7216" s="1" t="n">
        <v>45846</v>
      </c>
      <c r="D7216" t="inlineStr">
        <is>
          <t>UPPSALA LÄN</t>
        </is>
      </c>
      <c r="E7216" t="inlineStr">
        <is>
          <t>HEBY</t>
        </is>
      </c>
      <c r="G7216" t="n">
        <v>0.3</v>
      </c>
      <c r="H7216" t="n">
        <v>0</v>
      </c>
      <c r="I7216" t="n">
        <v>0</v>
      </c>
      <c r="J7216" t="n">
        <v>0</v>
      </c>
      <c r="K7216" t="n">
        <v>0</v>
      </c>
      <c r="L7216" t="n">
        <v>0</v>
      </c>
      <c r="M7216" t="n">
        <v>0</v>
      </c>
      <c r="N7216" t="n">
        <v>0</v>
      </c>
      <c r="O7216" t="n">
        <v>0</v>
      </c>
      <c r="P7216" t="n">
        <v>0</v>
      </c>
      <c r="Q7216" t="n">
        <v>0</v>
      </c>
      <c r="R7216" s="2" t="inlineStr"/>
    </row>
    <row r="7217" ht="15" customHeight="1">
      <c r="A7217" t="inlineStr">
        <is>
          <t>A 26042-2025</t>
        </is>
      </c>
      <c r="B7217" s="1" t="n">
        <v>45804</v>
      </c>
      <c r="C7217" s="1" t="n">
        <v>45846</v>
      </c>
      <c r="D7217" t="inlineStr">
        <is>
          <t>UPPSALA LÄN</t>
        </is>
      </c>
      <c r="E7217" t="inlineStr">
        <is>
          <t>ENKÖPING</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25927-2025</t>
        </is>
      </c>
      <c r="B7218" s="1" t="n">
        <v>45804</v>
      </c>
      <c r="C7218" s="1" t="n">
        <v>45846</v>
      </c>
      <c r="D7218" t="inlineStr">
        <is>
          <t>UPPSALA LÄN</t>
        </is>
      </c>
      <c r="E7218" t="inlineStr">
        <is>
          <t>TIERP</t>
        </is>
      </c>
      <c r="F7218" t="inlineStr">
        <is>
          <t>Bergvik skog öst AB</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25900-2025</t>
        </is>
      </c>
      <c r="B7219" s="1" t="n">
        <v>45804</v>
      </c>
      <c r="C7219" s="1" t="n">
        <v>45846</v>
      </c>
      <c r="D7219" t="inlineStr">
        <is>
          <t>UPPSALA LÄN</t>
        </is>
      </c>
      <c r="E7219" t="inlineStr">
        <is>
          <t>TIERP</t>
        </is>
      </c>
      <c r="F7219" t="inlineStr">
        <is>
          <t>Bergvik skog öst AB</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25953-2025</t>
        </is>
      </c>
      <c r="B7220" s="1" t="n">
        <v>45804</v>
      </c>
      <c r="C7220" s="1" t="n">
        <v>45846</v>
      </c>
      <c r="D7220" t="inlineStr">
        <is>
          <t>UPPSALA LÄN</t>
        </is>
      </c>
      <c r="E7220" t="inlineStr">
        <is>
          <t>TIERP</t>
        </is>
      </c>
      <c r="F7220" t="inlineStr">
        <is>
          <t>Bergvik skog öst AB</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26005-2025</t>
        </is>
      </c>
      <c r="B7221" s="1" t="n">
        <v>45804</v>
      </c>
      <c r="C7221" s="1" t="n">
        <v>45846</v>
      </c>
      <c r="D7221" t="inlineStr">
        <is>
          <t>UPPSALA LÄN</t>
        </is>
      </c>
      <c r="E7221" t="inlineStr">
        <is>
          <t>ENKÖPING</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26047-2025</t>
        </is>
      </c>
      <c r="B7222" s="1" t="n">
        <v>45804</v>
      </c>
      <c r="C7222" s="1" t="n">
        <v>45846</v>
      </c>
      <c r="D7222" t="inlineStr">
        <is>
          <t>UPPSALA LÄN</t>
        </is>
      </c>
      <c r="E7222" t="inlineStr">
        <is>
          <t>ENKÖPING</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25988-2025</t>
        </is>
      </c>
      <c r="B7223" s="1" t="n">
        <v>45804</v>
      </c>
      <c r="C7223" s="1" t="n">
        <v>45846</v>
      </c>
      <c r="D7223" t="inlineStr">
        <is>
          <t>UPPSALA LÄN</t>
        </is>
      </c>
      <c r="E7223" t="inlineStr">
        <is>
          <t>ENKÖPING</t>
        </is>
      </c>
      <c r="G7223" t="n">
        <v>4.7</v>
      </c>
      <c r="H7223" t="n">
        <v>0</v>
      </c>
      <c r="I7223" t="n">
        <v>0</v>
      </c>
      <c r="J7223" t="n">
        <v>0</v>
      </c>
      <c r="K7223" t="n">
        <v>0</v>
      </c>
      <c r="L7223" t="n">
        <v>0</v>
      </c>
      <c r="M7223" t="n">
        <v>0</v>
      </c>
      <c r="N7223" t="n">
        <v>0</v>
      </c>
      <c r="O7223" t="n">
        <v>0</v>
      </c>
      <c r="P7223" t="n">
        <v>0</v>
      </c>
      <c r="Q7223" t="n">
        <v>0</v>
      </c>
      <c r="R7223" s="2" t="inlineStr"/>
    </row>
    <row r="7224" ht="15" customHeight="1">
      <c r="A7224" t="inlineStr">
        <is>
          <t>A 25989-2025</t>
        </is>
      </c>
      <c r="B7224" s="1" t="n">
        <v>45804</v>
      </c>
      <c r="C7224" s="1" t="n">
        <v>45846</v>
      </c>
      <c r="D7224" t="inlineStr">
        <is>
          <t>UPPSALA LÄN</t>
        </is>
      </c>
      <c r="E7224" t="inlineStr">
        <is>
          <t>ENKÖPING</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26022-2025</t>
        </is>
      </c>
      <c r="B7225" s="1" t="n">
        <v>45804</v>
      </c>
      <c r="C7225" s="1" t="n">
        <v>45846</v>
      </c>
      <c r="D7225" t="inlineStr">
        <is>
          <t>UPPSALA LÄN</t>
        </is>
      </c>
      <c r="E7225" t="inlineStr">
        <is>
          <t>ENKÖPING</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25847-2025</t>
        </is>
      </c>
      <c r="B7226" s="1" t="n">
        <v>45804</v>
      </c>
      <c r="C7226" s="1" t="n">
        <v>45846</v>
      </c>
      <c r="D7226" t="inlineStr">
        <is>
          <t>UPPSALA LÄN</t>
        </is>
      </c>
      <c r="E7226" t="inlineStr">
        <is>
          <t>ENKÖPING</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26041-2025</t>
        </is>
      </c>
      <c r="B7227" s="1" t="n">
        <v>45804</v>
      </c>
      <c r="C7227" s="1" t="n">
        <v>45846</v>
      </c>
      <c r="D7227" t="inlineStr">
        <is>
          <t>UPPSALA LÄN</t>
        </is>
      </c>
      <c r="E7227" t="inlineStr">
        <is>
          <t>ENKÖPING</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25969-2025</t>
        </is>
      </c>
      <c r="B7228" s="1" t="n">
        <v>45804</v>
      </c>
      <c r="C7228" s="1" t="n">
        <v>45846</v>
      </c>
      <c r="D7228" t="inlineStr">
        <is>
          <t>UPPSALA LÄN</t>
        </is>
      </c>
      <c r="E7228" t="inlineStr">
        <is>
          <t>HEBY</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25990-2025</t>
        </is>
      </c>
      <c r="B7229" s="1" t="n">
        <v>45804</v>
      </c>
      <c r="C7229" s="1" t="n">
        <v>45846</v>
      </c>
      <c r="D7229" t="inlineStr">
        <is>
          <t>UPPSALA LÄN</t>
        </is>
      </c>
      <c r="E7229" t="inlineStr">
        <is>
          <t>ENKÖPING</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26011-2025</t>
        </is>
      </c>
      <c r="B7230" s="1" t="n">
        <v>45804</v>
      </c>
      <c r="C7230" s="1" t="n">
        <v>45846</v>
      </c>
      <c r="D7230" t="inlineStr">
        <is>
          <t>UPPSALA LÄN</t>
        </is>
      </c>
      <c r="E7230" t="inlineStr">
        <is>
          <t>ENKÖPING</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26017-2025</t>
        </is>
      </c>
      <c r="B7231" s="1" t="n">
        <v>45804</v>
      </c>
      <c r="C7231" s="1" t="n">
        <v>45846</v>
      </c>
      <c r="D7231" t="inlineStr">
        <is>
          <t>UPPSALA LÄN</t>
        </is>
      </c>
      <c r="E7231" t="inlineStr">
        <is>
          <t>ENKÖPING</t>
        </is>
      </c>
      <c r="G7231" t="n">
        <v>0.4</v>
      </c>
      <c r="H7231" t="n">
        <v>0</v>
      </c>
      <c r="I7231" t="n">
        <v>0</v>
      </c>
      <c r="J7231" t="n">
        <v>0</v>
      </c>
      <c r="K7231" t="n">
        <v>0</v>
      </c>
      <c r="L7231" t="n">
        <v>0</v>
      </c>
      <c r="M7231" t="n">
        <v>0</v>
      </c>
      <c r="N7231" t="n">
        <v>0</v>
      </c>
      <c r="O7231" t="n">
        <v>0</v>
      </c>
      <c r="P7231" t="n">
        <v>0</v>
      </c>
      <c r="Q7231" t="n">
        <v>0</v>
      </c>
      <c r="R7231" s="2" t="inlineStr"/>
    </row>
    <row r="7232" ht="15" customHeight="1">
      <c r="A7232" t="inlineStr">
        <is>
          <t>A 26055-2025</t>
        </is>
      </c>
      <c r="B7232" s="1" t="n">
        <v>45804</v>
      </c>
      <c r="C7232" s="1" t="n">
        <v>45846</v>
      </c>
      <c r="D7232" t="inlineStr">
        <is>
          <t>UPPSALA LÄN</t>
        </is>
      </c>
      <c r="E7232" t="inlineStr">
        <is>
          <t>ÖSTHAMMAR</t>
        </is>
      </c>
      <c r="F7232" t="inlineStr">
        <is>
          <t>Bergvik skog väst AB</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26026-2025</t>
        </is>
      </c>
      <c r="B7233" s="1" t="n">
        <v>45804</v>
      </c>
      <c r="C7233" s="1" t="n">
        <v>45846</v>
      </c>
      <c r="D7233" t="inlineStr">
        <is>
          <t>UPPSALA LÄN</t>
        </is>
      </c>
      <c r="E7233" t="inlineStr">
        <is>
          <t>ENKÖPING</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25968-2025</t>
        </is>
      </c>
      <c r="B7234" s="1" t="n">
        <v>45804</v>
      </c>
      <c r="C7234" s="1" t="n">
        <v>45846</v>
      </c>
      <c r="D7234" t="inlineStr">
        <is>
          <t>UPPSALA LÄN</t>
        </is>
      </c>
      <c r="E7234" t="inlineStr">
        <is>
          <t>HEBY</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26030-2025</t>
        </is>
      </c>
      <c r="B7235" s="1" t="n">
        <v>45804</v>
      </c>
      <c r="C7235" s="1" t="n">
        <v>45846</v>
      </c>
      <c r="D7235" t="inlineStr">
        <is>
          <t>UPPSALA LÄN</t>
        </is>
      </c>
      <c r="E7235" t="inlineStr">
        <is>
          <t>ENKÖPING</t>
        </is>
      </c>
      <c r="G7235" t="n">
        <v>0.3</v>
      </c>
      <c r="H7235" t="n">
        <v>0</v>
      </c>
      <c r="I7235" t="n">
        <v>0</v>
      </c>
      <c r="J7235" t="n">
        <v>0</v>
      </c>
      <c r="K7235" t="n">
        <v>0</v>
      </c>
      <c r="L7235" t="n">
        <v>0</v>
      </c>
      <c r="M7235" t="n">
        <v>0</v>
      </c>
      <c r="N7235" t="n">
        <v>0</v>
      </c>
      <c r="O7235" t="n">
        <v>0</v>
      </c>
      <c r="P7235" t="n">
        <v>0</v>
      </c>
      <c r="Q7235" t="n">
        <v>0</v>
      </c>
      <c r="R7235" s="2" t="inlineStr"/>
    </row>
    <row r="7236" ht="15" customHeight="1">
      <c r="A7236" t="inlineStr">
        <is>
          <t>A 26031-2025</t>
        </is>
      </c>
      <c r="B7236" s="1" t="n">
        <v>45804</v>
      </c>
      <c r="C7236" s="1" t="n">
        <v>45846</v>
      </c>
      <c r="D7236" t="inlineStr">
        <is>
          <t>UPPSALA LÄN</t>
        </is>
      </c>
      <c r="E7236" t="inlineStr">
        <is>
          <t>ENKÖPING</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26024-2025</t>
        </is>
      </c>
      <c r="B7237" s="1" t="n">
        <v>45804</v>
      </c>
      <c r="C7237" s="1" t="n">
        <v>45846</v>
      </c>
      <c r="D7237" t="inlineStr">
        <is>
          <t>UPPSALA LÄN</t>
        </is>
      </c>
      <c r="E7237" t="inlineStr">
        <is>
          <t>ENKÖPING</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26040-2025</t>
        </is>
      </c>
      <c r="B7238" s="1" t="n">
        <v>45804</v>
      </c>
      <c r="C7238" s="1" t="n">
        <v>45846</v>
      </c>
      <c r="D7238" t="inlineStr">
        <is>
          <t>UPPSALA LÄN</t>
        </is>
      </c>
      <c r="E7238" t="inlineStr">
        <is>
          <t>TIERP</t>
        </is>
      </c>
      <c r="F7238" t="inlineStr">
        <is>
          <t>Bergvik skog öst AB</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26319-2025</t>
        </is>
      </c>
      <c r="B7239" s="1" t="n">
        <v>45805</v>
      </c>
      <c r="C7239" s="1" t="n">
        <v>45846</v>
      </c>
      <c r="D7239" t="inlineStr">
        <is>
          <t>UPPSALA LÄN</t>
        </is>
      </c>
      <c r="E7239" t="inlineStr">
        <is>
          <t>ÖSTHAMMAR</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26139-2025</t>
        </is>
      </c>
      <c r="B7240" s="1" t="n">
        <v>45805</v>
      </c>
      <c r="C7240" s="1" t="n">
        <v>45846</v>
      </c>
      <c r="D7240" t="inlineStr">
        <is>
          <t>UPPSALA LÄN</t>
        </is>
      </c>
      <c r="E7240" t="inlineStr">
        <is>
          <t>UPPSALA</t>
        </is>
      </c>
      <c r="F7240" t="inlineStr">
        <is>
          <t>Holmen skog AB</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26141-2025</t>
        </is>
      </c>
      <c r="B7241" s="1" t="n">
        <v>45805</v>
      </c>
      <c r="C7241" s="1" t="n">
        <v>45846</v>
      </c>
      <c r="D7241" t="inlineStr">
        <is>
          <t>UPPSALA LÄN</t>
        </is>
      </c>
      <c r="E7241" t="inlineStr">
        <is>
          <t>UPPSALA</t>
        </is>
      </c>
      <c r="F7241" t="inlineStr">
        <is>
          <t>Holmen skog AB</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26288-2025</t>
        </is>
      </c>
      <c r="B7242" s="1" t="n">
        <v>45805</v>
      </c>
      <c r="C7242" s="1" t="n">
        <v>45846</v>
      </c>
      <c r="D7242" t="inlineStr">
        <is>
          <t>UPPSALA LÄN</t>
        </is>
      </c>
      <c r="E7242" t="inlineStr">
        <is>
          <t>HEBY</t>
        </is>
      </c>
      <c r="G7242" t="n">
        <v>6.6</v>
      </c>
      <c r="H7242" t="n">
        <v>0</v>
      </c>
      <c r="I7242" t="n">
        <v>0</v>
      </c>
      <c r="J7242" t="n">
        <v>0</v>
      </c>
      <c r="K7242" t="n">
        <v>0</v>
      </c>
      <c r="L7242" t="n">
        <v>0</v>
      </c>
      <c r="M7242" t="n">
        <v>0</v>
      </c>
      <c r="N7242" t="n">
        <v>0</v>
      </c>
      <c r="O7242" t="n">
        <v>0</v>
      </c>
      <c r="P7242" t="n">
        <v>0</v>
      </c>
      <c r="Q7242" t="n">
        <v>0</v>
      </c>
      <c r="R7242" s="2" t="inlineStr"/>
    </row>
    <row r="7243" ht="15" customHeight="1">
      <c r="A7243" t="inlineStr">
        <is>
          <t>A 26321-2025</t>
        </is>
      </c>
      <c r="B7243" s="1" t="n">
        <v>45805</v>
      </c>
      <c r="C7243" s="1" t="n">
        <v>45846</v>
      </c>
      <c r="D7243" t="inlineStr">
        <is>
          <t>UPPSALA LÄN</t>
        </is>
      </c>
      <c r="E7243" t="inlineStr">
        <is>
          <t>TIERP</t>
        </is>
      </c>
      <c r="G7243" t="n">
        <v>3.8</v>
      </c>
      <c r="H7243" t="n">
        <v>0</v>
      </c>
      <c r="I7243" t="n">
        <v>0</v>
      </c>
      <c r="J7243" t="n">
        <v>0</v>
      </c>
      <c r="K7243" t="n">
        <v>0</v>
      </c>
      <c r="L7243" t="n">
        <v>0</v>
      </c>
      <c r="M7243" t="n">
        <v>0</v>
      </c>
      <c r="N7243" t="n">
        <v>0</v>
      </c>
      <c r="O7243" t="n">
        <v>0</v>
      </c>
      <c r="P7243" t="n">
        <v>0</v>
      </c>
      <c r="Q7243" t="n">
        <v>0</v>
      </c>
      <c r="R7243" s="2" t="inlineStr"/>
    </row>
    <row r="7244" ht="15" customHeight="1">
      <c r="A7244" t="inlineStr">
        <is>
          <t>A 26100-2025</t>
        </is>
      </c>
      <c r="B7244" s="1" t="n">
        <v>45805</v>
      </c>
      <c r="C7244" s="1" t="n">
        <v>45846</v>
      </c>
      <c r="D7244" t="inlineStr">
        <is>
          <t>UPPSALA LÄN</t>
        </is>
      </c>
      <c r="E7244" t="inlineStr">
        <is>
          <t>HEBY</t>
        </is>
      </c>
      <c r="G7244" t="n">
        <v>4.6</v>
      </c>
      <c r="H7244" t="n">
        <v>0</v>
      </c>
      <c r="I7244" t="n">
        <v>0</v>
      </c>
      <c r="J7244" t="n">
        <v>0</v>
      </c>
      <c r="K7244" t="n">
        <v>0</v>
      </c>
      <c r="L7244" t="n">
        <v>0</v>
      </c>
      <c r="M7244" t="n">
        <v>0</v>
      </c>
      <c r="N7244" t="n">
        <v>0</v>
      </c>
      <c r="O7244" t="n">
        <v>0</v>
      </c>
      <c r="P7244" t="n">
        <v>0</v>
      </c>
      <c r="Q7244" t="n">
        <v>0</v>
      </c>
      <c r="R7244" s="2" t="inlineStr"/>
    </row>
    <row r="7245" ht="15" customHeight="1">
      <c r="A7245" t="inlineStr">
        <is>
          <t>A 26155-2025</t>
        </is>
      </c>
      <c r="B7245" s="1" t="n">
        <v>45805</v>
      </c>
      <c r="C7245" s="1" t="n">
        <v>45846</v>
      </c>
      <c r="D7245" t="inlineStr">
        <is>
          <t>UPPSALA LÄN</t>
        </is>
      </c>
      <c r="E7245" t="inlineStr">
        <is>
          <t>UPPSALA</t>
        </is>
      </c>
      <c r="F7245" t="inlineStr">
        <is>
          <t>Holmen skog AB</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26328-2025</t>
        </is>
      </c>
      <c r="B7246" s="1" t="n">
        <v>45805</v>
      </c>
      <c r="C7246" s="1" t="n">
        <v>45846</v>
      </c>
      <c r="D7246" t="inlineStr">
        <is>
          <t>UPPSALA LÄN</t>
        </is>
      </c>
      <c r="E7246" t="inlineStr">
        <is>
          <t>ÖSTHAMMAR</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26130-2025</t>
        </is>
      </c>
      <c r="B7247" s="1" t="n">
        <v>45805</v>
      </c>
      <c r="C7247" s="1" t="n">
        <v>45846</v>
      </c>
      <c r="D7247" t="inlineStr">
        <is>
          <t>UPPSALA LÄN</t>
        </is>
      </c>
      <c r="E7247" t="inlineStr">
        <is>
          <t>UPPSALA</t>
        </is>
      </c>
      <c r="F7247" t="inlineStr">
        <is>
          <t>Bergvik skog öst AB</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26131-2025</t>
        </is>
      </c>
      <c r="B7248" s="1" t="n">
        <v>45805</v>
      </c>
      <c r="C7248" s="1" t="n">
        <v>45846</v>
      </c>
      <c r="D7248" t="inlineStr">
        <is>
          <t>UPPSALA LÄN</t>
        </is>
      </c>
      <c r="E7248" t="inlineStr">
        <is>
          <t>UPPSALA</t>
        </is>
      </c>
      <c r="F7248" t="inlineStr">
        <is>
          <t>Bergvik skog öst AB</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26099-2025</t>
        </is>
      </c>
      <c r="B7249" s="1" t="n">
        <v>45805</v>
      </c>
      <c r="C7249" s="1" t="n">
        <v>45846</v>
      </c>
      <c r="D7249" t="inlineStr">
        <is>
          <t>UPPSALA LÄN</t>
        </is>
      </c>
      <c r="E7249" t="inlineStr">
        <is>
          <t>HEBY</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26330-2025</t>
        </is>
      </c>
      <c r="B7250" s="1" t="n">
        <v>45805</v>
      </c>
      <c r="C7250" s="1" t="n">
        <v>45846</v>
      </c>
      <c r="D7250" t="inlineStr">
        <is>
          <t>UPPSALA LÄN</t>
        </is>
      </c>
      <c r="E7250" t="inlineStr">
        <is>
          <t>ÖSTHAMMAR</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26226-2025</t>
        </is>
      </c>
      <c r="B7251" s="1" t="n">
        <v>45805</v>
      </c>
      <c r="C7251" s="1" t="n">
        <v>45846</v>
      </c>
      <c r="D7251" t="inlineStr">
        <is>
          <t>UPPSALA LÄN</t>
        </is>
      </c>
      <c r="E7251" t="inlineStr">
        <is>
          <t>KNIVSTA</t>
        </is>
      </c>
      <c r="G7251" t="n">
        <v>9.1</v>
      </c>
      <c r="H7251" t="n">
        <v>0</v>
      </c>
      <c r="I7251" t="n">
        <v>0</v>
      </c>
      <c r="J7251" t="n">
        <v>0</v>
      </c>
      <c r="K7251" t="n">
        <v>0</v>
      </c>
      <c r="L7251" t="n">
        <v>0</v>
      </c>
      <c r="M7251" t="n">
        <v>0</v>
      </c>
      <c r="N7251" t="n">
        <v>0</v>
      </c>
      <c r="O7251" t="n">
        <v>0</v>
      </c>
      <c r="P7251" t="n">
        <v>0</v>
      </c>
      <c r="Q7251" t="n">
        <v>0</v>
      </c>
      <c r="R7251" s="2" t="inlineStr"/>
    </row>
    <row r="7252" ht="15" customHeight="1">
      <c r="A7252" t="inlineStr">
        <is>
          <t>A 26547-2025</t>
        </is>
      </c>
      <c r="B7252" s="1" t="n">
        <v>45807</v>
      </c>
      <c r="C7252" s="1" t="n">
        <v>45846</v>
      </c>
      <c r="D7252" t="inlineStr">
        <is>
          <t>UPPSALA LÄN</t>
        </is>
      </c>
      <c r="E7252" t="inlineStr">
        <is>
          <t>TIERP</t>
        </is>
      </c>
      <c r="G7252" t="n">
        <v>9.4</v>
      </c>
      <c r="H7252" t="n">
        <v>0</v>
      </c>
      <c r="I7252" t="n">
        <v>0</v>
      </c>
      <c r="J7252" t="n">
        <v>0</v>
      </c>
      <c r="K7252" t="n">
        <v>0</v>
      </c>
      <c r="L7252" t="n">
        <v>0</v>
      </c>
      <c r="M7252" t="n">
        <v>0</v>
      </c>
      <c r="N7252" t="n">
        <v>0</v>
      </c>
      <c r="O7252" t="n">
        <v>0</v>
      </c>
      <c r="P7252" t="n">
        <v>0</v>
      </c>
      <c r="Q7252" t="n">
        <v>0</v>
      </c>
      <c r="R7252" s="2" t="inlineStr"/>
    </row>
    <row r="7253" ht="15" customHeight="1">
      <c r="A7253" t="inlineStr">
        <is>
          <t>A 26541-2025</t>
        </is>
      </c>
      <c r="B7253" s="1" t="n">
        <v>45807</v>
      </c>
      <c r="C7253" s="1" t="n">
        <v>45846</v>
      </c>
      <c r="D7253" t="inlineStr">
        <is>
          <t>UPPSALA LÄN</t>
        </is>
      </c>
      <c r="E7253" t="inlineStr">
        <is>
          <t>TIERP</t>
        </is>
      </c>
      <c r="G7253" t="n">
        <v>10.6</v>
      </c>
      <c r="H7253" t="n">
        <v>0</v>
      </c>
      <c r="I7253" t="n">
        <v>0</v>
      </c>
      <c r="J7253" t="n">
        <v>0</v>
      </c>
      <c r="K7253" t="n">
        <v>0</v>
      </c>
      <c r="L7253" t="n">
        <v>0</v>
      </c>
      <c r="M7253" t="n">
        <v>0</v>
      </c>
      <c r="N7253" t="n">
        <v>0</v>
      </c>
      <c r="O7253" t="n">
        <v>0</v>
      </c>
      <c r="P7253" t="n">
        <v>0</v>
      </c>
      <c r="Q7253" t="n">
        <v>0</v>
      </c>
      <c r="R7253" s="2" t="inlineStr"/>
    </row>
    <row r="7254" ht="15" customHeight="1">
      <c r="A7254" t="inlineStr">
        <is>
          <t>A 26556-2025</t>
        </is>
      </c>
      <c r="B7254" s="1" t="n">
        <v>45807</v>
      </c>
      <c r="C7254" s="1" t="n">
        <v>45846</v>
      </c>
      <c r="D7254" t="inlineStr">
        <is>
          <t>UPPSALA LÄN</t>
        </is>
      </c>
      <c r="E7254" t="inlineStr">
        <is>
          <t>TIERP</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26395-2025</t>
        </is>
      </c>
      <c r="B7255" s="1" t="n">
        <v>45807</v>
      </c>
      <c r="C7255" s="1" t="n">
        <v>45846</v>
      </c>
      <c r="D7255" t="inlineStr">
        <is>
          <t>UPPSALA LÄN</t>
        </is>
      </c>
      <c r="E7255" t="inlineStr">
        <is>
          <t>ÖSTHAMMAR</t>
        </is>
      </c>
      <c r="G7255" t="n">
        <v>7</v>
      </c>
      <c r="H7255" t="n">
        <v>0</v>
      </c>
      <c r="I7255" t="n">
        <v>0</v>
      </c>
      <c r="J7255" t="n">
        <v>0</v>
      </c>
      <c r="K7255" t="n">
        <v>0</v>
      </c>
      <c r="L7255" t="n">
        <v>0</v>
      </c>
      <c r="M7255" t="n">
        <v>0</v>
      </c>
      <c r="N7255" t="n">
        <v>0</v>
      </c>
      <c r="O7255" t="n">
        <v>0</v>
      </c>
      <c r="P7255" t="n">
        <v>0</v>
      </c>
      <c r="Q7255" t="n">
        <v>0</v>
      </c>
      <c r="R7255" s="2" t="inlineStr"/>
    </row>
    <row r="7256" ht="15" customHeight="1">
      <c r="A7256" t="inlineStr">
        <is>
          <t>A 26521-2025</t>
        </is>
      </c>
      <c r="B7256" s="1" t="n">
        <v>45807</v>
      </c>
      <c r="C7256" s="1" t="n">
        <v>45846</v>
      </c>
      <c r="D7256" t="inlineStr">
        <is>
          <t>UPPSALA LÄN</t>
        </is>
      </c>
      <c r="E7256" t="inlineStr">
        <is>
          <t>ÖSTHAMMAR</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26559-2025</t>
        </is>
      </c>
      <c r="B7257" s="1" t="n">
        <v>45807</v>
      </c>
      <c r="C7257" s="1" t="n">
        <v>45846</v>
      </c>
      <c r="D7257" t="inlineStr">
        <is>
          <t>UPPSALA LÄN</t>
        </is>
      </c>
      <c r="E7257" t="inlineStr">
        <is>
          <t>TIERP</t>
        </is>
      </c>
      <c r="G7257" t="n">
        <v>5</v>
      </c>
      <c r="H7257" t="n">
        <v>0</v>
      </c>
      <c r="I7257" t="n">
        <v>0</v>
      </c>
      <c r="J7257" t="n">
        <v>0</v>
      </c>
      <c r="K7257" t="n">
        <v>0</v>
      </c>
      <c r="L7257" t="n">
        <v>0</v>
      </c>
      <c r="M7257" t="n">
        <v>0</v>
      </c>
      <c r="N7257" t="n">
        <v>0</v>
      </c>
      <c r="O7257" t="n">
        <v>0</v>
      </c>
      <c r="P7257" t="n">
        <v>0</v>
      </c>
      <c r="Q7257" t="n">
        <v>0</v>
      </c>
      <c r="R7257" s="2" t="inlineStr"/>
    </row>
    <row r="7258" ht="15" customHeight="1">
      <c r="A7258" t="inlineStr">
        <is>
          <t>A 26526-2025</t>
        </is>
      </c>
      <c r="B7258" s="1" t="n">
        <v>45807</v>
      </c>
      <c r="C7258" s="1" t="n">
        <v>45846</v>
      </c>
      <c r="D7258" t="inlineStr">
        <is>
          <t>UPPSALA LÄN</t>
        </is>
      </c>
      <c r="E7258" t="inlineStr">
        <is>
          <t>ÖSTHAMMAR</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26555-2025</t>
        </is>
      </c>
      <c r="B7259" s="1" t="n">
        <v>45807</v>
      </c>
      <c r="C7259" s="1" t="n">
        <v>45846</v>
      </c>
      <c r="D7259" t="inlineStr">
        <is>
          <t>UPPSALA LÄN</t>
        </is>
      </c>
      <c r="E7259" t="inlineStr">
        <is>
          <t>TIERP</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26740-2025</t>
        </is>
      </c>
      <c r="B7260" s="1" t="n">
        <v>45809</v>
      </c>
      <c r="C7260" s="1" t="n">
        <v>45846</v>
      </c>
      <c r="D7260" t="inlineStr">
        <is>
          <t>UPPSALA LÄN</t>
        </is>
      </c>
      <c r="E7260" t="inlineStr">
        <is>
          <t>UPPSALA</t>
        </is>
      </c>
      <c r="F7260" t="inlineStr">
        <is>
          <t>Övriga Aktiebolag</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26713-2025</t>
        </is>
      </c>
      <c r="B7261" s="1" t="n">
        <v>45809</v>
      </c>
      <c r="C7261" s="1" t="n">
        <v>45846</v>
      </c>
      <c r="D7261" t="inlineStr">
        <is>
          <t>UPPSALA LÄN</t>
        </is>
      </c>
      <c r="E7261" t="inlineStr">
        <is>
          <t>UPPSALA</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26738-2025</t>
        </is>
      </c>
      <c r="B7262" s="1" t="n">
        <v>45809</v>
      </c>
      <c r="C7262" s="1" t="n">
        <v>45846</v>
      </c>
      <c r="D7262" t="inlineStr">
        <is>
          <t>UPPSALA LÄN</t>
        </is>
      </c>
      <c r="E7262" t="inlineStr">
        <is>
          <t>UPPSALA</t>
        </is>
      </c>
      <c r="F7262" t="inlineStr">
        <is>
          <t>Övriga Aktiebolag</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26739-2025</t>
        </is>
      </c>
      <c r="B7263" s="1" t="n">
        <v>45809</v>
      </c>
      <c r="C7263" s="1" t="n">
        <v>45846</v>
      </c>
      <c r="D7263" t="inlineStr">
        <is>
          <t>UPPSALA LÄN</t>
        </is>
      </c>
      <c r="E7263" t="inlineStr">
        <is>
          <t>UPPSALA</t>
        </is>
      </c>
      <c r="F7263" t="inlineStr">
        <is>
          <t>Övriga Aktiebolag</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26696-2025</t>
        </is>
      </c>
      <c r="B7264" s="1" t="n">
        <v>45810</v>
      </c>
      <c r="C7264" s="1" t="n">
        <v>45846</v>
      </c>
      <c r="D7264" t="inlineStr">
        <is>
          <t>UPPSALA LÄN</t>
        </is>
      </c>
      <c r="E7264" t="inlineStr">
        <is>
          <t>UPPSALA</t>
        </is>
      </c>
      <c r="F7264" t="inlineStr">
        <is>
          <t>Bergvik skog öst AB</t>
        </is>
      </c>
      <c r="G7264" t="n">
        <v>7.1</v>
      </c>
      <c r="H7264" t="n">
        <v>0</v>
      </c>
      <c r="I7264" t="n">
        <v>0</v>
      </c>
      <c r="J7264" t="n">
        <v>0</v>
      </c>
      <c r="K7264" t="n">
        <v>0</v>
      </c>
      <c r="L7264" t="n">
        <v>0</v>
      </c>
      <c r="M7264" t="n">
        <v>0</v>
      </c>
      <c r="N7264" t="n">
        <v>0</v>
      </c>
      <c r="O7264" t="n">
        <v>0</v>
      </c>
      <c r="P7264" t="n">
        <v>0</v>
      </c>
      <c r="Q7264" t="n">
        <v>0</v>
      </c>
      <c r="R7264" s="2" t="inlineStr"/>
    </row>
    <row r="7265" ht="15" customHeight="1">
      <c r="A7265" t="inlineStr">
        <is>
          <t>A 26709-2025</t>
        </is>
      </c>
      <c r="B7265" s="1" t="n">
        <v>45810</v>
      </c>
      <c r="C7265" s="1" t="n">
        <v>45846</v>
      </c>
      <c r="D7265" t="inlineStr">
        <is>
          <t>UPPSALA LÄN</t>
        </is>
      </c>
      <c r="E7265" t="inlineStr">
        <is>
          <t>UPPSALA</t>
        </is>
      </c>
      <c r="F7265" t="inlineStr">
        <is>
          <t>Kyrkan</t>
        </is>
      </c>
      <c r="G7265" t="n">
        <v>6.7</v>
      </c>
      <c r="H7265" t="n">
        <v>0</v>
      </c>
      <c r="I7265" t="n">
        <v>0</v>
      </c>
      <c r="J7265" t="n">
        <v>0</v>
      </c>
      <c r="K7265" t="n">
        <v>0</v>
      </c>
      <c r="L7265" t="n">
        <v>0</v>
      </c>
      <c r="M7265" t="n">
        <v>0</v>
      </c>
      <c r="N7265" t="n">
        <v>0</v>
      </c>
      <c r="O7265" t="n">
        <v>0</v>
      </c>
      <c r="P7265" t="n">
        <v>0</v>
      </c>
      <c r="Q7265" t="n">
        <v>0</v>
      </c>
      <c r="R7265" s="2" t="inlineStr"/>
    </row>
    <row r="7266" ht="15" customHeight="1">
      <c r="A7266" t="inlineStr">
        <is>
          <t>A 26697-2025</t>
        </is>
      </c>
      <c r="B7266" s="1" t="n">
        <v>45810</v>
      </c>
      <c r="C7266" s="1" t="n">
        <v>45846</v>
      </c>
      <c r="D7266" t="inlineStr">
        <is>
          <t>UPPSALA LÄN</t>
        </is>
      </c>
      <c r="E7266" t="inlineStr">
        <is>
          <t>UPPSALA</t>
        </is>
      </c>
      <c r="F7266" t="inlineStr">
        <is>
          <t>Bergvik skog öst AB</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26714-2025</t>
        </is>
      </c>
      <c r="B7267" s="1" t="n">
        <v>45810</v>
      </c>
      <c r="C7267" s="1" t="n">
        <v>45846</v>
      </c>
      <c r="D7267" t="inlineStr">
        <is>
          <t>UPPSALA LÄN</t>
        </is>
      </c>
      <c r="E7267" t="inlineStr">
        <is>
          <t>TIERP</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26797-2025</t>
        </is>
      </c>
      <c r="B7268" s="1" t="n">
        <v>45810</v>
      </c>
      <c r="C7268" s="1" t="n">
        <v>45846</v>
      </c>
      <c r="D7268" t="inlineStr">
        <is>
          <t>UPPSALA LÄN</t>
        </is>
      </c>
      <c r="E7268" t="inlineStr">
        <is>
          <t>HEBY</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26849-2025</t>
        </is>
      </c>
      <c r="B7269" s="1" t="n">
        <v>45810</v>
      </c>
      <c r="C7269" s="1" t="n">
        <v>45846</v>
      </c>
      <c r="D7269" t="inlineStr">
        <is>
          <t>UPPSALA LÄN</t>
        </is>
      </c>
      <c r="E7269" t="inlineStr">
        <is>
          <t>HEBY</t>
        </is>
      </c>
      <c r="G7269" t="n">
        <v>4.1</v>
      </c>
      <c r="H7269" t="n">
        <v>0</v>
      </c>
      <c r="I7269" t="n">
        <v>0</v>
      </c>
      <c r="J7269" t="n">
        <v>0</v>
      </c>
      <c r="K7269" t="n">
        <v>0</v>
      </c>
      <c r="L7269" t="n">
        <v>0</v>
      </c>
      <c r="M7269" t="n">
        <v>0</v>
      </c>
      <c r="N7269" t="n">
        <v>0</v>
      </c>
      <c r="O7269" t="n">
        <v>0</v>
      </c>
      <c r="P7269" t="n">
        <v>0</v>
      </c>
      <c r="Q7269" t="n">
        <v>0</v>
      </c>
      <c r="R7269" s="2" t="inlineStr"/>
    </row>
    <row r="7270" ht="15" customHeight="1">
      <c r="A7270" t="inlineStr">
        <is>
          <t>A 26830-2025</t>
        </is>
      </c>
      <c r="B7270" s="1" t="n">
        <v>45810</v>
      </c>
      <c r="C7270" s="1" t="n">
        <v>45846</v>
      </c>
      <c r="D7270" t="inlineStr">
        <is>
          <t>UPPSALA LÄN</t>
        </is>
      </c>
      <c r="E7270" t="inlineStr">
        <is>
          <t>HEBY</t>
        </is>
      </c>
      <c r="G7270" t="n">
        <v>8.300000000000001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26670-2025</t>
        </is>
      </c>
      <c r="B7271" s="1" t="n">
        <v>45810</v>
      </c>
      <c r="C7271" s="1" t="n">
        <v>45846</v>
      </c>
      <c r="D7271" t="inlineStr">
        <is>
          <t>UPPSALA LÄN</t>
        </is>
      </c>
      <c r="E7271" t="inlineStr">
        <is>
          <t>ÄLVKARLEBY</t>
        </is>
      </c>
      <c r="F7271" t="inlineStr">
        <is>
          <t>Bergvik skog väst AB</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26668-2025</t>
        </is>
      </c>
      <c r="B7272" s="1" t="n">
        <v>45810</v>
      </c>
      <c r="C7272" s="1" t="n">
        <v>45846</v>
      </c>
      <c r="D7272" t="inlineStr">
        <is>
          <t>UPPSALA LÄN</t>
        </is>
      </c>
      <c r="E7272" t="inlineStr">
        <is>
          <t>ÄLVKARLEBY</t>
        </is>
      </c>
      <c r="F7272" t="inlineStr">
        <is>
          <t>Bergvik skog väst AB</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26664-2025</t>
        </is>
      </c>
      <c r="B7273" s="1" t="n">
        <v>45810</v>
      </c>
      <c r="C7273" s="1" t="n">
        <v>45846</v>
      </c>
      <c r="D7273" t="inlineStr">
        <is>
          <t>UPPSALA LÄN</t>
        </is>
      </c>
      <c r="E7273" t="inlineStr">
        <is>
          <t>ÄLVKARLEBY</t>
        </is>
      </c>
      <c r="F7273" t="inlineStr">
        <is>
          <t>Bergvik skog väst AB</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27133-2025</t>
        </is>
      </c>
      <c r="B7274" s="1" t="n">
        <v>45811</v>
      </c>
      <c r="C7274" s="1" t="n">
        <v>45846</v>
      </c>
      <c r="D7274" t="inlineStr">
        <is>
          <t>UPPSALA LÄN</t>
        </is>
      </c>
      <c r="E7274" t="inlineStr">
        <is>
          <t>ÖSTHAMMAR</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27058-2025</t>
        </is>
      </c>
      <c r="B7275" s="1" t="n">
        <v>45811</v>
      </c>
      <c r="C7275" s="1" t="n">
        <v>45846</v>
      </c>
      <c r="D7275" t="inlineStr">
        <is>
          <t>UPPSALA LÄN</t>
        </is>
      </c>
      <c r="E7275" t="inlineStr">
        <is>
          <t>ÖSTHAMMAR</t>
        </is>
      </c>
      <c r="F7275" t="inlineStr">
        <is>
          <t>Bergvik skog öst AB</t>
        </is>
      </c>
      <c r="G7275" t="n">
        <v>5.7</v>
      </c>
      <c r="H7275" t="n">
        <v>0</v>
      </c>
      <c r="I7275" t="n">
        <v>0</v>
      </c>
      <c r="J7275" t="n">
        <v>0</v>
      </c>
      <c r="K7275" t="n">
        <v>0</v>
      </c>
      <c r="L7275" t="n">
        <v>0</v>
      </c>
      <c r="M7275" t="n">
        <v>0</v>
      </c>
      <c r="N7275" t="n">
        <v>0</v>
      </c>
      <c r="O7275" t="n">
        <v>0</v>
      </c>
      <c r="P7275" t="n">
        <v>0</v>
      </c>
      <c r="Q7275" t="n">
        <v>0</v>
      </c>
      <c r="R7275" s="2" t="inlineStr"/>
    </row>
    <row r="7276" ht="15" customHeight="1">
      <c r="A7276" t="inlineStr">
        <is>
          <t>A 27132-2025</t>
        </is>
      </c>
      <c r="B7276" s="1" t="n">
        <v>45811</v>
      </c>
      <c r="C7276" s="1" t="n">
        <v>45846</v>
      </c>
      <c r="D7276" t="inlineStr">
        <is>
          <t>UPPSALA LÄN</t>
        </is>
      </c>
      <c r="E7276" t="inlineStr">
        <is>
          <t>ÖSTHAMMAR</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27131-2025</t>
        </is>
      </c>
      <c r="B7277" s="1" t="n">
        <v>45811</v>
      </c>
      <c r="C7277" s="1" t="n">
        <v>45846</v>
      </c>
      <c r="D7277" t="inlineStr">
        <is>
          <t>UPPSALA LÄN</t>
        </is>
      </c>
      <c r="E7277" t="inlineStr">
        <is>
          <t>ÖSTHAMMAR</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27252-2025</t>
        </is>
      </c>
      <c r="B7278" s="1" t="n">
        <v>45812</v>
      </c>
      <c r="C7278" s="1" t="n">
        <v>45846</v>
      </c>
      <c r="D7278" t="inlineStr">
        <is>
          <t>UPPSALA LÄN</t>
        </is>
      </c>
      <c r="E7278" t="inlineStr">
        <is>
          <t>TIERP</t>
        </is>
      </c>
      <c r="F7278" t="inlineStr">
        <is>
          <t>Bergvik skog öst AB</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27347-2025</t>
        </is>
      </c>
      <c r="B7279" s="1" t="n">
        <v>45812</v>
      </c>
      <c r="C7279" s="1" t="n">
        <v>45846</v>
      </c>
      <c r="D7279" t="inlineStr">
        <is>
          <t>UPPSALA LÄN</t>
        </is>
      </c>
      <c r="E7279" t="inlineStr">
        <is>
          <t>ÖSTHAMMAR</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27265-2025</t>
        </is>
      </c>
      <c r="B7280" s="1" t="n">
        <v>45812</v>
      </c>
      <c r="C7280" s="1" t="n">
        <v>45846</v>
      </c>
      <c r="D7280" t="inlineStr">
        <is>
          <t>UPPSALA LÄN</t>
        </is>
      </c>
      <c r="E7280" t="inlineStr">
        <is>
          <t>UPPSALA</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27270-2025</t>
        </is>
      </c>
      <c r="B7281" s="1" t="n">
        <v>45812</v>
      </c>
      <c r="C7281" s="1" t="n">
        <v>45846</v>
      </c>
      <c r="D7281" t="inlineStr">
        <is>
          <t>UPPSALA LÄN</t>
        </is>
      </c>
      <c r="E7281" t="inlineStr">
        <is>
          <t>TIERP</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27286-2025</t>
        </is>
      </c>
      <c r="B7282" s="1" t="n">
        <v>45812</v>
      </c>
      <c r="C7282" s="1" t="n">
        <v>45846</v>
      </c>
      <c r="D7282" t="inlineStr">
        <is>
          <t>UPPSALA LÄN</t>
        </is>
      </c>
      <c r="E7282" t="inlineStr">
        <is>
          <t>UPPSALA</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27268-2025</t>
        </is>
      </c>
      <c r="B7283" s="1" t="n">
        <v>45812</v>
      </c>
      <c r="C7283" s="1" t="n">
        <v>45846</v>
      </c>
      <c r="D7283" t="inlineStr">
        <is>
          <t>UPPSALA LÄN</t>
        </is>
      </c>
      <c r="E7283" t="inlineStr">
        <is>
          <t>TIERP</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27383-2025</t>
        </is>
      </c>
      <c r="B7284" s="1" t="n">
        <v>45812</v>
      </c>
      <c r="C7284" s="1" t="n">
        <v>45846</v>
      </c>
      <c r="D7284" t="inlineStr">
        <is>
          <t>UPPSALA LÄN</t>
        </is>
      </c>
      <c r="E7284" t="inlineStr">
        <is>
          <t>ÖSTHAMMAR</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27352-2025</t>
        </is>
      </c>
      <c r="B7285" s="1" t="n">
        <v>45812</v>
      </c>
      <c r="C7285" s="1" t="n">
        <v>45846</v>
      </c>
      <c r="D7285" t="inlineStr">
        <is>
          <t>UPPSALA LÄN</t>
        </is>
      </c>
      <c r="E7285" t="inlineStr">
        <is>
          <t>ÖSTHAMMAR</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27382-2025</t>
        </is>
      </c>
      <c r="B7286" s="1" t="n">
        <v>45812</v>
      </c>
      <c r="C7286" s="1" t="n">
        <v>45846</v>
      </c>
      <c r="D7286" t="inlineStr">
        <is>
          <t>UPPSALA LÄN</t>
        </is>
      </c>
      <c r="E7286" t="inlineStr">
        <is>
          <t>TIERP</t>
        </is>
      </c>
      <c r="F7286" t="inlineStr">
        <is>
          <t>Bergvik skog väst AB</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27350-2025</t>
        </is>
      </c>
      <c r="B7287" s="1" t="n">
        <v>45812</v>
      </c>
      <c r="C7287" s="1" t="n">
        <v>45846</v>
      </c>
      <c r="D7287" t="inlineStr">
        <is>
          <t>UPPSALA LÄN</t>
        </is>
      </c>
      <c r="E7287" t="inlineStr">
        <is>
          <t>ÖSTHAMMAR</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27360-2025</t>
        </is>
      </c>
      <c r="B7288" s="1" t="n">
        <v>45812</v>
      </c>
      <c r="C7288" s="1" t="n">
        <v>45846</v>
      </c>
      <c r="D7288" t="inlineStr">
        <is>
          <t>UPPSALA LÄN</t>
        </is>
      </c>
      <c r="E7288" t="inlineStr">
        <is>
          <t>TIERP</t>
        </is>
      </c>
      <c r="F7288" t="inlineStr">
        <is>
          <t>Bergvik skog öst AB</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27384-2025</t>
        </is>
      </c>
      <c r="B7289" s="1" t="n">
        <v>45812</v>
      </c>
      <c r="C7289" s="1" t="n">
        <v>45846</v>
      </c>
      <c r="D7289" t="inlineStr">
        <is>
          <t>UPPSALA LÄN</t>
        </is>
      </c>
      <c r="E7289" t="inlineStr">
        <is>
          <t>ÖSTHAMMAR</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27385-2025</t>
        </is>
      </c>
      <c r="B7290" s="1" t="n">
        <v>45812</v>
      </c>
      <c r="C7290" s="1" t="n">
        <v>45846</v>
      </c>
      <c r="D7290" t="inlineStr">
        <is>
          <t>UPPSALA LÄN</t>
        </is>
      </c>
      <c r="E7290" t="inlineStr">
        <is>
          <t>ÖSTHAMMAR</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27395-2025</t>
        </is>
      </c>
      <c r="B7291" s="1" t="n">
        <v>45812</v>
      </c>
      <c r="C7291" s="1" t="n">
        <v>45846</v>
      </c>
      <c r="D7291" t="inlineStr">
        <is>
          <t>UPPSALA LÄN</t>
        </is>
      </c>
      <c r="E7291" t="inlineStr">
        <is>
          <t>ÖSTHAMMAR</t>
        </is>
      </c>
      <c r="F7291" t="inlineStr">
        <is>
          <t>Bergvik skog öst AB</t>
        </is>
      </c>
      <c r="G7291" t="n">
        <v>9.300000000000001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27392-2025</t>
        </is>
      </c>
      <c r="B7292" s="1" t="n">
        <v>45812</v>
      </c>
      <c r="C7292" s="1" t="n">
        <v>45846</v>
      </c>
      <c r="D7292" t="inlineStr">
        <is>
          <t>UPPSALA LÄN</t>
        </is>
      </c>
      <c r="E7292" t="inlineStr">
        <is>
          <t>ÖSTHAMMAR</t>
        </is>
      </c>
      <c r="F7292" t="inlineStr">
        <is>
          <t>Bergvik skog öst AB</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27269-2025</t>
        </is>
      </c>
      <c r="B7293" s="1" t="n">
        <v>45812</v>
      </c>
      <c r="C7293" s="1" t="n">
        <v>45846</v>
      </c>
      <c r="D7293" t="inlineStr">
        <is>
          <t>UPPSALA LÄN</t>
        </is>
      </c>
      <c r="E7293" t="inlineStr">
        <is>
          <t>TIERP</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27330-2025</t>
        </is>
      </c>
      <c r="B7294" s="1" t="n">
        <v>45812</v>
      </c>
      <c r="C7294" s="1" t="n">
        <v>45846</v>
      </c>
      <c r="D7294" t="inlineStr">
        <is>
          <t>UPPSALA LÄN</t>
        </is>
      </c>
      <c r="E7294" t="inlineStr">
        <is>
          <t>ÄLVKARLEBY</t>
        </is>
      </c>
      <c r="F7294" t="inlineStr">
        <is>
          <t>Bergvik skog väst AB</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27563-2025</t>
        </is>
      </c>
      <c r="B7295" s="1" t="n">
        <v>45813</v>
      </c>
      <c r="C7295" s="1" t="n">
        <v>45846</v>
      </c>
      <c r="D7295" t="inlineStr">
        <is>
          <t>UPPSALA LÄN</t>
        </is>
      </c>
      <c r="E7295" t="inlineStr">
        <is>
          <t>ÖSTHAMMAR</t>
        </is>
      </c>
      <c r="F7295" t="inlineStr">
        <is>
          <t>Bergvik skog öst AB</t>
        </is>
      </c>
      <c r="G7295" t="n">
        <v>4</v>
      </c>
      <c r="H7295" t="n">
        <v>0</v>
      </c>
      <c r="I7295" t="n">
        <v>0</v>
      </c>
      <c r="J7295" t="n">
        <v>0</v>
      </c>
      <c r="K7295" t="n">
        <v>0</v>
      </c>
      <c r="L7295" t="n">
        <v>0</v>
      </c>
      <c r="M7295" t="n">
        <v>0</v>
      </c>
      <c r="N7295" t="n">
        <v>0</v>
      </c>
      <c r="O7295" t="n">
        <v>0</v>
      </c>
      <c r="P7295" t="n">
        <v>0</v>
      </c>
      <c r="Q7295" t="n">
        <v>0</v>
      </c>
      <c r="R7295" s="2" t="inlineStr"/>
    </row>
    <row r="7296" ht="15" customHeight="1">
      <c r="A7296" t="inlineStr">
        <is>
          <t>A 27629-2025</t>
        </is>
      </c>
      <c r="B7296" s="1" t="n">
        <v>45813</v>
      </c>
      <c r="C7296" s="1" t="n">
        <v>45846</v>
      </c>
      <c r="D7296" t="inlineStr">
        <is>
          <t>UPPSALA LÄN</t>
        </is>
      </c>
      <c r="E7296" t="inlineStr">
        <is>
          <t>TIERP</t>
        </is>
      </c>
      <c r="F7296" t="inlineStr">
        <is>
          <t>Bergvik skog väst AB</t>
        </is>
      </c>
      <c r="G7296" t="n">
        <v>24.6</v>
      </c>
      <c r="H7296" t="n">
        <v>0</v>
      </c>
      <c r="I7296" t="n">
        <v>0</v>
      </c>
      <c r="J7296" t="n">
        <v>0</v>
      </c>
      <c r="K7296" t="n">
        <v>0</v>
      </c>
      <c r="L7296" t="n">
        <v>0</v>
      </c>
      <c r="M7296" t="n">
        <v>0</v>
      </c>
      <c r="N7296" t="n">
        <v>0</v>
      </c>
      <c r="O7296" t="n">
        <v>0</v>
      </c>
      <c r="P7296" t="n">
        <v>0</v>
      </c>
      <c r="Q7296" t="n">
        <v>0</v>
      </c>
      <c r="R7296" s="2" t="inlineStr"/>
    </row>
    <row r="7297" ht="15" customHeight="1">
      <c r="A7297" t="inlineStr">
        <is>
          <t>A 27476-2025</t>
        </is>
      </c>
      <c r="B7297" s="1" t="n">
        <v>45813</v>
      </c>
      <c r="C7297" s="1" t="n">
        <v>45846</v>
      </c>
      <c r="D7297" t="inlineStr">
        <is>
          <t>UPPSALA LÄN</t>
        </is>
      </c>
      <c r="E7297" t="inlineStr">
        <is>
          <t>ÖSTHAMMAR</t>
        </is>
      </c>
      <c r="F7297" t="inlineStr">
        <is>
          <t>Bergvik skog öst AB</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27706-2025</t>
        </is>
      </c>
      <c r="B7298" s="1" t="n">
        <v>45813</v>
      </c>
      <c r="C7298" s="1" t="n">
        <v>45846</v>
      </c>
      <c r="D7298" t="inlineStr">
        <is>
          <t>UPPSALA LÄN</t>
        </is>
      </c>
      <c r="E7298" t="inlineStr">
        <is>
          <t>UPPSALA</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27509-2025</t>
        </is>
      </c>
      <c r="B7299" s="1" t="n">
        <v>45813</v>
      </c>
      <c r="C7299" s="1" t="n">
        <v>45846</v>
      </c>
      <c r="D7299" t="inlineStr">
        <is>
          <t>UPPSALA LÄN</t>
        </is>
      </c>
      <c r="E7299" t="inlineStr">
        <is>
          <t>ÖSTHAMMAR</t>
        </is>
      </c>
      <c r="F7299" t="inlineStr">
        <is>
          <t>Bergvik skog öst AB</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27538-2025</t>
        </is>
      </c>
      <c r="B7300" s="1" t="n">
        <v>45813</v>
      </c>
      <c r="C7300" s="1" t="n">
        <v>45846</v>
      </c>
      <c r="D7300" t="inlineStr">
        <is>
          <t>UPPSALA LÄN</t>
        </is>
      </c>
      <c r="E7300" t="inlineStr">
        <is>
          <t>UPPSALA</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27494-2025</t>
        </is>
      </c>
      <c r="B7301" s="1" t="n">
        <v>45813</v>
      </c>
      <c r="C7301" s="1" t="n">
        <v>45846</v>
      </c>
      <c r="D7301" t="inlineStr">
        <is>
          <t>UPPSALA LÄN</t>
        </is>
      </c>
      <c r="E7301" t="inlineStr">
        <is>
          <t>ÖSTHAMMAR</t>
        </is>
      </c>
      <c r="F7301" t="inlineStr">
        <is>
          <t>Bergvik skog öst AB</t>
        </is>
      </c>
      <c r="G7301" t="n">
        <v>23.4</v>
      </c>
      <c r="H7301" t="n">
        <v>0</v>
      </c>
      <c r="I7301" t="n">
        <v>0</v>
      </c>
      <c r="J7301" t="n">
        <v>0</v>
      </c>
      <c r="K7301" t="n">
        <v>0</v>
      </c>
      <c r="L7301" t="n">
        <v>0</v>
      </c>
      <c r="M7301" t="n">
        <v>0</v>
      </c>
      <c r="N7301" t="n">
        <v>0</v>
      </c>
      <c r="O7301" t="n">
        <v>0</v>
      </c>
      <c r="P7301" t="n">
        <v>0</v>
      </c>
      <c r="Q7301" t="n">
        <v>0</v>
      </c>
      <c r="R7301" s="2" t="inlineStr"/>
    </row>
    <row r="7302" ht="15" customHeight="1">
      <c r="A7302" t="inlineStr">
        <is>
          <t>A 27486-2025</t>
        </is>
      </c>
      <c r="B7302" s="1" t="n">
        <v>45813</v>
      </c>
      <c r="C7302" s="1" t="n">
        <v>45846</v>
      </c>
      <c r="D7302" t="inlineStr">
        <is>
          <t>UPPSALA LÄN</t>
        </is>
      </c>
      <c r="E7302" t="inlineStr">
        <is>
          <t>ÖSTHAMMAR</t>
        </is>
      </c>
      <c r="F7302" t="inlineStr">
        <is>
          <t>Bergvik skog öst AB</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27490-2025</t>
        </is>
      </c>
      <c r="B7303" s="1" t="n">
        <v>45813</v>
      </c>
      <c r="C7303" s="1" t="n">
        <v>45846</v>
      </c>
      <c r="D7303" t="inlineStr">
        <is>
          <t>UPPSALA LÄN</t>
        </is>
      </c>
      <c r="E7303" t="inlineStr">
        <is>
          <t>ÖSTHAMMAR</t>
        </is>
      </c>
      <c r="F7303" t="inlineStr">
        <is>
          <t>Bergvik skog öst AB</t>
        </is>
      </c>
      <c r="G7303" t="n">
        <v>6.1</v>
      </c>
      <c r="H7303" t="n">
        <v>0</v>
      </c>
      <c r="I7303" t="n">
        <v>0</v>
      </c>
      <c r="J7303" t="n">
        <v>0</v>
      </c>
      <c r="K7303" t="n">
        <v>0</v>
      </c>
      <c r="L7303" t="n">
        <v>0</v>
      </c>
      <c r="M7303" t="n">
        <v>0</v>
      </c>
      <c r="N7303" t="n">
        <v>0</v>
      </c>
      <c r="O7303" t="n">
        <v>0</v>
      </c>
      <c r="P7303" t="n">
        <v>0</v>
      </c>
      <c r="Q7303" t="n">
        <v>0</v>
      </c>
      <c r="R7303" s="2" t="inlineStr"/>
    </row>
    <row r="7304" ht="15" customHeight="1">
      <c r="A7304" t="inlineStr">
        <is>
          <t>A 27676-2025</t>
        </is>
      </c>
      <c r="B7304" s="1" t="n">
        <v>45813</v>
      </c>
      <c r="C7304" s="1" t="n">
        <v>45846</v>
      </c>
      <c r="D7304" t="inlineStr">
        <is>
          <t>UPPSALA LÄN</t>
        </is>
      </c>
      <c r="E7304" t="inlineStr">
        <is>
          <t>ÖSTHAMMAR</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27917-2025</t>
        </is>
      </c>
      <c r="B7305" s="1" t="n">
        <v>45814</v>
      </c>
      <c r="C7305" s="1" t="n">
        <v>45846</v>
      </c>
      <c r="D7305" t="inlineStr">
        <is>
          <t>UPPSALA LÄN</t>
        </is>
      </c>
      <c r="E7305" t="inlineStr">
        <is>
          <t>UPPSALA</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27742-2025</t>
        </is>
      </c>
      <c r="B7306" s="1" t="n">
        <v>45815</v>
      </c>
      <c r="C7306" s="1" t="n">
        <v>45846</v>
      </c>
      <c r="D7306" t="inlineStr">
        <is>
          <t>UPPSALA LÄN</t>
        </is>
      </c>
      <c r="E7306" t="inlineStr">
        <is>
          <t>ÄLVKARLEBY</t>
        </is>
      </c>
      <c r="F7306" t="inlineStr">
        <is>
          <t>Bergvik skog väst AB</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27741-2025</t>
        </is>
      </c>
      <c r="B7307" s="1" t="n">
        <v>45815</v>
      </c>
      <c r="C7307" s="1" t="n">
        <v>45846</v>
      </c>
      <c r="D7307" t="inlineStr">
        <is>
          <t>UPPSALA LÄN</t>
        </is>
      </c>
      <c r="E7307" t="inlineStr">
        <is>
          <t>ÄLVKARLEBY</t>
        </is>
      </c>
      <c r="F7307" t="inlineStr">
        <is>
          <t>Bergvik skog väst AB</t>
        </is>
      </c>
      <c r="G7307" t="n">
        <v>4.4</v>
      </c>
      <c r="H7307" t="n">
        <v>0</v>
      </c>
      <c r="I7307" t="n">
        <v>0</v>
      </c>
      <c r="J7307" t="n">
        <v>0</v>
      </c>
      <c r="K7307" t="n">
        <v>0</v>
      </c>
      <c r="L7307" t="n">
        <v>0</v>
      </c>
      <c r="M7307" t="n">
        <v>0</v>
      </c>
      <c r="N7307" t="n">
        <v>0</v>
      </c>
      <c r="O7307" t="n">
        <v>0</v>
      </c>
      <c r="P7307" t="n">
        <v>0</v>
      </c>
      <c r="Q7307" t="n">
        <v>0</v>
      </c>
      <c r="R7307" s="2" t="inlineStr"/>
    </row>
    <row r="7308" ht="15" customHeight="1">
      <c r="A7308" t="inlineStr">
        <is>
          <t>A 27743-2025</t>
        </is>
      </c>
      <c r="B7308" s="1" t="n">
        <v>45815</v>
      </c>
      <c r="C7308" s="1" t="n">
        <v>45846</v>
      </c>
      <c r="D7308" t="inlineStr">
        <is>
          <t>UPPSALA LÄN</t>
        </is>
      </c>
      <c r="E7308" t="inlineStr">
        <is>
          <t>ÄLVKARLEBY</t>
        </is>
      </c>
      <c r="F7308" t="inlineStr">
        <is>
          <t>Bergvik skog väst AB</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27919-2025</t>
        </is>
      </c>
      <c r="B7309" s="1" t="n">
        <v>45817</v>
      </c>
      <c r="C7309" s="1" t="n">
        <v>45846</v>
      </c>
      <c r="D7309" t="inlineStr">
        <is>
          <t>UPPSALA LÄN</t>
        </is>
      </c>
      <c r="E7309" t="inlineStr">
        <is>
          <t>ÖSTHAMMAR</t>
        </is>
      </c>
      <c r="F7309" t="inlineStr">
        <is>
          <t>Bergvik skog öst AB</t>
        </is>
      </c>
      <c r="G7309" t="n">
        <v>3.5</v>
      </c>
      <c r="H7309" t="n">
        <v>0</v>
      </c>
      <c r="I7309" t="n">
        <v>0</v>
      </c>
      <c r="J7309" t="n">
        <v>0</v>
      </c>
      <c r="K7309" t="n">
        <v>0</v>
      </c>
      <c r="L7309" t="n">
        <v>0</v>
      </c>
      <c r="M7309" t="n">
        <v>0</v>
      </c>
      <c r="N7309" t="n">
        <v>0</v>
      </c>
      <c r="O7309" t="n">
        <v>0</v>
      </c>
      <c r="P7309" t="n">
        <v>0</v>
      </c>
      <c r="Q7309" t="n">
        <v>0</v>
      </c>
      <c r="R7309" s="2" t="inlineStr"/>
    </row>
    <row r="7310" ht="15" customHeight="1">
      <c r="A7310" t="inlineStr">
        <is>
          <t>A 27829-2025</t>
        </is>
      </c>
      <c r="B7310" s="1" t="n">
        <v>45817</v>
      </c>
      <c r="C7310" s="1" t="n">
        <v>45846</v>
      </c>
      <c r="D7310" t="inlineStr">
        <is>
          <t>UPPSALA LÄN</t>
        </is>
      </c>
      <c r="E7310" t="inlineStr">
        <is>
          <t>ENKÖPING</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27812-2025</t>
        </is>
      </c>
      <c r="B7311" s="1" t="n">
        <v>45817</v>
      </c>
      <c r="C7311" s="1" t="n">
        <v>45846</v>
      </c>
      <c r="D7311" t="inlineStr">
        <is>
          <t>UPPSALA LÄN</t>
        </is>
      </c>
      <c r="E7311" t="inlineStr">
        <is>
          <t>ÖSTHAMMAR</t>
        </is>
      </c>
      <c r="F7311" t="inlineStr">
        <is>
          <t>Bergvik skog öst AB</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27920-2025</t>
        </is>
      </c>
      <c r="B7312" s="1" t="n">
        <v>45817</v>
      </c>
      <c r="C7312" s="1" t="n">
        <v>45846</v>
      </c>
      <c r="D7312" t="inlineStr">
        <is>
          <t>UPPSALA LÄN</t>
        </is>
      </c>
      <c r="E7312" t="inlineStr">
        <is>
          <t>ÖSTHAMMAR</t>
        </is>
      </c>
      <c r="F7312" t="inlineStr">
        <is>
          <t>Bergvik skog öst AB</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28100-2025</t>
        </is>
      </c>
      <c r="B7313" s="1" t="n">
        <v>45817</v>
      </c>
      <c r="C7313" s="1" t="n">
        <v>45846</v>
      </c>
      <c r="D7313" t="inlineStr">
        <is>
          <t>UPPSALA LÄN</t>
        </is>
      </c>
      <c r="E7313" t="inlineStr">
        <is>
          <t>ÖSTHAMMAR</t>
        </is>
      </c>
      <c r="F7313" t="inlineStr">
        <is>
          <t>Bergvik skog öst AB</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27837-2025</t>
        </is>
      </c>
      <c r="B7314" s="1" t="n">
        <v>45817</v>
      </c>
      <c r="C7314" s="1" t="n">
        <v>45846</v>
      </c>
      <c r="D7314" t="inlineStr">
        <is>
          <t>UPPSALA LÄN</t>
        </is>
      </c>
      <c r="E7314" t="inlineStr">
        <is>
          <t>ENKÖPING</t>
        </is>
      </c>
      <c r="G7314" t="n">
        <v>7.3</v>
      </c>
      <c r="H7314" t="n">
        <v>0</v>
      </c>
      <c r="I7314" t="n">
        <v>0</v>
      </c>
      <c r="J7314" t="n">
        <v>0</v>
      </c>
      <c r="K7314" t="n">
        <v>0</v>
      </c>
      <c r="L7314" t="n">
        <v>0</v>
      </c>
      <c r="M7314" t="n">
        <v>0</v>
      </c>
      <c r="N7314" t="n">
        <v>0</v>
      </c>
      <c r="O7314" t="n">
        <v>0</v>
      </c>
      <c r="P7314" t="n">
        <v>0</v>
      </c>
      <c r="Q7314" t="n">
        <v>0</v>
      </c>
      <c r="R7314" s="2" t="inlineStr"/>
    </row>
    <row r="7315" ht="15" customHeight="1">
      <c r="A7315" t="inlineStr">
        <is>
          <t>A 27842-2025</t>
        </is>
      </c>
      <c r="B7315" s="1" t="n">
        <v>45817</v>
      </c>
      <c r="C7315" s="1" t="n">
        <v>45846</v>
      </c>
      <c r="D7315" t="inlineStr">
        <is>
          <t>UPPSALA LÄN</t>
        </is>
      </c>
      <c r="E7315" t="inlineStr">
        <is>
          <t>HEBY</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28101-2025</t>
        </is>
      </c>
      <c r="B7316" s="1" t="n">
        <v>45817</v>
      </c>
      <c r="C7316" s="1" t="n">
        <v>45846</v>
      </c>
      <c r="D7316" t="inlineStr">
        <is>
          <t>UPPSALA LÄN</t>
        </is>
      </c>
      <c r="E7316" t="inlineStr">
        <is>
          <t>ÖSTHAMMAR</t>
        </is>
      </c>
      <c r="F7316" t="inlineStr">
        <is>
          <t>Bergvik skog öst AB</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27836-2025</t>
        </is>
      </c>
      <c r="B7317" s="1" t="n">
        <v>45817</v>
      </c>
      <c r="C7317" s="1" t="n">
        <v>45846</v>
      </c>
      <c r="D7317" t="inlineStr">
        <is>
          <t>UPPSALA LÄN</t>
        </is>
      </c>
      <c r="E7317" t="inlineStr">
        <is>
          <t>HEBY</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28099-2025</t>
        </is>
      </c>
      <c r="B7318" s="1" t="n">
        <v>45817</v>
      </c>
      <c r="C7318" s="1" t="n">
        <v>45846</v>
      </c>
      <c r="D7318" t="inlineStr">
        <is>
          <t>UPPSALA LÄN</t>
        </is>
      </c>
      <c r="E7318" t="inlineStr">
        <is>
          <t>ÖSTHAMMAR</t>
        </is>
      </c>
      <c r="F7318" t="inlineStr">
        <is>
          <t>Bergvik skog öst AB</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27922-2025</t>
        </is>
      </c>
      <c r="B7319" s="1" t="n">
        <v>45817</v>
      </c>
      <c r="C7319" s="1" t="n">
        <v>45846</v>
      </c>
      <c r="D7319" t="inlineStr">
        <is>
          <t>UPPSALA LÄN</t>
        </is>
      </c>
      <c r="E7319" t="inlineStr">
        <is>
          <t>UPPSALA</t>
        </is>
      </c>
      <c r="F7319" t="inlineStr">
        <is>
          <t>Övriga Aktiebolag</t>
        </is>
      </c>
      <c r="G7319" t="n">
        <v>0.1</v>
      </c>
      <c r="H7319" t="n">
        <v>0</v>
      </c>
      <c r="I7319" t="n">
        <v>0</v>
      </c>
      <c r="J7319" t="n">
        <v>0</v>
      </c>
      <c r="K7319" t="n">
        <v>0</v>
      </c>
      <c r="L7319" t="n">
        <v>0</v>
      </c>
      <c r="M7319" t="n">
        <v>0</v>
      </c>
      <c r="N7319" t="n">
        <v>0</v>
      </c>
      <c r="O7319" t="n">
        <v>0</v>
      </c>
      <c r="P7319" t="n">
        <v>0</v>
      </c>
      <c r="Q7319" t="n">
        <v>0</v>
      </c>
      <c r="R7319" s="2" t="inlineStr"/>
    </row>
    <row r="7320" ht="15" customHeight="1">
      <c r="A7320" t="inlineStr">
        <is>
          <t>A 28121-2025</t>
        </is>
      </c>
      <c r="B7320" s="1" t="n">
        <v>45817</v>
      </c>
      <c r="C7320" s="1" t="n">
        <v>45846</v>
      </c>
      <c r="D7320" t="inlineStr">
        <is>
          <t>UPPSALA LÄN</t>
        </is>
      </c>
      <c r="E7320" t="inlineStr">
        <is>
          <t>UPPSALA</t>
        </is>
      </c>
      <c r="G7320" t="n">
        <v>5.6</v>
      </c>
      <c r="H7320" t="n">
        <v>0</v>
      </c>
      <c r="I7320" t="n">
        <v>0</v>
      </c>
      <c r="J7320" t="n">
        <v>0</v>
      </c>
      <c r="K7320" t="n">
        <v>0</v>
      </c>
      <c r="L7320" t="n">
        <v>0</v>
      </c>
      <c r="M7320" t="n">
        <v>0</v>
      </c>
      <c r="N7320" t="n">
        <v>0</v>
      </c>
      <c r="O7320" t="n">
        <v>0</v>
      </c>
      <c r="P7320" t="n">
        <v>0</v>
      </c>
      <c r="Q7320" t="n">
        <v>0</v>
      </c>
      <c r="R7320" s="2" t="inlineStr"/>
    </row>
    <row r="7321" ht="15" customHeight="1">
      <c r="A7321" t="inlineStr">
        <is>
          <t>A 27853-2025</t>
        </is>
      </c>
      <c r="B7321" s="1" t="n">
        <v>45817</v>
      </c>
      <c r="C7321" s="1" t="n">
        <v>45846</v>
      </c>
      <c r="D7321" t="inlineStr">
        <is>
          <t>UPPSALA LÄN</t>
        </is>
      </c>
      <c r="E7321" t="inlineStr">
        <is>
          <t>ÖSTHAMMAR</t>
        </is>
      </c>
      <c r="F7321" t="inlineStr">
        <is>
          <t>Bergvik skog öst AB</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28189-2025</t>
        </is>
      </c>
      <c r="B7322" s="1" t="n">
        <v>45818</v>
      </c>
      <c r="C7322" s="1" t="n">
        <v>45846</v>
      </c>
      <c r="D7322" t="inlineStr">
        <is>
          <t>UPPSALA LÄN</t>
        </is>
      </c>
      <c r="E7322" t="inlineStr">
        <is>
          <t>KNIVSTA</t>
        </is>
      </c>
      <c r="G7322" t="n">
        <v>7.6</v>
      </c>
      <c r="H7322" t="n">
        <v>0</v>
      </c>
      <c r="I7322" t="n">
        <v>0</v>
      </c>
      <c r="J7322" t="n">
        <v>0</v>
      </c>
      <c r="K7322" t="n">
        <v>0</v>
      </c>
      <c r="L7322" t="n">
        <v>0</v>
      </c>
      <c r="M7322" t="n">
        <v>0</v>
      </c>
      <c r="N7322" t="n">
        <v>0</v>
      </c>
      <c r="O7322" t="n">
        <v>0</v>
      </c>
      <c r="P7322" t="n">
        <v>0</v>
      </c>
      <c r="Q7322" t="n">
        <v>0</v>
      </c>
      <c r="R7322" s="2" t="inlineStr"/>
    </row>
    <row r="7323" ht="15" customHeight="1">
      <c r="A7323" t="inlineStr">
        <is>
          <t>A 28252-2025</t>
        </is>
      </c>
      <c r="B7323" s="1" t="n">
        <v>45818</v>
      </c>
      <c r="C7323" s="1" t="n">
        <v>45846</v>
      </c>
      <c r="D7323" t="inlineStr">
        <is>
          <t>UPPSALA LÄN</t>
        </is>
      </c>
      <c r="E7323" t="inlineStr">
        <is>
          <t>TIERP</t>
        </is>
      </c>
      <c r="F7323" t="inlineStr">
        <is>
          <t>Bergvik skog öst AB</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28223-2025</t>
        </is>
      </c>
      <c r="B7324" s="1" t="n">
        <v>45818</v>
      </c>
      <c r="C7324" s="1" t="n">
        <v>45846</v>
      </c>
      <c r="D7324" t="inlineStr">
        <is>
          <t>UPPSALA LÄN</t>
        </is>
      </c>
      <c r="E7324" t="inlineStr">
        <is>
          <t>TIERP</t>
        </is>
      </c>
      <c r="F7324" t="inlineStr">
        <is>
          <t>Bergvik skog öst AB</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28296-2025</t>
        </is>
      </c>
      <c r="B7325" s="1" t="n">
        <v>45818</v>
      </c>
      <c r="C7325" s="1" t="n">
        <v>45846</v>
      </c>
      <c r="D7325" t="inlineStr">
        <is>
          <t>UPPSALA LÄN</t>
        </is>
      </c>
      <c r="E7325" t="inlineStr">
        <is>
          <t>HEBY</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28275-2025</t>
        </is>
      </c>
      <c r="B7326" s="1" t="n">
        <v>45818</v>
      </c>
      <c r="C7326" s="1" t="n">
        <v>45846</v>
      </c>
      <c r="D7326" t="inlineStr">
        <is>
          <t>UPPSALA LÄN</t>
        </is>
      </c>
      <c r="E7326" t="inlineStr">
        <is>
          <t>UPPSALA</t>
        </is>
      </c>
      <c r="F7326" t="inlineStr">
        <is>
          <t>Holmen skog AB</t>
        </is>
      </c>
      <c r="G7326" t="n">
        <v>6.5</v>
      </c>
      <c r="H7326" t="n">
        <v>0</v>
      </c>
      <c r="I7326" t="n">
        <v>0</v>
      </c>
      <c r="J7326" t="n">
        <v>0</v>
      </c>
      <c r="K7326" t="n">
        <v>0</v>
      </c>
      <c r="L7326" t="n">
        <v>0</v>
      </c>
      <c r="M7326" t="n">
        <v>0</v>
      </c>
      <c r="N7326" t="n">
        <v>0</v>
      </c>
      <c r="O7326" t="n">
        <v>0</v>
      </c>
      <c r="P7326" t="n">
        <v>0</v>
      </c>
      <c r="Q7326" t="n">
        <v>0</v>
      </c>
      <c r="R7326" s="2" t="inlineStr"/>
    </row>
    <row r="7327" ht="15" customHeight="1">
      <c r="A7327" t="inlineStr">
        <is>
          <t>A 28288-2025</t>
        </is>
      </c>
      <c r="B7327" s="1" t="n">
        <v>45818</v>
      </c>
      <c r="C7327" s="1" t="n">
        <v>45846</v>
      </c>
      <c r="D7327" t="inlineStr">
        <is>
          <t>UPPSALA LÄN</t>
        </is>
      </c>
      <c r="E7327" t="inlineStr">
        <is>
          <t>HEBY</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28303-2025</t>
        </is>
      </c>
      <c r="B7328" s="1" t="n">
        <v>45818</v>
      </c>
      <c r="C7328" s="1" t="n">
        <v>45846</v>
      </c>
      <c r="D7328" t="inlineStr">
        <is>
          <t>UPPSALA LÄN</t>
        </is>
      </c>
      <c r="E7328" t="inlineStr">
        <is>
          <t>HEBY</t>
        </is>
      </c>
      <c r="G7328" t="n">
        <v>5.4</v>
      </c>
      <c r="H7328" t="n">
        <v>0</v>
      </c>
      <c r="I7328" t="n">
        <v>0</v>
      </c>
      <c r="J7328" t="n">
        <v>0</v>
      </c>
      <c r="K7328" t="n">
        <v>0</v>
      </c>
      <c r="L7328" t="n">
        <v>0</v>
      </c>
      <c r="M7328" t="n">
        <v>0</v>
      </c>
      <c r="N7328" t="n">
        <v>0</v>
      </c>
      <c r="O7328" t="n">
        <v>0</v>
      </c>
      <c r="P7328" t="n">
        <v>0</v>
      </c>
      <c r="Q7328" t="n">
        <v>0</v>
      </c>
      <c r="R7328" s="2" t="inlineStr"/>
    </row>
    <row r="7329" ht="15" customHeight="1">
      <c r="A7329" t="inlineStr">
        <is>
          <t>A 28285-2025</t>
        </is>
      </c>
      <c r="B7329" s="1" t="n">
        <v>45818</v>
      </c>
      <c r="C7329" s="1" t="n">
        <v>45846</v>
      </c>
      <c r="D7329" t="inlineStr">
        <is>
          <t>UPPSALA LÄN</t>
        </is>
      </c>
      <c r="E7329" t="inlineStr">
        <is>
          <t>TIERP</t>
        </is>
      </c>
      <c r="F7329" t="inlineStr">
        <is>
          <t>Bergvik skog öst AB</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28561-2025</t>
        </is>
      </c>
      <c r="B7330" s="1" t="n">
        <v>45818</v>
      </c>
      <c r="C7330" s="1" t="n">
        <v>45846</v>
      </c>
      <c r="D7330" t="inlineStr">
        <is>
          <t>UPPSALA LÄN</t>
        </is>
      </c>
      <c r="E7330" t="inlineStr">
        <is>
          <t>HEBY</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28558-2025</t>
        </is>
      </c>
      <c r="B7331" s="1" t="n">
        <v>45818</v>
      </c>
      <c r="C7331" s="1" t="n">
        <v>45846</v>
      </c>
      <c r="D7331" t="inlineStr">
        <is>
          <t>UPPSALA LÄN</t>
        </is>
      </c>
      <c r="E7331" t="inlineStr">
        <is>
          <t>HEBY</t>
        </is>
      </c>
      <c r="F7331" t="inlineStr">
        <is>
          <t>Kyrkan</t>
        </is>
      </c>
      <c r="G7331" t="n">
        <v>0.3</v>
      </c>
      <c r="H7331" t="n">
        <v>0</v>
      </c>
      <c r="I7331" t="n">
        <v>0</v>
      </c>
      <c r="J7331" t="n">
        <v>0</v>
      </c>
      <c r="K7331" t="n">
        <v>0</v>
      </c>
      <c r="L7331" t="n">
        <v>0</v>
      </c>
      <c r="M7331" t="n">
        <v>0</v>
      </c>
      <c r="N7331" t="n">
        <v>0</v>
      </c>
      <c r="O7331" t="n">
        <v>0</v>
      </c>
      <c r="P7331" t="n">
        <v>0</v>
      </c>
      <c r="Q7331" t="n">
        <v>0</v>
      </c>
      <c r="R7331" s="2" t="inlineStr"/>
    </row>
    <row r="7332" ht="15" customHeight="1">
      <c r="A7332" t="inlineStr">
        <is>
          <t>A 28442-2025</t>
        </is>
      </c>
      <c r="B7332" s="1" t="n">
        <v>45819</v>
      </c>
      <c r="C7332" s="1" t="n">
        <v>45846</v>
      </c>
      <c r="D7332" t="inlineStr">
        <is>
          <t>UPPSALA LÄN</t>
        </is>
      </c>
      <c r="E7332" t="inlineStr">
        <is>
          <t>ÖSTHAMMAR</t>
        </is>
      </c>
      <c r="F7332" t="inlineStr">
        <is>
          <t>Övriga Aktiebolag</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28668-2025</t>
        </is>
      </c>
      <c r="B7333" s="1" t="n">
        <v>45819</v>
      </c>
      <c r="C7333" s="1" t="n">
        <v>45846</v>
      </c>
      <c r="D7333" t="inlineStr">
        <is>
          <t>UPPSALA LÄN</t>
        </is>
      </c>
      <c r="E7333" t="inlineStr">
        <is>
          <t>ÄLVKARLEBY</t>
        </is>
      </c>
      <c r="F7333" t="inlineStr">
        <is>
          <t>Bergvik skog väst AB</t>
        </is>
      </c>
      <c r="G7333" t="n">
        <v>8.300000000000001</v>
      </c>
      <c r="H7333" t="n">
        <v>0</v>
      </c>
      <c r="I7333" t="n">
        <v>0</v>
      </c>
      <c r="J7333" t="n">
        <v>0</v>
      </c>
      <c r="K7333" t="n">
        <v>0</v>
      </c>
      <c r="L7333" t="n">
        <v>0</v>
      </c>
      <c r="M7333" t="n">
        <v>0</v>
      </c>
      <c r="N7333" t="n">
        <v>0</v>
      </c>
      <c r="O7333" t="n">
        <v>0</v>
      </c>
      <c r="P7333" t="n">
        <v>0</v>
      </c>
      <c r="Q7333" t="n">
        <v>0</v>
      </c>
      <c r="R7333" s="2" t="inlineStr"/>
    </row>
    <row r="7334" ht="15" customHeight="1">
      <c r="A7334" t="inlineStr">
        <is>
          <t>A 28670-2025</t>
        </is>
      </c>
      <c r="B7334" s="1" t="n">
        <v>45819</v>
      </c>
      <c r="C7334" s="1" t="n">
        <v>45846</v>
      </c>
      <c r="D7334" t="inlineStr">
        <is>
          <t>UPPSALA LÄN</t>
        </is>
      </c>
      <c r="E7334" t="inlineStr">
        <is>
          <t>ÄLVKARLEBY</t>
        </is>
      </c>
      <c r="F7334" t="inlineStr">
        <is>
          <t>Bergvik skog väst AB</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28876-2025</t>
        </is>
      </c>
      <c r="B7335" s="1" t="n">
        <v>45820</v>
      </c>
      <c r="C7335" s="1" t="n">
        <v>45846</v>
      </c>
      <c r="D7335" t="inlineStr">
        <is>
          <t>UPPSALA LÄN</t>
        </is>
      </c>
      <c r="E7335" t="inlineStr">
        <is>
          <t>UPPSALA</t>
        </is>
      </c>
      <c r="G7335" t="n">
        <v>4</v>
      </c>
      <c r="H7335" t="n">
        <v>0</v>
      </c>
      <c r="I7335" t="n">
        <v>0</v>
      </c>
      <c r="J7335" t="n">
        <v>0</v>
      </c>
      <c r="K7335" t="n">
        <v>0</v>
      </c>
      <c r="L7335" t="n">
        <v>0</v>
      </c>
      <c r="M7335" t="n">
        <v>0</v>
      </c>
      <c r="N7335" t="n">
        <v>0</v>
      </c>
      <c r="O7335" t="n">
        <v>0</v>
      </c>
      <c r="P7335" t="n">
        <v>0</v>
      </c>
      <c r="Q7335" t="n">
        <v>0</v>
      </c>
      <c r="R7335" s="2" t="inlineStr"/>
    </row>
    <row r="7336" ht="15" customHeight="1">
      <c r="A7336" t="inlineStr">
        <is>
          <t>A 28871-2025</t>
        </is>
      </c>
      <c r="B7336" s="1" t="n">
        <v>45820</v>
      </c>
      <c r="C7336" s="1" t="n">
        <v>45846</v>
      </c>
      <c r="D7336" t="inlineStr">
        <is>
          <t>UPPSALA LÄN</t>
        </is>
      </c>
      <c r="E7336" t="inlineStr">
        <is>
          <t>UPPSALA</t>
        </is>
      </c>
      <c r="G7336" t="n">
        <v>6.5</v>
      </c>
      <c r="H7336" t="n">
        <v>0</v>
      </c>
      <c r="I7336" t="n">
        <v>0</v>
      </c>
      <c r="J7336" t="n">
        <v>0</v>
      </c>
      <c r="K7336" t="n">
        <v>0</v>
      </c>
      <c r="L7336" t="n">
        <v>0</v>
      </c>
      <c r="M7336" t="n">
        <v>0</v>
      </c>
      <c r="N7336" t="n">
        <v>0</v>
      </c>
      <c r="O7336" t="n">
        <v>0</v>
      </c>
      <c r="P7336" t="n">
        <v>0</v>
      </c>
      <c r="Q7336" t="n">
        <v>0</v>
      </c>
      <c r="R7336" s="2" t="inlineStr"/>
    </row>
    <row r="7337" ht="15" customHeight="1">
      <c r="A7337" t="inlineStr">
        <is>
          <t>A 28878-2025</t>
        </is>
      </c>
      <c r="B7337" s="1" t="n">
        <v>45820</v>
      </c>
      <c r="C7337" s="1" t="n">
        <v>45846</v>
      </c>
      <c r="D7337" t="inlineStr">
        <is>
          <t>UPPSALA LÄN</t>
        </is>
      </c>
      <c r="E7337" t="inlineStr">
        <is>
          <t>UPPSALA</t>
        </is>
      </c>
      <c r="G7337" t="n">
        <v>5.5</v>
      </c>
      <c r="H7337" t="n">
        <v>0</v>
      </c>
      <c r="I7337" t="n">
        <v>0</v>
      </c>
      <c r="J7337" t="n">
        <v>0</v>
      </c>
      <c r="K7337" t="n">
        <v>0</v>
      </c>
      <c r="L7337" t="n">
        <v>0</v>
      </c>
      <c r="M7337" t="n">
        <v>0</v>
      </c>
      <c r="N7337" t="n">
        <v>0</v>
      </c>
      <c r="O7337" t="n">
        <v>0</v>
      </c>
      <c r="P7337" t="n">
        <v>0</v>
      </c>
      <c r="Q7337" t="n">
        <v>0</v>
      </c>
      <c r="R7337" s="2" t="inlineStr"/>
    </row>
    <row r="7338" ht="15" customHeight="1">
      <c r="A7338" t="inlineStr">
        <is>
          <t>A 28855-2025</t>
        </is>
      </c>
      <c r="B7338" s="1" t="n">
        <v>45820</v>
      </c>
      <c r="C7338" s="1" t="n">
        <v>45846</v>
      </c>
      <c r="D7338" t="inlineStr">
        <is>
          <t>UPPSALA LÄN</t>
        </is>
      </c>
      <c r="E7338" t="inlineStr">
        <is>
          <t>ENKÖPING</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28812-2025</t>
        </is>
      </c>
      <c r="B7339" s="1" t="n">
        <v>45820</v>
      </c>
      <c r="C7339" s="1" t="n">
        <v>45846</v>
      </c>
      <c r="D7339" t="inlineStr">
        <is>
          <t>UPPSALA LÄN</t>
        </is>
      </c>
      <c r="E7339" t="inlineStr">
        <is>
          <t>HEBY</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28745-2025</t>
        </is>
      </c>
      <c r="B7340" s="1" t="n">
        <v>45820</v>
      </c>
      <c r="C7340" s="1" t="n">
        <v>45846</v>
      </c>
      <c r="D7340" t="inlineStr">
        <is>
          <t>UPPSALA LÄN</t>
        </is>
      </c>
      <c r="E7340" t="inlineStr">
        <is>
          <t>ÖSTHAMMAR</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28748-2025</t>
        </is>
      </c>
      <c r="B7341" s="1" t="n">
        <v>45820</v>
      </c>
      <c r="C7341" s="1" t="n">
        <v>45846</v>
      </c>
      <c r="D7341" t="inlineStr">
        <is>
          <t>UPPSALA LÄN</t>
        </is>
      </c>
      <c r="E7341" t="inlineStr">
        <is>
          <t>ÖSTHAMMAR</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28758-2025</t>
        </is>
      </c>
      <c r="B7342" s="1" t="n">
        <v>45820</v>
      </c>
      <c r="C7342" s="1" t="n">
        <v>45846</v>
      </c>
      <c r="D7342" t="inlineStr">
        <is>
          <t>UPPSALA LÄN</t>
        </is>
      </c>
      <c r="E7342" t="inlineStr">
        <is>
          <t>ENKÖPING</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28862-2025</t>
        </is>
      </c>
      <c r="B7343" s="1" t="n">
        <v>45820</v>
      </c>
      <c r="C7343" s="1" t="n">
        <v>45846</v>
      </c>
      <c r="D7343" t="inlineStr">
        <is>
          <t>UPPSALA LÄN</t>
        </is>
      </c>
      <c r="E7343" t="inlineStr">
        <is>
          <t>ENKÖPING</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29093-2025</t>
        </is>
      </c>
      <c r="B7344" s="1" t="n">
        <v>45821</v>
      </c>
      <c r="C7344" s="1" t="n">
        <v>45846</v>
      </c>
      <c r="D7344" t="inlineStr">
        <is>
          <t>UPPSALA LÄN</t>
        </is>
      </c>
      <c r="E7344" t="inlineStr">
        <is>
          <t>ENKÖPING</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29133-2025</t>
        </is>
      </c>
      <c r="B7345" s="1" t="n">
        <v>45821</v>
      </c>
      <c r="C7345" s="1" t="n">
        <v>45846</v>
      </c>
      <c r="D7345" t="inlineStr">
        <is>
          <t>UPPSALA LÄN</t>
        </is>
      </c>
      <c r="E7345" t="inlineStr">
        <is>
          <t>TIERP</t>
        </is>
      </c>
      <c r="F7345" t="inlineStr">
        <is>
          <t>Bergvik skog öst AB</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29031-2025</t>
        </is>
      </c>
      <c r="B7346" s="1" t="n">
        <v>45821</v>
      </c>
      <c r="C7346" s="1" t="n">
        <v>45846</v>
      </c>
      <c r="D7346" t="inlineStr">
        <is>
          <t>UPPSALA LÄN</t>
        </is>
      </c>
      <c r="E7346" t="inlineStr">
        <is>
          <t>ÖSTHAMMAR</t>
        </is>
      </c>
      <c r="F7346" t="inlineStr">
        <is>
          <t>Bergvik skog öst AB</t>
        </is>
      </c>
      <c r="G7346" t="n">
        <v>8.800000000000001</v>
      </c>
      <c r="H7346" t="n">
        <v>0</v>
      </c>
      <c r="I7346" t="n">
        <v>0</v>
      </c>
      <c r="J7346" t="n">
        <v>0</v>
      </c>
      <c r="K7346" t="n">
        <v>0</v>
      </c>
      <c r="L7346" t="n">
        <v>0</v>
      </c>
      <c r="M7346" t="n">
        <v>0</v>
      </c>
      <c r="N7346" t="n">
        <v>0</v>
      </c>
      <c r="O7346" t="n">
        <v>0</v>
      </c>
      <c r="P7346" t="n">
        <v>0</v>
      </c>
      <c r="Q7346" t="n">
        <v>0</v>
      </c>
      <c r="R7346" s="2" t="inlineStr"/>
    </row>
    <row r="7347" ht="15" customHeight="1">
      <c r="A7347" t="inlineStr">
        <is>
          <t>A 29056-2025</t>
        </is>
      </c>
      <c r="B7347" s="1" t="n">
        <v>45821</v>
      </c>
      <c r="C7347" s="1" t="n">
        <v>45846</v>
      </c>
      <c r="D7347" t="inlineStr">
        <is>
          <t>UPPSALA LÄN</t>
        </is>
      </c>
      <c r="E7347" t="inlineStr">
        <is>
          <t>TIERP</t>
        </is>
      </c>
      <c r="F7347" t="inlineStr">
        <is>
          <t>Bergvik skog öst AB</t>
        </is>
      </c>
      <c r="G7347" t="n">
        <v>8.9</v>
      </c>
      <c r="H7347" t="n">
        <v>0</v>
      </c>
      <c r="I7347" t="n">
        <v>0</v>
      </c>
      <c r="J7347" t="n">
        <v>0</v>
      </c>
      <c r="K7347" t="n">
        <v>0</v>
      </c>
      <c r="L7347" t="n">
        <v>0</v>
      </c>
      <c r="M7347" t="n">
        <v>0</v>
      </c>
      <c r="N7347" t="n">
        <v>0</v>
      </c>
      <c r="O7347" t="n">
        <v>0</v>
      </c>
      <c r="P7347" t="n">
        <v>0</v>
      </c>
      <c r="Q7347" t="n">
        <v>0</v>
      </c>
      <c r="R7347" s="2" t="inlineStr"/>
    </row>
    <row r="7348" ht="15" customHeight="1">
      <c r="A7348" t="inlineStr">
        <is>
          <t>A 29029-2025</t>
        </is>
      </c>
      <c r="B7348" s="1" t="n">
        <v>45821</v>
      </c>
      <c r="C7348" s="1" t="n">
        <v>45846</v>
      </c>
      <c r="D7348" t="inlineStr">
        <is>
          <t>UPPSALA LÄN</t>
        </is>
      </c>
      <c r="E7348" t="inlineStr">
        <is>
          <t>ÖSTHAMMAR</t>
        </is>
      </c>
      <c r="F7348" t="inlineStr">
        <is>
          <t>Bergvik skog öst AB</t>
        </is>
      </c>
      <c r="G7348" t="n">
        <v>4.2</v>
      </c>
      <c r="H7348" t="n">
        <v>0</v>
      </c>
      <c r="I7348" t="n">
        <v>0</v>
      </c>
      <c r="J7348" t="n">
        <v>0</v>
      </c>
      <c r="K7348" t="n">
        <v>0</v>
      </c>
      <c r="L7348" t="n">
        <v>0</v>
      </c>
      <c r="M7348" t="n">
        <v>0</v>
      </c>
      <c r="N7348" t="n">
        <v>0</v>
      </c>
      <c r="O7348" t="n">
        <v>0</v>
      </c>
      <c r="P7348" t="n">
        <v>0</v>
      </c>
      <c r="Q7348" t="n">
        <v>0</v>
      </c>
      <c r="R7348" s="2" t="inlineStr"/>
    </row>
    <row r="7349" ht="15" customHeight="1">
      <c r="A7349" t="inlineStr">
        <is>
          <t>A 29047-2025</t>
        </is>
      </c>
      <c r="B7349" s="1" t="n">
        <v>45821</v>
      </c>
      <c r="C7349" s="1" t="n">
        <v>45846</v>
      </c>
      <c r="D7349" t="inlineStr">
        <is>
          <t>UPPSALA LÄN</t>
        </is>
      </c>
      <c r="E7349" t="inlineStr">
        <is>
          <t>UPPSALA</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29030-2025</t>
        </is>
      </c>
      <c r="B7350" s="1" t="n">
        <v>45821</v>
      </c>
      <c r="C7350" s="1" t="n">
        <v>45846</v>
      </c>
      <c r="D7350" t="inlineStr">
        <is>
          <t>UPPSALA LÄN</t>
        </is>
      </c>
      <c r="E7350" t="inlineStr">
        <is>
          <t>UPPSALA</t>
        </is>
      </c>
      <c r="G7350" t="n">
        <v>3.9</v>
      </c>
      <c r="H7350" t="n">
        <v>0</v>
      </c>
      <c r="I7350" t="n">
        <v>0</v>
      </c>
      <c r="J7350" t="n">
        <v>0</v>
      </c>
      <c r="K7350" t="n">
        <v>0</v>
      </c>
      <c r="L7350" t="n">
        <v>0</v>
      </c>
      <c r="M7350" t="n">
        <v>0</v>
      </c>
      <c r="N7350" t="n">
        <v>0</v>
      </c>
      <c r="O7350" t="n">
        <v>0</v>
      </c>
      <c r="P7350" t="n">
        <v>0</v>
      </c>
      <c r="Q7350" t="n">
        <v>0</v>
      </c>
      <c r="R7350" s="2" t="inlineStr"/>
    </row>
    <row r="7351" ht="15" customHeight="1">
      <c r="A7351" t="inlineStr">
        <is>
          <t>A 29028-2025</t>
        </is>
      </c>
      <c r="B7351" s="1" t="n">
        <v>45821</v>
      </c>
      <c r="C7351" s="1" t="n">
        <v>45846</v>
      </c>
      <c r="D7351" t="inlineStr">
        <is>
          <t>UPPSALA LÄN</t>
        </is>
      </c>
      <c r="E7351" t="inlineStr">
        <is>
          <t>ÖSTHAMMAR</t>
        </is>
      </c>
      <c r="F7351" t="inlineStr">
        <is>
          <t>Bergvik skog öst AB</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28958-2025</t>
        </is>
      </c>
      <c r="B7352" s="1" t="n">
        <v>45821</v>
      </c>
      <c r="C7352" s="1" t="n">
        <v>45846</v>
      </c>
      <c r="D7352" t="inlineStr">
        <is>
          <t>UPPSALA LÄN</t>
        </is>
      </c>
      <c r="E7352" t="inlineStr">
        <is>
          <t>UPPSALA</t>
        </is>
      </c>
      <c r="G7352" t="n">
        <v>4.6</v>
      </c>
      <c r="H7352" t="n">
        <v>0</v>
      </c>
      <c r="I7352" t="n">
        <v>0</v>
      </c>
      <c r="J7352" t="n">
        <v>0</v>
      </c>
      <c r="K7352" t="n">
        <v>0</v>
      </c>
      <c r="L7352" t="n">
        <v>0</v>
      </c>
      <c r="M7352" t="n">
        <v>0</v>
      </c>
      <c r="N7352" t="n">
        <v>0</v>
      </c>
      <c r="O7352" t="n">
        <v>0</v>
      </c>
      <c r="P7352" t="n">
        <v>0</v>
      </c>
      <c r="Q7352" t="n">
        <v>0</v>
      </c>
      <c r="R7352" s="2" t="inlineStr"/>
    </row>
    <row r="7353" ht="15" customHeight="1">
      <c r="A7353" t="inlineStr">
        <is>
          <t>A 29024-2025</t>
        </is>
      </c>
      <c r="B7353" s="1" t="n">
        <v>45821</v>
      </c>
      <c r="C7353" s="1" t="n">
        <v>45846</v>
      </c>
      <c r="D7353" t="inlineStr">
        <is>
          <t>UPPSALA LÄN</t>
        </is>
      </c>
      <c r="E7353" t="inlineStr">
        <is>
          <t>ÖSTHAMMAR</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29384-2025</t>
        </is>
      </c>
      <c r="B7354" s="1" t="n">
        <v>45824</v>
      </c>
      <c r="C7354" s="1" t="n">
        <v>45846</v>
      </c>
      <c r="D7354" t="inlineStr">
        <is>
          <t>UPPSALA LÄN</t>
        </is>
      </c>
      <c r="E7354" t="inlineStr">
        <is>
          <t>ÖSTHAMMAR</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29382-2025</t>
        </is>
      </c>
      <c r="B7355" s="1" t="n">
        <v>45824</v>
      </c>
      <c r="C7355" s="1" t="n">
        <v>45846</v>
      </c>
      <c r="D7355" t="inlineStr">
        <is>
          <t>UPPSALA LÄN</t>
        </is>
      </c>
      <c r="E7355" t="inlineStr">
        <is>
          <t>TIERP</t>
        </is>
      </c>
      <c r="F7355" t="inlineStr">
        <is>
          <t>Bergvik skog väst AB</t>
        </is>
      </c>
      <c r="G7355" t="n">
        <v>4.4</v>
      </c>
      <c r="H7355" t="n">
        <v>0</v>
      </c>
      <c r="I7355" t="n">
        <v>0</v>
      </c>
      <c r="J7355" t="n">
        <v>0</v>
      </c>
      <c r="K7355" t="n">
        <v>0</v>
      </c>
      <c r="L7355" t="n">
        <v>0</v>
      </c>
      <c r="M7355" t="n">
        <v>0</v>
      </c>
      <c r="N7355" t="n">
        <v>0</v>
      </c>
      <c r="O7355" t="n">
        <v>0</v>
      </c>
      <c r="P7355" t="n">
        <v>0</v>
      </c>
      <c r="Q7355" t="n">
        <v>0</v>
      </c>
      <c r="R7355" s="2" t="inlineStr"/>
    </row>
    <row r="7356" ht="15" customHeight="1">
      <c r="A7356" t="inlineStr">
        <is>
          <t>A 29477-2025</t>
        </is>
      </c>
      <c r="B7356" s="1" t="n">
        <v>45824</v>
      </c>
      <c r="C7356" s="1" t="n">
        <v>45846</v>
      </c>
      <c r="D7356" t="inlineStr">
        <is>
          <t>UPPSALA LÄN</t>
        </is>
      </c>
      <c r="E7356" t="inlineStr">
        <is>
          <t>ENKÖPING</t>
        </is>
      </c>
      <c r="G7356" t="n">
        <v>13.4</v>
      </c>
      <c r="H7356" t="n">
        <v>0</v>
      </c>
      <c r="I7356" t="n">
        <v>0</v>
      </c>
      <c r="J7356" t="n">
        <v>0</v>
      </c>
      <c r="K7356" t="n">
        <v>0</v>
      </c>
      <c r="L7356" t="n">
        <v>0</v>
      </c>
      <c r="M7356" t="n">
        <v>0</v>
      </c>
      <c r="N7356" t="n">
        <v>0</v>
      </c>
      <c r="O7356" t="n">
        <v>0</v>
      </c>
      <c r="P7356" t="n">
        <v>0</v>
      </c>
      <c r="Q7356" t="n">
        <v>0</v>
      </c>
      <c r="R7356" s="2" t="inlineStr"/>
    </row>
    <row r="7357" ht="15" customHeight="1">
      <c r="A7357" t="inlineStr">
        <is>
          <t>A 29282-2025</t>
        </is>
      </c>
      <c r="B7357" s="1" t="n">
        <v>45824</v>
      </c>
      <c r="C7357" s="1" t="n">
        <v>45846</v>
      </c>
      <c r="D7357" t="inlineStr">
        <is>
          <t>UPPSALA LÄN</t>
        </is>
      </c>
      <c r="E7357" t="inlineStr">
        <is>
          <t>TIERP</t>
        </is>
      </c>
      <c r="F7357" t="inlineStr">
        <is>
          <t>Bergvik skog väst AB</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29287-2025</t>
        </is>
      </c>
      <c r="B7358" s="1" t="n">
        <v>45824</v>
      </c>
      <c r="C7358" s="1" t="n">
        <v>45846</v>
      </c>
      <c r="D7358" t="inlineStr">
        <is>
          <t>UPPSALA LÄN</t>
        </is>
      </c>
      <c r="E7358" t="inlineStr">
        <is>
          <t>UPPSALA</t>
        </is>
      </c>
      <c r="F7358" t="inlineStr">
        <is>
          <t>Kyrkan</t>
        </is>
      </c>
      <c r="G7358" t="n">
        <v>5.2</v>
      </c>
      <c r="H7358" t="n">
        <v>0</v>
      </c>
      <c r="I7358" t="n">
        <v>0</v>
      </c>
      <c r="J7358" t="n">
        <v>0</v>
      </c>
      <c r="K7358" t="n">
        <v>0</v>
      </c>
      <c r="L7358" t="n">
        <v>0</v>
      </c>
      <c r="M7358" t="n">
        <v>0</v>
      </c>
      <c r="N7358" t="n">
        <v>0</v>
      </c>
      <c r="O7358" t="n">
        <v>0</v>
      </c>
      <c r="P7358" t="n">
        <v>0</v>
      </c>
      <c r="Q7358" t="n">
        <v>0</v>
      </c>
      <c r="R7358" s="2" t="inlineStr"/>
    </row>
    <row r="7359" ht="15" customHeight="1">
      <c r="A7359" t="inlineStr">
        <is>
          <t>A 29513-2025</t>
        </is>
      </c>
      <c r="B7359" s="1" t="n">
        <v>45825</v>
      </c>
      <c r="C7359" s="1" t="n">
        <v>45846</v>
      </c>
      <c r="D7359" t="inlineStr">
        <is>
          <t>UPPSALA LÄN</t>
        </is>
      </c>
      <c r="E7359" t="inlineStr">
        <is>
          <t>ENKÖPING</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29664-2025</t>
        </is>
      </c>
      <c r="B7360" s="1" t="n">
        <v>45825</v>
      </c>
      <c r="C7360" s="1" t="n">
        <v>45846</v>
      </c>
      <c r="D7360" t="inlineStr">
        <is>
          <t>UPPSALA LÄN</t>
        </is>
      </c>
      <c r="E7360" t="inlineStr">
        <is>
          <t>UPPSALA</t>
        </is>
      </c>
      <c r="F7360" t="inlineStr">
        <is>
          <t>Holmen skog AB</t>
        </is>
      </c>
      <c r="G7360" t="n">
        <v>16.8</v>
      </c>
      <c r="H7360" t="n">
        <v>0</v>
      </c>
      <c r="I7360" t="n">
        <v>0</v>
      </c>
      <c r="J7360" t="n">
        <v>0</v>
      </c>
      <c r="K7360" t="n">
        <v>0</v>
      </c>
      <c r="L7360" t="n">
        <v>0</v>
      </c>
      <c r="M7360" t="n">
        <v>0</v>
      </c>
      <c r="N7360" t="n">
        <v>0</v>
      </c>
      <c r="O7360" t="n">
        <v>0</v>
      </c>
      <c r="P7360" t="n">
        <v>0</v>
      </c>
      <c r="Q7360" t="n">
        <v>0</v>
      </c>
      <c r="R7360" s="2" t="inlineStr"/>
    </row>
    <row r="7361" ht="15" customHeight="1">
      <c r="A7361" t="inlineStr">
        <is>
          <t>A 29671-2025</t>
        </is>
      </c>
      <c r="B7361" s="1" t="n">
        <v>45825</v>
      </c>
      <c r="C7361" s="1" t="n">
        <v>45846</v>
      </c>
      <c r="D7361" t="inlineStr">
        <is>
          <t>UPPSALA LÄN</t>
        </is>
      </c>
      <c r="E7361" t="inlineStr">
        <is>
          <t>HEBY</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29747-2025</t>
        </is>
      </c>
      <c r="B7362" s="1" t="n">
        <v>45825</v>
      </c>
      <c r="C7362" s="1" t="n">
        <v>45846</v>
      </c>
      <c r="D7362" t="inlineStr">
        <is>
          <t>UPPSALA LÄN</t>
        </is>
      </c>
      <c r="E7362" t="inlineStr">
        <is>
          <t>HEBY</t>
        </is>
      </c>
      <c r="F7362" t="inlineStr">
        <is>
          <t>Bergvik skog väst AB</t>
        </is>
      </c>
      <c r="G7362" t="n">
        <v>11.8</v>
      </c>
      <c r="H7362" t="n">
        <v>0</v>
      </c>
      <c r="I7362" t="n">
        <v>0</v>
      </c>
      <c r="J7362" t="n">
        <v>0</v>
      </c>
      <c r="K7362" t="n">
        <v>0</v>
      </c>
      <c r="L7362" t="n">
        <v>0</v>
      </c>
      <c r="M7362" t="n">
        <v>0</v>
      </c>
      <c r="N7362" t="n">
        <v>0</v>
      </c>
      <c r="O7362" t="n">
        <v>0</v>
      </c>
      <c r="P7362" t="n">
        <v>0</v>
      </c>
      <c r="Q7362" t="n">
        <v>0</v>
      </c>
      <c r="R7362" s="2" t="inlineStr"/>
    </row>
    <row r="7363" ht="15" customHeight="1">
      <c r="A7363" t="inlineStr">
        <is>
          <t>A 29570-2025</t>
        </is>
      </c>
      <c r="B7363" s="1" t="n">
        <v>45825</v>
      </c>
      <c r="C7363" s="1" t="n">
        <v>45846</v>
      </c>
      <c r="D7363" t="inlineStr">
        <is>
          <t>UPPSALA LÄN</t>
        </is>
      </c>
      <c r="E7363" t="inlineStr">
        <is>
          <t>HEBY</t>
        </is>
      </c>
      <c r="F7363" t="inlineStr">
        <is>
          <t>Bergvik skog väst AB</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29775-2025</t>
        </is>
      </c>
      <c r="B7364" s="1" t="n">
        <v>45825</v>
      </c>
      <c r="C7364" s="1" t="n">
        <v>45846</v>
      </c>
      <c r="D7364" t="inlineStr">
        <is>
          <t>UPPSALA LÄN</t>
        </is>
      </c>
      <c r="E7364" t="inlineStr">
        <is>
          <t>ÖSTHAMMAR</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29739-2025</t>
        </is>
      </c>
      <c r="B7365" s="1" t="n">
        <v>45825</v>
      </c>
      <c r="C7365" s="1" t="n">
        <v>45846</v>
      </c>
      <c r="D7365" t="inlineStr">
        <is>
          <t>UPPSALA LÄN</t>
        </is>
      </c>
      <c r="E7365" t="inlineStr">
        <is>
          <t>HEBY</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29627-2025</t>
        </is>
      </c>
      <c r="B7366" s="1" t="n">
        <v>45825</v>
      </c>
      <c r="C7366" s="1" t="n">
        <v>45846</v>
      </c>
      <c r="D7366" t="inlineStr">
        <is>
          <t>UPPSALA LÄN</t>
        </is>
      </c>
      <c r="E7366" t="inlineStr">
        <is>
          <t>UPPSALA</t>
        </is>
      </c>
      <c r="F7366" t="inlineStr">
        <is>
          <t>Kommuner</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29730-2025</t>
        </is>
      </c>
      <c r="B7367" s="1" t="n">
        <v>45825</v>
      </c>
      <c r="C7367" s="1" t="n">
        <v>45846</v>
      </c>
      <c r="D7367" t="inlineStr">
        <is>
          <t>UPPSALA LÄN</t>
        </is>
      </c>
      <c r="E7367" t="inlineStr">
        <is>
          <t>HEBY</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30083-2025</t>
        </is>
      </c>
      <c r="B7368" s="1" t="n">
        <v>45826</v>
      </c>
      <c r="C7368" s="1" t="n">
        <v>45846</v>
      </c>
      <c r="D7368" t="inlineStr">
        <is>
          <t>UPPSALA LÄN</t>
        </is>
      </c>
      <c r="E7368" t="inlineStr">
        <is>
          <t>TIERP</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29968-2025</t>
        </is>
      </c>
      <c r="B7369" s="1" t="n">
        <v>45826</v>
      </c>
      <c r="C7369" s="1" t="n">
        <v>45846</v>
      </c>
      <c r="D7369" t="inlineStr">
        <is>
          <t>UPPSALA LÄN</t>
        </is>
      </c>
      <c r="E7369" t="inlineStr">
        <is>
          <t>HEBY</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30437-2025</t>
        </is>
      </c>
      <c r="B7370" s="1" t="n">
        <v>45827</v>
      </c>
      <c r="C7370" s="1" t="n">
        <v>45846</v>
      </c>
      <c r="D7370" t="inlineStr">
        <is>
          <t>UPPSALA LÄN</t>
        </is>
      </c>
      <c r="E7370" t="inlineStr">
        <is>
          <t>UPPSALA</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30244-2025</t>
        </is>
      </c>
      <c r="B7371" s="1" t="n">
        <v>45827</v>
      </c>
      <c r="C7371" s="1" t="n">
        <v>45846</v>
      </c>
      <c r="D7371" t="inlineStr">
        <is>
          <t>UPPSALA LÄN</t>
        </is>
      </c>
      <c r="E7371" t="inlineStr">
        <is>
          <t>ÖSTHAMMAR</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30282-2025</t>
        </is>
      </c>
      <c r="B7372" s="1" t="n">
        <v>45827</v>
      </c>
      <c r="C7372" s="1" t="n">
        <v>45846</v>
      </c>
      <c r="D7372" t="inlineStr">
        <is>
          <t>UPPSALA LÄN</t>
        </is>
      </c>
      <c r="E7372" t="inlineStr">
        <is>
          <t>UPPSALA</t>
        </is>
      </c>
      <c r="F7372" t="inlineStr">
        <is>
          <t>Holmen skog AB</t>
        </is>
      </c>
      <c r="G7372" t="n">
        <v>3.5</v>
      </c>
      <c r="H7372" t="n">
        <v>0</v>
      </c>
      <c r="I7372" t="n">
        <v>0</v>
      </c>
      <c r="J7372" t="n">
        <v>0</v>
      </c>
      <c r="K7372" t="n">
        <v>0</v>
      </c>
      <c r="L7372" t="n">
        <v>0</v>
      </c>
      <c r="M7372" t="n">
        <v>0</v>
      </c>
      <c r="N7372" t="n">
        <v>0</v>
      </c>
      <c r="O7372" t="n">
        <v>0</v>
      </c>
      <c r="P7372" t="n">
        <v>0</v>
      </c>
      <c r="Q7372" t="n">
        <v>0</v>
      </c>
      <c r="R7372" s="2" t="inlineStr"/>
    </row>
    <row r="7373" ht="15" customHeight="1">
      <c r="A7373" t="inlineStr">
        <is>
          <t>A 30418-2025</t>
        </is>
      </c>
      <c r="B7373" s="1" t="n">
        <v>45827</v>
      </c>
      <c r="C7373" s="1" t="n">
        <v>45846</v>
      </c>
      <c r="D7373" t="inlineStr">
        <is>
          <t>UPPSALA LÄN</t>
        </is>
      </c>
      <c r="E7373" t="inlineStr">
        <is>
          <t>HEBY</t>
        </is>
      </c>
      <c r="F7373" t="inlineStr">
        <is>
          <t>Övriga Aktiebolag</t>
        </is>
      </c>
      <c r="G7373" t="n">
        <v>6.5</v>
      </c>
      <c r="H7373" t="n">
        <v>0</v>
      </c>
      <c r="I7373" t="n">
        <v>0</v>
      </c>
      <c r="J7373" t="n">
        <v>0</v>
      </c>
      <c r="K7373" t="n">
        <v>0</v>
      </c>
      <c r="L7373" t="n">
        <v>0</v>
      </c>
      <c r="M7373" t="n">
        <v>0</v>
      </c>
      <c r="N7373" t="n">
        <v>0</v>
      </c>
      <c r="O7373" t="n">
        <v>0</v>
      </c>
      <c r="P7373" t="n">
        <v>0</v>
      </c>
      <c r="Q7373" t="n">
        <v>0</v>
      </c>
      <c r="R7373" s="2" t="inlineStr"/>
    </row>
    <row r="7374" ht="15" customHeight="1">
      <c r="A7374" t="inlineStr">
        <is>
          <t>A 30243-2025</t>
        </is>
      </c>
      <c r="B7374" s="1" t="n">
        <v>45827</v>
      </c>
      <c r="C7374" s="1" t="n">
        <v>45846</v>
      </c>
      <c r="D7374" t="inlineStr">
        <is>
          <t>UPPSALA LÄN</t>
        </is>
      </c>
      <c r="E7374" t="inlineStr">
        <is>
          <t>ÖSTHAMMAR</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30440-2025</t>
        </is>
      </c>
      <c r="B7375" s="1" t="n">
        <v>45827</v>
      </c>
      <c r="C7375" s="1" t="n">
        <v>45846</v>
      </c>
      <c r="D7375" t="inlineStr">
        <is>
          <t>UPPSALA LÄN</t>
        </is>
      </c>
      <c r="E7375" t="inlineStr">
        <is>
          <t>HEBY</t>
        </is>
      </c>
      <c r="F7375" t="inlineStr">
        <is>
          <t>Övriga Aktiebolag</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30429-2025</t>
        </is>
      </c>
      <c r="B7376" s="1" t="n">
        <v>45827</v>
      </c>
      <c r="C7376" s="1" t="n">
        <v>45846</v>
      </c>
      <c r="D7376" t="inlineStr">
        <is>
          <t>UPPSALA LÄN</t>
        </is>
      </c>
      <c r="E7376" t="inlineStr">
        <is>
          <t>UPPSALA</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30483-2025</t>
        </is>
      </c>
      <c r="B7377" s="1" t="n">
        <v>45828</v>
      </c>
      <c r="C7377" s="1" t="n">
        <v>45846</v>
      </c>
      <c r="D7377" t="inlineStr">
        <is>
          <t>UPPSALA LÄN</t>
        </is>
      </c>
      <c r="E7377" t="inlineStr">
        <is>
          <t>ÄLVKARLEBY</t>
        </is>
      </c>
      <c r="F7377" t="inlineStr">
        <is>
          <t>Bergvik skog väst AB</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30504-2025</t>
        </is>
      </c>
      <c r="B7378" s="1" t="n">
        <v>45830</v>
      </c>
      <c r="C7378" s="1" t="n">
        <v>45846</v>
      </c>
      <c r="D7378" t="inlineStr">
        <is>
          <t>UPPSALA LÄN</t>
        </is>
      </c>
      <c r="E7378" t="inlineStr">
        <is>
          <t>ÖSTHAMMAR</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30503-2025</t>
        </is>
      </c>
      <c r="B7379" s="1" t="n">
        <v>45830</v>
      </c>
      <c r="C7379" s="1" t="n">
        <v>45846</v>
      </c>
      <c r="D7379" t="inlineStr">
        <is>
          <t>UPPSALA LÄN</t>
        </is>
      </c>
      <c r="E7379" t="inlineStr">
        <is>
          <t>ÖSTHAMMAR</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30616-2025</t>
        </is>
      </c>
      <c r="B7380" s="1" t="n">
        <v>45831</v>
      </c>
      <c r="C7380" s="1" t="n">
        <v>45846</v>
      </c>
      <c r="D7380" t="inlineStr">
        <is>
          <t>UPPSALA LÄN</t>
        </is>
      </c>
      <c r="E7380" t="inlineStr">
        <is>
          <t>UPPSALA</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30839-2025</t>
        </is>
      </c>
      <c r="B7381" s="1" t="n">
        <v>45831</v>
      </c>
      <c r="C7381" s="1" t="n">
        <v>45846</v>
      </c>
      <c r="D7381" t="inlineStr">
        <is>
          <t>UPPSALA LÄN</t>
        </is>
      </c>
      <c r="E7381" t="inlineStr">
        <is>
          <t>UPPSALA</t>
        </is>
      </c>
      <c r="F7381" t="inlineStr">
        <is>
          <t>Kyrkan</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30583-2025</t>
        </is>
      </c>
      <c r="B7382" s="1" t="n">
        <v>45831</v>
      </c>
      <c r="C7382" s="1" t="n">
        <v>45846</v>
      </c>
      <c r="D7382" t="inlineStr">
        <is>
          <t>UPPSALA LÄN</t>
        </is>
      </c>
      <c r="E7382" t="inlineStr">
        <is>
          <t>UPPSALA</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30585-2025</t>
        </is>
      </c>
      <c r="B7383" s="1" t="n">
        <v>45831</v>
      </c>
      <c r="C7383" s="1" t="n">
        <v>45846</v>
      </c>
      <c r="D7383" t="inlineStr">
        <is>
          <t>UPPSALA LÄN</t>
        </is>
      </c>
      <c r="E7383" t="inlineStr">
        <is>
          <t>UPPSALA</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30838-2025</t>
        </is>
      </c>
      <c r="B7384" s="1" t="n">
        <v>45831</v>
      </c>
      <c r="C7384" s="1" t="n">
        <v>45846</v>
      </c>
      <c r="D7384" t="inlineStr">
        <is>
          <t>UPPSALA LÄN</t>
        </is>
      </c>
      <c r="E7384" t="inlineStr">
        <is>
          <t>UPPSALA</t>
        </is>
      </c>
      <c r="F7384" t="inlineStr">
        <is>
          <t>Kyrkan</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30567-2025</t>
        </is>
      </c>
      <c r="B7385" s="1" t="n">
        <v>45831</v>
      </c>
      <c r="C7385" s="1" t="n">
        <v>45846</v>
      </c>
      <c r="D7385" t="inlineStr">
        <is>
          <t>UPPSALA LÄN</t>
        </is>
      </c>
      <c r="E7385" t="inlineStr">
        <is>
          <t>UPPSALA</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30610-2025</t>
        </is>
      </c>
      <c r="B7386" s="1" t="n">
        <v>45831</v>
      </c>
      <c r="C7386" s="1" t="n">
        <v>45846</v>
      </c>
      <c r="D7386" t="inlineStr">
        <is>
          <t>UPPSALA LÄN</t>
        </is>
      </c>
      <c r="E7386" t="inlineStr">
        <is>
          <t>ÖSTHAMMAR</t>
        </is>
      </c>
      <c r="G7386" t="n">
        <v>0.2</v>
      </c>
      <c r="H7386" t="n">
        <v>0</v>
      </c>
      <c r="I7386" t="n">
        <v>0</v>
      </c>
      <c r="J7386" t="n">
        <v>0</v>
      </c>
      <c r="K7386" t="n">
        <v>0</v>
      </c>
      <c r="L7386" t="n">
        <v>0</v>
      </c>
      <c r="M7386" t="n">
        <v>0</v>
      </c>
      <c r="N7386" t="n">
        <v>0</v>
      </c>
      <c r="O7386" t="n">
        <v>0</v>
      </c>
      <c r="P7386" t="n">
        <v>0</v>
      </c>
      <c r="Q7386" t="n">
        <v>0</v>
      </c>
      <c r="R7386" s="2" t="inlineStr"/>
    </row>
    <row r="7387" ht="15" customHeight="1">
      <c r="A7387" t="inlineStr">
        <is>
          <t>A 30837-2025</t>
        </is>
      </c>
      <c r="B7387" s="1" t="n">
        <v>45831</v>
      </c>
      <c r="C7387" s="1" t="n">
        <v>45846</v>
      </c>
      <c r="D7387" t="inlineStr">
        <is>
          <t>UPPSALA LÄN</t>
        </is>
      </c>
      <c r="E7387" t="inlineStr">
        <is>
          <t>ENKÖPING</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31149-2025</t>
        </is>
      </c>
      <c r="B7388" s="1" t="n">
        <v>45832</v>
      </c>
      <c r="C7388" s="1" t="n">
        <v>45846</v>
      </c>
      <c r="D7388" t="inlineStr">
        <is>
          <t>UPPSALA LÄN</t>
        </is>
      </c>
      <c r="E7388" t="inlineStr">
        <is>
          <t>TIERP</t>
        </is>
      </c>
      <c r="F7388" t="inlineStr">
        <is>
          <t>Bergvik skog öst AB</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31199-2025</t>
        </is>
      </c>
      <c r="B7389" s="1" t="n">
        <v>45832</v>
      </c>
      <c r="C7389" s="1" t="n">
        <v>45846</v>
      </c>
      <c r="D7389" t="inlineStr">
        <is>
          <t>UPPSALA LÄN</t>
        </is>
      </c>
      <c r="E7389" t="inlineStr">
        <is>
          <t>TIERP</t>
        </is>
      </c>
      <c r="F7389" t="inlineStr">
        <is>
          <t>Bergvik skog öst AB</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30944-2025</t>
        </is>
      </c>
      <c r="B7390" s="1" t="n">
        <v>45832</v>
      </c>
      <c r="C7390" s="1" t="n">
        <v>45846</v>
      </c>
      <c r="D7390" t="inlineStr">
        <is>
          <t>UPPSALA LÄN</t>
        </is>
      </c>
      <c r="E7390" t="inlineStr">
        <is>
          <t>ÄLVKARLEBY</t>
        </is>
      </c>
      <c r="F7390" t="inlineStr">
        <is>
          <t>Bergvik skog öst AB</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31249-2025</t>
        </is>
      </c>
      <c r="B7391" s="1" t="n">
        <v>45832</v>
      </c>
      <c r="C7391" s="1" t="n">
        <v>45846</v>
      </c>
      <c r="D7391" t="inlineStr">
        <is>
          <t>UPPSALA LÄN</t>
        </is>
      </c>
      <c r="E7391" t="inlineStr">
        <is>
          <t>ÖSTHAMMAR</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31083-2025</t>
        </is>
      </c>
      <c r="B7392" s="1" t="n">
        <v>45832</v>
      </c>
      <c r="C7392" s="1" t="n">
        <v>45846</v>
      </c>
      <c r="D7392" t="inlineStr">
        <is>
          <t>UPPSALA LÄN</t>
        </is>
      </c>
      <c r="E7392" t="inlineStr">
        <is>
          <t>TIERP</t>
        </is>
      </c>
      <c r="F7392" t="inlineStr">
        <is>
          <t>Bergvik skog öst AB</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30936-2025</t>
        </is>
      </c>
      <c r="B7393" s="1" t="n">
        <v>45832</v>
      </c>
      <c r="C7393" s="1" t="n">
        <v>45846</v>
      </c>
      <c r="D7393" t="inlineStr">
        <is>
          <t>UPPSALA LÄN</t>
        </is>
      </c>
      <c r="E7393" t="inlineStr">
        <is>
          <t>ÄLVKARLEBY</t>
        </is>
      </c>
      <c r="F7393" t="inlineStr">
        <is>
          <t>Bergvik skog öst AB</t>
        </is>
      </c>
      <c r="G7393" t="n">
        <v>7.2</v>
      </c>
      <c r="H7393" t="n">
        <v>0</v>
      </c>
      <c r="I7393" t="n">
        <v>0</v>
      </c>
      <c r="J7393" t="n">
        <v>0</v>
      </c>
      <c r="K7393" t="n">
        <v>0</v>
      </c>
      <c r="L7393" t="n">
        <v>0</v>
      </c>
      <c r="M7393" t="n">
        <v>0</v>
      </c>
      <c r="N7393" t="n">
        <v>0</v>
      </c>
      <c r="O7393" t="n">
        <v>0</v>
      </c>
      <c r="P7393" t="n">
        <v>0</v>
      </c>
      <c r="Q7393" t="n">
        <v>0</v>
      </c>
      <c r="R7393" s="2" t="inlineStr"/>
    </row>
    <row r="7394" ht="15" customHeight="1">
      <c r="A7394" t="inlineStr">
        <is>
          <t>A 30897-2025</t>
        </is>
      </c>
      <c r="B7394" s="1" t="n">
        <v>45832</v>
      </c>
      <c r="C7394" s="1" t="n">
        <v>45846</v>
      </c>
      <c r="D7394" t="inlineStr">
        <is>
          <t>UPPSALA LÄN</t>
        </is>
      </c>
      <c r="E7394" t="inlineStr">
        <is>
          <t>UPPSALA</t>
        </is>
      </c>
      <c r="F7394" t="inlineStr">
        <is>
          <t>Kyrkan</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30898-2025</t>
        </is>
      </c>
      <c r="B7395" s="1" t="n">
        <v>45832</v>
      </c>
      <c r="C7395" s="1" t="n">
        <v>45846</v>
      </c>
      <c r="D7395" t="inlineStr">
        <is>
          <t>UPPSALA LÄN</t>
        </is>
      </c>
      <c r="E7395" t="inlineStr">
        <is>
          <t>UPPSALA</t>
        </is>
      </c>
      <c r="F7395" t="inlineStr">
        <is>
          <t>Kyrkan</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31058-2025</t>
        </is>
      </c>
      <c r="B7396" s="1" t="n">
        <v>45832</v>
      </c>
      <c r="C7396" s="1" t="n">
        <v>45846</v>
      </c>
      <c r="D7396" t="inlineStr">
        <is>
          <t>UPPSALA LÄN</t>
        </is>
      </c>
      <c r="E7396" t="inlineStr">
        <is>
          <t>HEBY</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33103-2025</t>
        </is>
      </c>
      <c r="B7397" s="1" t="n">
        <v>45832</v>
      </c>
      <c r="C7397" s="1" t="n">
        <v>45846</v>
      </c>
      <c r="D7397" t="inlineStr">
        <is>
          <t>UPPSALA LÄN</t>
        </is>
      </c>
      <c r="E7397" t="inlineStr">
        <is>
          <t>HEBY</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33092-2025</t>
        </is>
      </c>
      <c r="B7398" s="1" t="n">
        <v>45832</v>
      </c>
      <c r="C7398" s="1" t="n">
        <v>45846</v>
      </c>
      <c r="D7398" t="inlineStr">
        <is>
          <t>UPPSALA LÄN</t>
        </is>
      </c>
      <c r="E7398" t="inlineStr">
        <is>
          <t>HEBY</t>
        </is>
      </c>
      <c r="G7398" t="n">
        <v>3.4</v>
      </c>
      <c r="H7398" t="n">
        <v>0</v>
      </c>
      <c r="I7398" t="n">
        <v>0</v>
      </c>
      <c r="J7398" t="n">
        <v>0</v>
      </c>
      <c r="K7398" t="n">
        <v>0</v>
      </c>
      <c r="L7398" t="n">
        <v>0</v>
      </c>
      <c r="M7398" t="n">
        <v>0</v>
      </c>
      <c r="N7398" t="n">
        <v>0</v>
      </c>
      <c r="O7398" t="n">
        <v>0</v>
      </c>
      <c r="P7398" t="n">
        <v>0</v>
      </c>
      <c r="Q7398" t="n">
        <v>0</v>
      </c>
      <c r="R7398" s="2" t="inlineStr"/>
    </row>
    <row r="7399" ht="15" customHeight="1">
      <c r="A7399" t="inlineStr">
        <is>
          <t>A 30867-2025</t>
        </is>
      </c>
      <c r="B7399" s="1" t="n">
        <v>45832</v>
      </c>
      <c r="C7399" s="1" t="n">
        <v>45846</v>
      </c>
      <c r="D7399" t="inlineStr">
        <is>
          <t>UPPSALA LÄN</t>
        </is>
      </c>
      <c r="E7399" t="inlineStr">
        <is>
          <t>TIERP</t>
        </is>
      </c>
      <c r="F7399" t="inlineStr">
        <is>
          <t>Bergvik skog väst AB</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31201-2025</t>
        </is>
      </c>
      <c r="B7400" s="1" t="n">
        <v>45832</v>
      </c>
      <c r="C7400" s="1" t="n">
        <v>45846</v>
      </c>
      <c r="D7400" t="inlineStr">
        <is>
          <t>UPPSALA LÄN</t>
        </is>
      </c>
      <c r="E7400" t="inlineStr">
        <is>
          <t>TIERP</t>
        </is>
      </c>
      <c r="F7400" t="inlineStr">
        <is>
          <t>Bergvik skog öst AB</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31383-2025</t>
        </is>
      </c>
      <c r="B7401" s="1" t="n">
        <v>45833</v>
      </c>
      <c r="C7401" s="1" t="n">
        <v>45846</v>
      </c>
      <c r="D7401" t="inlineStr">
        <is>
          <t>UPPSALA LÄN</t>
        </is>
      </c>
      <c r="E7401" t="inlineStr">
        <is>
          <t>TIERP</t>
        </is>
      </c>
      <c r="F7401" t="inlineStr">
        <is>
          <t>Övriga Aktiebolag</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31614-2025</t>
        </is>
      </c>
      <c r="B7402" s="1" t="n">
        <v>45833</v>
      </c>
      <c r="C7402" s="1" t="n">
        <v>45846</v>
      </c>
      <c r="D7402" t="inlineStr">
        <is>
          <t>UPPSALA LÄN</t>
        </is>
      </c>
      <c r="E7402" t="inlineStr">
        <is>
          <t>TIERP</t>
        </is>
      </c>
      <c r="F7402" t="inlineStr">
        <is>
          <t>Bergvik skog väst AB</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31330-2025</t>
        </is>
      </c>
      <c r="B7403" s="1" t="n">
        <v>45833</v>
      </c>
      <c r="C7403" s="1" t="n">
        <v>45846</v>
      </c>
      <c r="D7403" t="inlineStr">
        <is>
          <t>UPPSALA LÄN</t>
        </is>
      </c>
      <c r="E7403" t="inlineStr">
        <is>
          <t>HEBY</t>
        </is>
      </c>
      <c r="F7403" t="inlineStr">
        <is>
          <t>Bergvik skog öst AB</t>
        </is>
      </c>
      <c r="G7403" t="n">
        <v>6.2</v>
      </c>
      <c r="H7403" t="n">
        <v>0</v>
      </c>
      <c r="I7403" t="n">
        <v>0</v>
      </c>
      <c r="J7403" t="n">
        <v>0</v>
      </c>
      <c r="K7403" t="n">
        <v>0</v>
      </c>
      <c r="L7403" t="n">
        <v>0</v>
      </c>
      <c r="M7403" t="n">
        <v>0</v>
      </c>
      <c r="N7403" t="n">
        <v>0</v>
      </c>
      <c r="O7403" t="n">
        <v>0</v>
      </c>
      <c r="P7403" t="n">
        <v>0</v>
      </c>
      <c r="Q7403" t="n">
        <v>0</v>
      </c>
      <c r="R7403" s="2" t="inlineStr"/>
    </row>
    <row r="7404" ht="15" customHeight="1">
      <c r="A7404" t="inlineStr">
        <is>
          <t>A 31421-2025</t>
        </is>
      </c>
      <c r="B7404" s="1" t="n">
        <v>45833</v>
      </c>
      <c r="C7404" s="1" t="n">
        <v>45846</v>
      </c>
      <c r="D7404" t="inlineStr">
        <is>
          <t>UPPSALA LÄN</t>
        </is>
      </c>
      <c r="E7404" t="inlineStr">
        <is>
          <t>TIERP</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31549-2025</t>
        </is>
      </c>
      <c r="B7405" s="1" t="n">
        <v>45833</v>
      </c>
      <c r="C7405" s="1" t="n">
        <v>45846</v>
      </c>
      <c r="D7405" t="inlineStr">
        <is>
          <t>UPPSALA LÄN</t>
        </is>
      </c>
      <c r="E7405" t="inlineStr">
        <is>
          <t>TIERP</t>
        </is>
      </c>
      <c r="F7405" t="inlineStr">
        <is>
          <t>Bergvik skog öst AB</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31556-2025</t>
        </is>
      </c>
      <c r="B7406" s="1" t="n">
        <v>45833</v>
      </c>
      <c r="C7406" s="1" t="n">
        <v>45846</v>
      </c>
      <c r="D7406" t="inlineStr">
        <is>
          <t>UPPSALA LÄN</t>
        </is>
      </c>
      <c r="E7406" t="inlineStr">
        <is>
          <t>TIERP</t>
        </is>
      </c>
      <c r="F7406" t="inlineStr">
        <is>
          <t>Bergvik skog öst AB</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31360-2025</t>
        </is>
      </c>
      <c r="B7407" s="1" t="n">
        <v>45833</v>
      </c>
      <c r="C7407" s="1" t="n">
        <v>45846</v>
      </c>
      <c r="D7407" t="inlineStr">
        <is>
          <t>UPPSALA LÄN</t>
        </is>
      </c>
      <c r="E7407" t="inlineStr">
        <is>
          <t>ÖSTHAMMAR</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31525-2025</t>
        </is>
      </c>
      <c r="B7408" s="1" t="n">
        <v>45833</v>
      </c>
      <c r="C7408" s="1" t="n">
        <v>45846</v>
      </c>
      <c r="D7408" t="inlineStr">
        <is>
          <t>UPPSALA LÄN</t>
        </is>
      </c>
      <c r="E7408" t="inlineStr">
        <is>
          <t>TIERP</t>
        </is>
      </c>
      <c r="F7408" t="inlineStr">
        <is>
          <t>Bergvik skog öst AB</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31523-2025</t>
        </is>
      </c>
      <c r="B7409" s="1" t="n">
        <v>45833</v>
      </c>
      <c r="C7409" s="1" t="n">
        <v>45846</v>
      </c>
      <c r="D7409" t="inlineStr">
        <is>
          <t>UPPSALA LÄN</t>
        </is>
      </c>
      <c r="E7409" t="inlineStr">
        <is>
          <t>TIERP</t>
        </is>
      </c>
      <c r="F7409" t="inlineStr">
        <is>
          <t>Bergvik skog öst AB</t>
        </is>
      </c>
      <c r="G7409" t="n">
        <v>5.6</v>
      </c>
      <c r="H7409" t="n">
        <v>0</v>
      </c>
      <c r="I7409" t="n">
        <v>0</v>
      </c>
      <c r="J7409" t="n">
        <v>0</v>
      </c>
      <c r="K7409" t="n">
        <v>0</v>
      </c>
      <c r="L7409" t="n">
        <v>0</v>
      </c>
      <c r="M7409" t="n">
        <v>0</v>
      </c>
      <c r="N7409" t="n">
        <v>0</v>
      </c>
      <c r="O7409" t="n">
        <v>0</v>
      </c>
      <c r="P7409" t="n">
        <v>0</v>
      </c>
      <c r="Q7409" t="n">
        <v>0</v>
      </c>
      <c r="R7409" s="2" t="inlineStr"/>
    </row>
    <row r="7410" ht="15" customHeight="1">
      <c r="A7410" t="inlineStr">
        <is>
          <t>A 31579-2025</t>
        </is>
      </c>
      <c r="B7410" s="1" t="n">
        <v>45833</v>
      </c>
      <c r="C7410" s="1" t="n">
        <v>45846</v>
      </c>
      <c r="D7410" t="inlineStr">
        <is>
          <t>UPPSALA LÄN</t>
        </is>
      </c>
      <c r="E7410" t="inlineStr">
        <is>
          <t>ÖSTHAMMAR</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31616-2025</t>
        </is>
      </c>
      <c r="B7411" s="1" t="n">
        <v>45833</v>
      </c>
      <c r="C7411" s="1" t="n">
        <v>45846</v>
      </c>
      <c r="D7411" t="inlineStr">
        <is>
          <t>UPPSALA LÄN</t>
        </is>
      </c>
      <c r="E7411" t="inlineStr">
        <is>
          <t>TIERP</t>
        </is>
      </c>
      <c r="F7411" t="inlineStr">
        <is>
          <t>Bergvik skog väst AB</t>
        </is>
      </c>
      <c r="G7411" t="n">
        <v>4.9</v>
      </c>
      <c r="H7411" t="n">
        <v>0</v>
      </c>
      <c r="I7411" t="n">
        <v>0</v>
      </c>
      <c r="J7411" t="n">
        <v>0</v>
      </c>
      <c r="K7411" t="n">
        <v>0</v>
      </c>
      <c r="L7411" t="n">
        <v>0</v>
      </c>
      <c r="M7411" t="n">
        <v>0</v>
      </c>
      <c r="N7411" t="n">
        <v>0</v>
      </c>
      <c r="O7411" t="n">
        <v>0</v>
      </c>
      <c r="P7411" t="n">
        <v>0</v>
      </c>
      <c r="Q7411" t="n">
        <v>0</v>
      </c>
      <c r="R7411" s="2" t="inlineStr"/>
    </row>
    <row r="7412" ht="15" customHeight="1">
      <c r="A7412" t="inlineStr">
        <is>
          <t>A 31896-2025</t>
        </is>
      </c>
      <c r="B7412" s="1" t="n">
        <v>45834</v>
      </c>
      <c r="C7412" s="1" t="n">
        <v>45846</v>
      </c>
      <c r="D7412" t="inlineStr">
        <is>
          <t>UPPSALA LÄN</t>
        </is>
      </c>
      <c r="E7412" t="inlineStr">
        <is>
          <t>ÖSTHAMMAR</t>
        </is>
      </c>
      <c r="G7412" t="n">
        <v>4.1</v>
      </c>
      <c r="H7412" t="n">
        <v>0</v>
      </c>
      <c r="I7412" t="n">
        <v>0</v>
      </c>
      <c r="J7412" t="n">
        <v>0</v>
      </c>
      <c r="K7412" t="n">
        <v>0</v>
      </c>
      <c r="L7412" t="n">
        <v>0</v>
      </c>
      <c r="M7412" t="n">
        <v>0</v>
      </c>
      <c r="N7412" t="n">
        <v>0</v>
      </c>
      <c r="O7412" t="n">
        <v>0</v>
      </c>
      <c r="P7412" t="n">
        <v>0</v>
      </c>
      <c r="Q7412" t="n">
        <v>0</v>
      </c>
      <c r="R7412" s="2" t="inlineStr"/>
    </row>
    <row r="7413" ht="15" customHeight="1">
      <c r="A7413" t="inlineStr">
        <is>
          <t>A 31813-2025</t>
        </is>
      </c>
      <c r="B7413" s="1" t="n">
        <v>45834</v>
      </c>
      <c r="C7413" s="1" t="n">
        <v>45846</v>
      </c>
      <c r="D7413" t="inlineStr">
        <is>
          <t>UPPSALA LÄN</t>
        </is>
      </c>
      <c r="E7413" t="inlineStr">
        <is>
          <t>HEBY</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31795-2025</t>
        </is>
      </c>
      <c r="B7414" s="1" t="n">
        <v>45834</v>
      </c>
      <c r="C7414" s="1" t="n">
        <v>45846</v>
      </c>
      <c r="D7414" t="inlineStr">
        <is>
          <t>UPPSALA LÄN</t>
        </is>
      </c>
      <c r="E7414" t="inlineStr">
        <is>
          <t>HEBY</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32031-2025</t>
        </is>
      </c>
      <c r="B7415" s="1" t="n">
        <v>45835</v>
      </c>
      <c r="C7415" s="1" t="n">
        <v>45846</v>
      </c>
      <c r="D7415" t="inlineStr">
        <is>
          <t>UPPSALA LÄN</t>
        </is>
      </c>
      <c r="E7415" t="inlineStr">
        <is>
          <t>ENKÖPING</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32212-2025</t>
        </is>
      </c>
      <c r="B7416" s="1" t="n">
        <v>45835</v>
      </c>
      <c r="C7416" s="1" t="n">
        <v>45846</v>
      </c>
      <c r="D7416" t="inlineStr">
        <is>
          <t>UPPSALA LÄN</t>
        </is>
      </c>
      <c r="E7416" t="inlineStr">
        <is>
          <t>ÄLVKARLEBY</t>
        </is>
      </c>
      <c r="F7416" t="inlineStr">
        <is>
          <t>Bergvik skog väst AB</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32221-2025</t>
        </is>
      </c>
      <c r="B7417" s="1" t="n">
        <v>45835</v>
      </c>
      <c r="C7417" s="1" t="n">
        <v>45846</v>
      </c>
      <c r="D7417" t="inlineStr">
        <is>
          <t>UPPSALA LÄN</t>
        </is>
      </c>
      <c r="E7417" t="inlineStr">
        <is>
          <t>ÄLVKARLEBY</t>
        </is>
      </c>
      <c r="F7417" t="inlineStr">
        <is>
          <t>Bergvik skog väst AB</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32199-2025</t>
        </is>
      </c>
      <c r="B7418" s="1" t="n">
        <v>45835</v>
      </c>
      <c r="C7418" s="1" t="n">
        <v>45846</v>
      </c>
      <c r="D7418" t="inlineStr">
        <is>
          <t>UPPSALA LÄN</t>
        </is>
      </c>
      <c r="E7418" t="inlineStr">
        <is>
          <t>TIERP</t>
        </is>
      </c>
      <c r="F7418" t="inlineStr">
        <is>
          <t>Bergvik skog väst AB</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32111-2025</t>
        </is>
      </c>
      <c r="B7419" s="1" t="n">
        <v>45835</v>
      </c>
      <c r="C7419" s="1" t="n">
        <v>45846</v>
      </c>
      <c r="D7419" t="inlineStr">
        <is>
          <t>UPPSALA LÄN</t>
        </is>
      </c>
      <c r="E7419" t="inlineStr">
        <is>
          <t>ENKÖPING</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32227-2025</t>
        </is>
      </c>
      <c r="B7420" s="1" t="n">
        <v>45835</v>
      </c>
      <c r="C7420" s="1" t="n">
        <v>45846</v>
      </c>
      <c r="D7420" t="inlineStr">
        <is>
          <t>UPPSALA LÄN</t>
        </is>
      </c>
      <c r="E7420" t="inlineStr">
        <is>
          <t>TIERP</t>
        </is>
      </c>
      <c r="F7420" t="inlineStr">
        <is>
          <t>Bergvik skog väst AB</t>
        </is>
      </c>
      <c r="G7420" t="n">
        <v>13.1</v>
      </c>
      <c r="H7420" t="n">
        <v>0</v>
      </c>
      <c r="I7420" t="n">
        <v>0</v>
      </c>
      <c r="J7420" t="n">
        <v>0</v>
      </c>
      <c r="K7420" t="n">
        <v>0</v>
      </c>
      <c r="L7420" t="n">
        <v>0</v>
      </c>
      <c r="M7420" t="n">
        <v>0</v>
      </c>
      <c r="N7420" t="n">
        <v>0</v>
      </c>
      <c r="O7420" t="n">
        <v>0</v>
      </c>
      <c r="P7420" t="n">
        <v>0</v>
      </c>
      <c r="Q7420" t="n">
        <v>0</v>
      </c>
      <c r="R7420" s="2" t="inlineStr"/>
    </row>
    <row r="7421" ht="15" customHeight="1">
      <c r="A7421" t="inlineStr">
        <is>
          <t>A 32187-2025</t>
        </is>
      </c>
      <c r="B7421" s="1" t="n">
        <v>45835</v>
      </c>
      <c r="C7421" s="1" t="n">
        <v>45846</v>
      </c>
      <c r="D7421" t="inlineStr">
        <is>
          <t>UPPSALA LÄN</t>
        </is>
      </c>
      <c r="E7421" t="inlineStr">
        <is>
          <t>ÄLVKARLEBY</t>
        </is>
      </c>
      <c r="F7421" t="inlineStr">
        <is>
          <t>Bergvik skog väst AB</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32194-2025</t>
        </is>
      </c>
      <c r="B7422" s="1" t="n">
        <v>45835</v>
      </c>
      <c r="C7422" s="1" t="n">
        <v>45846</v>
      </c>
      <c r="D7422" t="inlineStr">
        <is>
          <t>UPPSALA LÄN</t>
        </is>
      </c>
      <c r="E7422" t="inlineStr">
        <is>
          <t>TIERP</t>
        </is>
      </c>
      <c r="F7422" t="inlineStr">
        <is>
          <t>Bergvik skog väst AB</t>
        </is>
      </c>
      <c r="G7422" t="n">
        <v>5.5</v>
      </c>
      <c r="H7422" t="n">
        <v>0</v>
      </c>
      <c r="I7422" t="n">
        <v>0</v>
      </c>
      <c r="J7422" t="n">
        <v>0</v>
      </c>
      <c r="K7422" t="n">
        <v>0</v>
      </c>
      <c r="L7422" t="n">
        <v>0</v>
      </c>
      <c r="M7422" t="n">
        <v>0</v>
      </c>
      <c r="N7422" t="n">
        <v>0</v>
      </c>
      <c r="O7422" t="n">
        <v>0</v>
      </c>
      <c r="P7422" t="n">
        <v>0</v>
      </c>
      <c r="Q7422" t="n">
        <v>0</v>
      </c>
      <c r="R7422" s="2" t="inlineStr"/>
    </row>
    <row r="7423" ht="15" customHeight="1">
      <c r="A7423" t="inlineStr">
        <is>
          <t>A 32209-2025</t>
        </is>
      </c>
      <c r="B7423" s="1" t="n">
        <v>45835</v>
      </c>
      <c r="C7423" s="1" t="n">
        <v>45846</v>
      </c>
      <c r="D7423" t="inlineStr">
        <is>
          <t>UPPSALA LÄN</t>
        </is>
      </c>
      <c r="E7423" t="inlineStr">
        <is>
          <t>TIERP</t>
        </is>
      </c>
      <c r="F7423" t="inlineStr">
        <is>
          <t>Bergvik skog väst AB</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31956-2025</t>
        </is>
      </c>
      <c r="B7424" s="1" t="n">
        <v>45835</v>
      </c>
      <c r="C7424" s="1" t="n">
        <v>45846</v>
      </c>
      <c r="D7424" t="inlineStr">
        <is>
          <t>UPPSALA LÄN</t>
        </is>
      </c>
      <c r="E7424" t="inlineStr">
        <is>
          <t>ÖSTHAMMAR</t>
        </is>
      </c>
      <c r="F7424" t="inlineStr">
        <is>
          <t>Övriga Aktiebolag</t>
        </is>
      </c>
      <c r="G7424" t="n">
        <v>4.2</v>
      </c>
      <c r="H7424" t="n">
        <v>0</v>
      </c>
      <c r="I7424" t="n">
        <v>0</v>
      </c>
      <c r="J7424" t="n">
        <v>0</v>
      </c>
      <c r="K7424" t="n">
        <v>0</v>
      </c>
      <c r="L7424" t="n">
        <v>0</v>
      </c>
      <c r="M7424" t="n">
        <v>0</v>
      </c>
      <c r="N7424" t="n">
        <v>0</v>
      </c>
      <c r="O7424" t="n">
        <v>0</v>
      </c>
      <c r="P7424" t="n">
        <v>0</v>
      </c>
      <c r="Q7424" t="n">
        <v>0</v>
      </c>
      <c r="R7424" s="2" t="inlineStr"/>
    </row>
    <row r="7425" ht="15" customHeight="1">
      <c r="A7425" t="inlineStr">
        <is>
          <t>A 31977-2025</t>
        </is>
      </c>
      <c r="B7425" s="1" t="n">
        <v>45835</v>
      </c>
      <c r="C7425" s="1" t="n">
        <v>45846</v>
      </c>
      <c r="D7425" t="inlineStr">
        <is>
          <t>UPPSALA LÄN</t>
        </is>
      </c>
      <c r="E7425" t="inlineStr">
        <is>
          <t>ÖSTHAMMAR</t>
        </is>
      </c>
      <c r="F7425" t="inlineStr">
        <is>
          <t>Övriga Aktiebolag</t>
        </is>
      </c>
      <c r="G7425" t="n">
        <v>35.3</v>
      </c>
      <c r="H7425" t="n">
        <v>0</v>
      </c>
      <c r="I7425" t="n">
        <v>0</v>
      </c>
      <c r="J7425" t="n">
        <v>0</v>
      </c>
      <c r="K7425" t="n">
        <v>0</v>
      </c>
      <c r="L7425" t="n">
        <v>0</v>
      </c>
      <c r="M7425" t="n">
        <v>0</v>
      </c>
      <c r="N7425" t="n">
        <v>0</v>
      </c>
      <c r="O7425" t="n">
        <v>0</v>
      </c>
      <c r="P7425" t="n">
        <v>0</v>
      </c>
      <c r="Q7425" t="n">
        <v>0</v>
      </c>
      <c r="R7425" s="2" t="inlineStr"/>
    </row>
    <row r="7426" ht="15" customHeight="1">
      <c r="A7426" t="inlineStr">
        <is>
          <t>A 31949-2025</t>
        </is>
      </c>
      <c r="B7426" s="1" t="n">
        <v>45835</v>
      </c>
      <c r="C7426" s="1" t="n">
        <v>45846</v>
      </c>
      <c r="D7426" t="inlineStr">
        <is>
          <t>UPPSALA LÄN</t>
        </is>
      </c>
      <c r="E7426" t="inlineStr">
        <is>
          <t>TIERP</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32252-2025</t>
        </is>
      </c>
      <c r="B7427" s="1" t="n">
        <v>45835</v>
      </c>
      <c r="C7427" s="1" t="n">
        <v>45846</v>
      </c>
      <c r="D7427" t="inlineStr">
        <is>
          <t>UPPSALA LÄN</t>
        </is>
      </c>
      <c r="E7427" t="inlineStr">
        <is>
          <t>UPPSALA</t>
        </is>
      </c>
      <c r="F7427" t="inlineStr">
        <is>
          <t>Kyrkan</t>
        </is>
      </c>
      <c r="G7427" t="n">
        <v>3.8</v>
      </c>
      <c r="H7427" t="n">
        <v>0</v>
      </c>
      <c r="I7427" t="n">
        <v>0</v>
      </c>
      <c r="J7427" t="n">
        <v>0</v>
      </c>
      <c r="K7427" t="n">
        <v>0</v>
      </c>
      <c r="L7427" t="n">
        <v>0</v>
      </c>
      <c r="M7427" t="n">
        <v>0</v>
      </c>
      <c r="N7427" t="n">
        <v>0</v>
      </c>
      <c r="O7427" t="n">
        <v>0</v>
      </c>
      <c r="P7427" t="n">
        <v>0</v>
      </c>
      <c r="Q7427" t="n">
        <v>0</v>
      </c>
      <c r="R7427" s="2" t="inlineStr"/>
    </row>
    <row r="7428" ht="15" customHeight="1">
      <c r="A7428" t="inlineStr">
        <is>
          <t>A 32184-2025</t>
        </is>
      </c>
      <c r="B7428" s="1" t="n">
        <v>45835</v>
      </c>
      <c r="C7428" s="1" t="n">
        <v>45846</v>
      </c>
      <c r="D7428" t="inlineStr">
        <is>
          <t>UPPSALA LÄN</t>
        </is>
      </c>
      <c r="E7428" t="inlineStr">
        <is>
          <t>TIERP</t>
        </is>
      </c>
      <c r="F7428" t="inlineStr">
        <is>
          <t>Bergvik skog väst AB</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32186-2025</t>
        </is>
      </c>
      <c r="B7429" s="1" t="n">
        <v>45835</v>
      </c>
      <c r="C7429" s="1" t="n">
        <v>45846</v>
      </c>
      <c r="D7429" t="inlineStr">
        <is>
          <t>UPPSALA LÄN</t>
        </is>
      </c>
      <c r="E7429" t="inlineStr">
        <is>
          <t>ÄLVKARLEBY</t>
        </is>
      </c>
      <c r="F7429" t="inlineStr">
        <is>
          <t>Bergvik skog väst AB</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32296-2025</t>
        </is>
      </c>
      <c r="B7430" s="1" t="n">
        <v>45835</v>
      </c>
      <c r="C7430" s="1" t="n">
        <v>45846</v>
      </c>
      <c r="D7430" t="inlineStr">
        <is>
          <t>UPPSALA LÄN</t>
        </is>
      </c>
      <c r="E7430" t="inlineStr">
        <is>
          <t>TIERP</t>
        </is>
      </c>
      <c r="F7430" t="inlineStr">
        <is>
          <t>Bergvik skog väst AB</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32203-2025</t>
        </is>
      </c>
      <c r="B7431" s="1" t="n">
        <v>45835</v>
      </c>
      <c r="C7431" s="1" t="n">
        <v>45846</v>
      </c>
      <c r="D7431" t="inlineStr">
        <is>
          <t>UPPSALA LÄN</t>
        </is>
      </c>
      <c r="E7431" t="inlineStr">
        <is>
          <t>ÄLVKARLEBY</t>
        </is>
      </c>
      <c r="F7431" t="inlineStr">
        <is>
          <t>Bergvik skog väst AB</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32376-2025</t>
        </is>
      </c>
      <c r="B7432" s="1" t="n">
        <v>45837</v>
      </c>
      <c r="C7432" s="1" t="n">
        <v>45846</v>
      </c>
      <c r="D7432" t="inlineStr">
        <is>
          <t>UPPSALA LÄN</t>
        </is>
      </c>
      <c r="E7432" t="inlineStr">
        <is>
          <t>TIERP</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32432-2025</t>
        </is>
      </c>
      <c r="B7433" s="1" t="n">
        <v>45838</v>
      </c>
      <c r="C7433" s="1" t="n">
        <v>45846</v>
      </c>
      <c r="D7433" t="inlineStr">
        <is>
          <t>UPPSALA LÄN</t>
        </is>
      </c>
      <c r="E7433" t="inlineStr">
        <is>
          <t>HEBY</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32479-2025</t>
        </is>
      </c>
      <c r="B7434" s="1" t="n">
        <v>45838</v>
      </c>
      <c r="C7434" s="1" t="n">
        <v>45846</v>
      </c>
      <c r="D7434" t="inlineStr">
        <is>
          <t>UPPSALA LÄN</t>
        </is>
      </c>
      <c r="E7434" t="inlineStr">
        <is>
          <t>UPPSALA</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32545-2025</t>
        </is>
      </c>
      <c r="B7435" s="1" t="n">
        <v>45838</v>
      </c>
      <c r="C7435" s="1" t="n">
        <v>45846</v>
      </c>
      <c r="D7435" t="inlineStr">
        <is>
          <t>UPPSALA LÄN</t>
        </is>
      </c>
      <c r="E7435" t="inlineStr">
        <is>
          <t>HEBY</t>
        </is>
      </c>
      <c r="G7435" t="n">
        <v>3.4</v>
      </c>
      <c r="H7435" t="n">
        <v>0</v>
      </c>
      <c r="I7435" t="n">
        <v>0</v>
      </c>
      <c r="J7435" t="n">
        <v>0</v>
      </c>
      <c r="K7435" t="n">
        <v>0</v>
      </c>
      <c r="L7435" t="n">
        <v>0</v>
      </c>
      <c r="M7435" t="n">
        <v>0</v>
      </c>
      <c r="N7435" t="n">
        <v>0</v>
      </c>
      <c r="O7435" t="n">
        <v>0</v>
      </c>
      <c r="P7435" t="n">
        <v>0</v>
      </c>
      <c r="Q7435" t="n">
        <v>0</v>
      </c>
      <c r="R7435" s="2" t="inlineStr"/>
    </row>
    <row r="7436" ht="15" customHeight="1">
      <c r="A7436" t="inlineStr">
        <is>
          <t>A 32475-2025</t>
        </is>
      </c>
      <c r="B7436" s="1" t="n">
        <v>45838</v>
      </c>
      <c r="C7436" s="1" t="n">
        <v>45846</v>
      </c>
      <c r="D7436" t="inlineStr">
        <is>
          <t>UPPSALA LÄN</t>
        </is>
      </c>
      <c r="E7436" t="inlineStr">
        <is>
          <t>UPPSALA</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32484-2025</t>
        </is>
      </c>
      <c r="B7437" s="1" t="n">
        <v>45838</v>
      </c>
      <c r="C7437" s="1" t="n">
        <v>45846</v>
      </c>
      <c r="D7437" t="inlineStr">
        <is>
          <t>UPPSALA LÄN</t>
        </is>
      </c>
      <c r="E7437" t="inlineStr">
        <is>
          <t>UPPSALA</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32477-2025</t>
        </is>
      </c>
      <c r="B7438" s="1" t="n">
        <v>45838</v>
      </c>
      <c r="C7438" s="1" t="n">
        <v>45846</v>
      </c>
      <c r="D7438" t="inlineStr">
        <is>
          <t>UPPSALA LÄN</t>
        </is>
      </c>
      <c r="E7438" t="inlineStr">
        <is>
          <t>ENKÖPING</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32435-2025</t>
        </is>
      </c>
      <c r="B7439" s="1" t="n">
        <v>45838</v>
      </c>
      <c r="C7439" s="1" t="n">
        <v>45846</v>
      </c>
      <c r="D7439" t="inlineStr">
        <is>
          <t>UPPSALA LÄN</t>
        </is>
      </c>
      <c r="E7439" t="inlineStr">
        <is>
          <t>HEBY</t>
        </is>
      </c>
      <c r="G7439" t="n">
        <v>5.2</v>
      </c>
      <c r="H7439" t="n">
        <v>0</v>
      </c>
      <c r="I7439" t="n">
        <v>0</v>
      </c>
      <c r="J7439" t="n">
        <v>0</v>
      </c>
      <c r="K7439" t="n">
        <v>0</v>
      </c>
      <c r="L7439" t="n">
        <v>0</v>
      </c>
      <c r="M7439" t="n">
        <v>0</v>
      </c>
      <c r="N7439" t="n">
        <v>0</v>
      </c>
      <c r="O7439" t="n">
        <v>0</v>
      </c>
      <c r="P7439" t="n">
        <v>0</v>
      </c>
      <c r="Q7439" t="n">
        <v>0</v>
      </c>
      <c r="R7439" s="2" t="inlineStr"/>
    </row>
    <row r="7440" ht="15" customHeight="1">
      <c r="A7440" t="inlineStr">
        <is>
          <t>A 32547-2025</t>
        </is>
      </c>
      <c r="B7440" s="1" t="n">
        <v>45838</v>
      </c>
      <c r="C7440" s="1" t="n">
        <v>45846</v>
      </c>
      <c r="D7440" t="inlineStr">
        <is>
          <t>UPPSALA LÄN</t>
        </is>
      </c>
      <c r="E7440" t="inlineStr">
        <is>
          <t>HEBY</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32718-2025</t>
        </is>
      </c>
      <c r="B7441" s="1" t="n">
        <v>45839</v>
      </c>
      <c r="C7441" s="1" t="n">
        <v>45846</v>
      </c>
      <c r="D7441" t="inlineStr">
        <is>
          <t>UPPSALA LÄN</t>
        </is>
      </c>
      <c r="E7441" t="inlineStr">
        <is>
          <t>ÖSTHAMMAR</t>
        </is>
      </c>
      <c r="G7441" t="n">
        <v>10.4</v>
      </c>
      <c r="H7441" t="n">
        <v>0</v>
      </c>
      <c r="I7441" t="n">
        <v>0</v>
      </c>
      <c r="J7441" t="n">
        <v>0</v>
      </c>
      <c r="K7441" t="n">
        <v>0</v>
      </c>
      <c r="L7441" t="n">
        <v>0</v>
      </c>
      <c r="M7441" t="n">
        <v>0</v>
      </c>
      <c r="N7441" t="n">
        <v>0</v>
      </c>
      <c r="O7441" t="n">
        <v>0</v>
      </c>
      <c r="P7441" t="n">
        <v>0</v>
      </c>
      <c r="Q7441" t="n">
        <v>0</v>
      </c>
      <c r="R7441" s="2" t="inlineStr"/>
    </row>
    <row r="7442" ht="15" customHeight="1">
      <c r="A7442" t="inlineStr">
        <is>
          <t>A 32928-2025</t>
        </is>
      </c>
      <c r="B7442" s="1" t="n">
        <v>45839</v>
      </c>
      <c r="C7442" s="1" t="n">
        <v>45846</v>
      </c>
      <c r="D7442" t="inlineStr">
        <is>
          <t>UPPSALA LÄN</t>
        </is>
      </c>
      <c r="E7442" t="inlineStr">
        <is>
          <t>UPPSALA</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32923-2025</t>
        </is>
      </c>
      <c r="B7443" s="1" t="n">
        <v>45839</v>
      </c>
      <c r="C7443" s="1" t="n">
        <v>45846</v>
      </c>
      <c r="D7443" t="inlineStr">
        <is>
          <t>UPPSALA LÄN</t>
        </is>
      </c>
      <c r="E7443" t="inlineStr">
        <is>
          <t>UPPSALA</t>
        </is>
      </c>
      <c r="G7443" t="n">
        <v>5.1</v>
      </c>
      <c r="H7443" t="n">
        <v>0</v>
      </c>
      <c r="I7443" t="n">
        <v>0</v>
      </c>
      <c r="J7443" t="n">
        <v>0</v>
      </c>
      <c r="K7443" t="n">
        <v>0</v>
      </c>
      <c r="L7443" t="n">
        <v>0</v>
      </c>
      <c r="M7443" t="n">
        <v>0</v>
      </c>
      <c r="N7443" t="n">
        <v>0</v>
      </c>
      <c r="O7443" t="n">
        <v>0</v>
      </c>
      <c r="P7443" t="n">
        <v>0</v>
      </c>
      <c r="Q7443" t="n">
        <v>0</v>
      </c>
      <c r="R7443" s="2" t="inlineStr"/>
    </row>
    <row r="7444" ht="15" customHeight="1">
      <c r="A7444" t="inlineStr">
        <is>
          <t>A 32711-2025</t>
        </is>
      </c>
      <c r="B7444" s="1" t="n">
        <v>45839</v>
      </c>
      <c r="C7444" s="1" t="n">
        <v>45846</v>
      </c>
      <c r="D7444" t="inlineStr">
        <is>
          <t>UPPSALA LÄN</t>
        </is>
      </c>
      <c r="E7444" t="inlineStr">
        <is>
          <t>UPPSALA</t>
        </is>
      </c>
      <c r="G7444" t="n">
        <v>0.8</v>
      </c>
      <c r="H7444" t="n">
        <v>0</v>
      </c>
      <c r="I7444" t="n">
        <v>0</v>
      </c>
      <c r="J7444" t="n">
        <v>0</v>
      </c>
      <c r="K7444" t="n">
        <v>0</v>
      </c>
      <c r="L7444" t="n">
        <v>0</v>
      </c>
      <c r="M7444" t="n">
        <v>0</v>
      </c>
      <c r="N7444" t="n">
        <v>0</v>
      </c>
      <c r="O7444" t="n">
        <v>0</v>
      </c>
      <c r="P7444" t="n">
        <v>0</v>
      </c>
      <c r="Q7444" t="n">
        <v>0</v>
      </c>
      <c r="R7444" s="2" t="inlineStr"/>
      <c r="U7444">
        <f>HYPERLINK("https://klasma.github.io/Logging_030380/knärot/A 32711-2025 karta knärot.png", "A 32711-2025")</f>
        <v/>
      </c>
      <c r="V7444">
        <f>HYPERLINK("https://klasma.github.io/Logging_030380/klagomål/A 32711-2025 FSC-klagomål.docx", "A 32711-2025")</f>
        <v/>
      </c>
      <c r="W7444">
        <f>HYPERLINK("https://klasma.github.io/Logging_030380/klagomålsmail/A 32711-2025 FSC-klagomål mail.docx", "A 32711-2025")</f>
        <v/>
      </c>
      <c r="X7444">
        <f>HYPERLINK("https://klasma.github.io/Logging_030380/tillsyn/A 32711-2025 tillsynsbegäran.docx", "A 32711-2025")</f>
        <v/>
      </c>
      <c r="Y7444">
        <f>HYPERLINK("https://klasma.github.io/Logging_030380/tillsynsmail/A 32711-2025 tillsynsbegäran mail.docx", "A 32711-2025")</f>
        <v/>
      </c>
    </row>
    <row r="7445" ht="15" customHeight="1">
      <c r="A7445" t="inlineStr">
        <is>
          <t>A 33261-2025</t>
        </is>
      </c>
      <c r="B7445" s="1" t="n">
        <v>45840</v>
      </c>
      <c r="C7445" s="1" t="n">
        <v>45846</v>
      </c>
      <c r="D7445" t="inlineStr">
        <is>
          <t>UPPSALA LÄN</t>
        </is>
      </c>
      <c r="E7445" t="inlineStr">
        <is>
          <t>UPPSALA</t>
        </is>
      </c>
      <c r="G7445" t="n">
        <v>3.4</v>
      </c>
      <c r="H7445" t="n">
        <v>0</v>
      </c>
      <c r="I7445" t="n">
        <v>0</v>
      </c>
      <c r="J7445" t="n">
        <v>0</v>
      </c>
      <c r="K7445" t="n">
        <v>0</v>
      </c>
      <c r="L7445" t="n">
        <v>0</v>
      </c>
      <c r="M7445" t="n">
        <v>0</v>
      </c>
      <c r="N7445" t="n">
        <v>0</v>
      </c>
      <c r="O7445" t="n">
        <v>0</v>
      </c>
      <c r="P7445" t="n">
        <v>0</v>
      </c>
      <c r="Q7445" t="n">
        <v>0</v>
      </c>
      <c r="R7445" s="2" t="inlineStr"/>
    </row>
    <row r="7446" ht="15" customHeight="1">
      <c r="A7446" t="inlineStr">
        <is>
          <t>A 33180-2025</t>
        </is>
      </c>
      <c r="B7446" s="1" t="n">
        <v>45840</v>
      </c>
      <c r="C7446" s="1" t="n">
        <v>45846</v>
      </c>
      <c r="D7446" t="inlineStr">
        <is>
          <t>UPPSALA LÄN</t>
        </is>
      </c>
      <c r="E7446" t="inlineStr">
        <is>
          <t>TIERP</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33272-2025</t>
        </is>
      </c>
      <c r="B7447" s="1" t="n">
        <v>45840</v>
      </c>
      <c r="C7447" s="1" t="n">
        <v>45846</v>
      </c>
      <c r="D7447" t="inlineStr">
        <is>
          <t>UPPSALA LÄN</t>
        </is>
      </c>
      <c r="E7447" t="inlineStr">
        <is>
          <t>UPPSALA</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33271-2025</t>
        </is>
      </c>
      <c r="B7448" s="1" t="n">
        <v>45840</v>
      </c>
      <c r="C7448" s="1" t="n">
        <v>45846</v>
      </c>
      <c r="D7448" t="inlineStr">
        <is>
          <t>UPPSALA LÄN</t>
        </is>
      </c>
      <c r="E7448" t="inlineStr">
        <is>
          <t>ÖSTHAMMAR</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33025-2025</t>
        </is>
      </c>
      <c r="B7449" s="1" t="n">
        <v>45840</v>
      </c>
      <c r="C7449" s="1" t="n">
        <v>45846</v>
      </c>
      <c r="D7449" t="inlineStr">
        <is>
          <t>UPPSALA LÄN</t>
        </is>
      </c>
      <c r="E7449" t="inlineStr">
        <is>
          <t>HEBY</t>
        </is>
      </c>
      <c r="G7449" t="n">
        <v>4</v>
      </c>
      <c r="H7449" t="n">
        <v>0</v>
      </c>
      <c r="I7449" t="n">
        <v>0</v>
      </c>
      <c r="J7449" t="n">
        <v>0</v>
      </c>
      <c r="K7449" t="n">
        <v>0</v>
      </c>
      <c r="L7449" t="n">
        <v>0</v>
      </c>
      <c r="M7449" t="n">
        <v>0</v>
      </c>
      <c r="N7449" t="n">
        <v>0</v>
      </c>
      <c r="O7449" t="n">
        <v>0</v>
      </c>
      <c r="P7449" t="n">
        <v>0</v>
      </c>
      <c r="Q7449" t="n">
        <v>0</v>
      </c>
      <c r="R7449" s="2" t="inlineStr"/>
    </row>
    <row r="7450" ht="15" customHeight="1">
      <c r="A7450" t="inlineStr">
        <is>
          <t>A 33048-2025</t>
        </is>
      </c>
      <c r="B7450" s="1" t="n">
        <v>45840</v>
      </c>
      <c r="C7450" s="1" t="n">
        <v>45846</v>
      </c>
      <c r="D7450" t="inlineStr">
        <is>
          <t>UPPSALA LÄN</t>
        </is>
      </c>
      <c r="E7450" t="inlineStr">
        <is>
          <t>ÖSTHAMMAR</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33570-2025</t>
        </is>
      </c>
      <c r="B7451" s="1" t="n">
        <v>45841</v>
      </c>
      <c r="C7451" s="1" t="n">
        <v>45846</v>
      </c>
      <c r="D7451" t="inlineStr">
        <is>
          <t>UPPSALA LÄN</t>
        </is>
      </c>
      <c r="E7451" t="inlineStr">
        <is>
          <t>TIERP</t>
        </is>
      </c>
      <c r="F7451" t="inlineStr">
        <is>
          <t>Övriga Aktiebolag</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33510-2025</t>
        </is>
      </c>
      <c r="B7452" s="1" t="n">
        <v>45841</v>
      </c>
      <c r="C7452" s="1" t="n">
        <v>45846</v>
      </c>
      <c r="D7452" t="inlineStr">
        <is>
          <t>UPPSALA LÄN</t>
        </is>
      </c>
      <c r="E7452" t="inlineStr">
        <is>
          <t>TIERP</t>
        </is>
      </c>
      <c r="F7452" t="inlineStr">
        <is>
          <t>Övriga Aktiebolag</t>
        </is>
      </c>
      <c r="G7452" t="n">
        <v>2.9</v>
      </c>
      <c r="H7452" t="n">
        <v>0</v>
      </c>
      <c r="I7452" t="n">
        <v>0</v>
      </c>
      <c r="J7452" t="n">
        <v>0</v>
      </c>
      <c r="K7452" t="n">
        <v>0</v>
      </c>
      <c r="L7452" t="n">
        <v>0</v>
      </c>
      <c r="M7452" t="n">
        <v>0</v>
      </c>
      <c r="N7452" t="n">
        <v>0</v>
      </c>
      <c r="O7452" t="n">
        <v>0</v>
      </c>
      <c r="P7452" t="n">
        <v>0</v>
      </c>
      <c r="Q7452" t="n">
        <v>0</v>
      </c>
      <c r="R7452" s="2" t="inlineStr"/>
    </row>
    <row r="7453" ht="15" customHeight="1">
      <c r="A7453" t="inlineStr">
        <is>
          <t>A 33571-2025</t>
        </is>
      </c>
      <c r="B7453" s="1" t="n">
        <v>45841</v>
      </c>
      <c r="C7453" s="1" t="n">
        <v>45846</v>
      </c>
      <c r="D7453" t="inlineStr">
        <is>
          <t>UPPSALA LÄN</t>
        </is>
      </c>
      <c r="E7453" t="inlineStr">
        <is>
          <t>UPPSALA</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33708-2025</t>
        </is>
      </c>
      <c r="B7454" s="1" t="n">
        <v>45841</v>
      </c>
      <c r="C7454" s="1" t="n">
        <v>45846</v>
      </c>
      <c r="D7454" t="inlineStr">
        <is>
          <t>UPPSALA LÄN</t>
        </is>
      </c>
      <c r="E7454" t="inlineStr">
        <is>
          <t>UPPSALA</t>
        </is>
      </c>
      <c r="F7454" t="inlineStr">
        <is>
          <t>Holmen skog AB</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33529-2025</t>
        </is>
      </c>
      <c r="B7455" s="1" t="n">
        <v>45841</v>
      </c>
      <c r="C7455" s="1" t="n">
        <v>45846</v>
      </c>
      <c r="D7455" t="inlineStr">
        <is>
          <t>UPPSALA LÄN</t>
        </is>
      </c>
      <c r="E7455" t="inlineStr">
        <is>
          <t>ÖSTHAMMAR</t>
        </is>
      </c>
      <c r="F7455" t="inlineStr">
        <is>
          <t>Bergvik skog öst AB</t>
        </is>
      </c>
      <c r="G7455" t="n">
        <v>11.8</v>
      </c>
      <c r="H7455" t="n">
        <v>0</v>
      </c>
      <c r="I7455" t="n">
        <v>0</v>
      </c>
      <c r="J7455" t="n">
        <v>0</v>
      </c>
      <c r="K7455" t="n">
        <v>0</v>
      </c>
      <c r="L7455" t="n">
        <v>0</v>
      </c>
      <c r="M7455" t="n">
        <v>0</v>
      </c>
      <c r="N7455" t="n">
        <v>0</v>
      </c>
      <c r="O7455" t="n">
        <v>0</v>
      </c>
      <c r="P7455" t="n">
        <v>0</v>
      </c>
      <c r="Q7455" t="n">
        <v>0</v>
      </c>
      <c r="R7455" s="2" t="inlineStr"/>
    </row>
    <row r="7456" ht="15" customHeight="1">
      <c r="A7456" t="inlineStr">
        <is>
          <t>A 33946-2025</t>
        </is>
      </c>
      <c r="B7456" s="1" t="n">
        <v>45842</v>
      </c>
      <c r="C7456" s="1" t="n">
        <v>45846</v>
      </c>
      <c r="D7456" t="inlineStr">
        <is>
          <t>UPPSALA LÄN</t>
        </is>
      </c>
      <c r="E7456" t="inlineStr">
        <is>
          <t>TIERP</t>
        </is>
      </c>
      <c r="F7456" t="inlineStr">
        <is>
          <t>Bergvik skog öst AB</t>
        </is>
      </c>
      <c r="G7456" t="n">
        <v>5.4</v>
      </c>
      <c r="H7456" t="n">
        <v>0</v>
      </c>
      <c r="I7456" t="n">
        <v>0</v>
      </c>
      <c r="J7456" t="n">
        <v>0</v>
      </c>
      <c r="K7456" t="n">
        <v>0</v>
      </c>
      <c r="L7456" t="n">
        <v>0</v>
      </c>
      <c r="M7456" t="n">
        <v>0</v>
      </c>
      <c r="N7456" t="n">
        <v>0</v>
      </c>
      <c r="O7456" t="n">
        <v>0</v>
      </c>
      <c r="P7456" t="n">
        <v>0</v>
      </c>
      <c r="Q7456" t="n">
        <v>0</v>
      </c>
      <c r="R7456" s="2" t="inlineStr"/>
    </row>
    <row r="7457" ht="15" customHeight="1">
      <c r="A7457" t="inlineStr">
        <is>
          <t>A 33964-2025</t>
        </is>
      </c>
      <c r="B7457" s="1" t="n">
        <v>45842</v>
      </c>
      <c r="C7457" s="1" t="n">
        <v>45846</v>
      </c>
      <c r="D7457" t="inlineStr">
        <is>
          <t>UPPSALA LÄN</t>
        </is>
      </c>
      <c r="E7457" t="inlineStr">
        <is>
          <t>UPPSALA</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33972-2025</t>
        </is>
      </c>
      <c r="B7458" s="1" t="n">
        <v>45843</v>
      </c>
      <c r="C7458" s="1" t="n">
        <v>45846</v>
      </c>
      <c r="D7458" t="inlineStr">
        <is>
          <t>UPPSALA LÄN</t>
        </is>
      </c>
      <c r="E7458" t="inlineStr">
        <is>
          <t>ÖSTHAMMAR</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33953-2025</t>
        </is>
      </c>
      <c r="B7459" s="1" t="n">
        <v>45842</v>
      </c>
      <c r="C7459" s="1" t="n">
        <v>45846</v>
      </c>
      <c r="D7459" t="inlineStr">
        <is>
          <t>UPPSALA LÄN</t>
        </is>
      </c>
      <c r="E7459" t="inlineStr">
        <is>
          <t>TIERP</t>
        </is>
      </c>
      <c r="F7459" t="inlineStr">
        <is>
          <t>Bergvik skog öst AB</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33927-2025</t>
        </is>
      </c>
      <c r="B7460" s="1" t="n">
        <v>45842</v>
      </c>
      <c r="C7460" s="1" t="n">
        <v>45846</v>
      </c>
      <c r="D7460" t="inlineStr">
        <is>
          <t>UPPSALA LÄN</t>
        </is>
      </c>
      <c r="E7460" t="inlineStr">
        <is>
          <t>ÖSTHAMMAR</t>
        </is>
      </c>
      <c r="G7460" t="n">
        <v>3.5</v>
      </c>
      <c r="H7460" t="n">
        <v>0</v>
      </c>
      <c r="I7460" t="n">
        <v>0</v>
      </c>
      <c r="J7460" t="n">
        <v>0</v>
      </c>
      <c r="K7460" t="n">
        <v>0</v>
      </c>
      <c r="L7460" t="n">
        <v>0</v>
      </c>
      <c r="M7460" t="n">
        <v>0</v>
      </c>
      <c r="N7460" t="n">
        <v>0</v>
      </c>
      <c r="O7460" t="n">
        <v>0</v>
      </c>
      <c r="P7460" t="n">
        <v>0</v>
      </c>
      <c r="Q7460" t="n">
        <v>0</v>
      </c>
      <c r="R7460" s="2" t="inlineStr"/>
    </row>
    <row r="7461" ht="15" customHeight="1">
      <c r="A7461" t="inlineStr">
        <is>
          <t>A 33954-2025</t>
        </is>
      </c>
      <c r="B7461" s="1" t="n">
        <v>45842</v>
      </c>
      <c r="C7461" s="1" t="n">
        <v>45846</v>
      </c>
      <c r="D7461" t="inlineStr">
        <is>
          <t>UPPSALA LÄN</t>
        </is>
      </c>
      <c r="E7461" t="inlineStr">
        <is>
          <t>TIERP</t>
        </is>
      </c>
      <c r="F7461" t="inlineStr">
        <is>
          <t>Bergvik skog öst AB</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33973-2025</t>
        </is>
      </c>
      <c r="B7462" s="1" t="n">
        <v>45843</v>
      </c>
      <c r="C7462" s="1" t="n">
        <v>45846</v>
      </c>
      <c r="D7462" t="inlineStr">
        <is>
          <t>UPPSALA LÄN</t>
        </is>
      </c>
      <c r="E7462" t="inlineStr">
        <is>
          <t>ÖSTHAMMAR</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33974-2025</t>
        </is>
      </c>
      <c r="B7463" s="1" t="n">
        <v>45843</v>
      </c>
      <c r="C7463" s="1" t="n">
        <v>45846</v>
      </c>
      <c r="D7463" t="inlineStr">
        <is>
          <t>UPPSALA LÄN</t>
        </is>
      </c>
      <c r="E7463" t="inlineStr">
        <is>
          <t>KNIVSTA</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33976-2025</t>
        </is>
      </c>
      <c r="B7464" s="1" t="n">
        <v>45843</v>
      </c>
      <c r="C7464" s="1" t="n">
        <v>45846</v>
      </c>
      <c r="D7464" t="inlineStr">
        <is>
          <t>UPPSALA LÄN</t>
        </is>
      </c>
      <c r="E7464" t="inlineStr">
        <is>
          <t>KNIVSTA</t>
        </is>
      </c>
      <c r="G7464" t="n">
        <v>6.1</v>
      </c>
      <c r="H7464" t="n">
        <v>0</v>
      </c>
      <c r="I7464" t="n">
        <v>0</v>
      </c>
      <c r="J7464" t="n">
        <v>0</v>
      </c>
      <c r="K7464" t="n">
        <v>0</v>
      </c>
      <c r="L7464" t="n">
        <v>0</v>
      </c>
      <c r="M7464" t="n">
        <v>0</v>
      </c>
      <c r="N7464" t="n">
        <v>0</v>
      </c>
      <c r="O7464" t="n">
        <v>0</v>
      </c>
      <c r="P7464" t="n">
        <v>0</v>
      </c>
      <c r="Q7464" t="n">
        <v>0</v>
      </c>
      <c r="R7464" s="2" t="inlineStr"/>
    </row>
    <row r="7465" ht="15" customHeight="1">
      <c r="A7465" t="inlineStr">
        <is>
          <t>A 33975-2025</t>
        </is>
      </c>
      <c r="B7465" s="1" t="n">
        <v>45843</v>
      </c>
      <c r="C7465" s="1" t="n">
        <v>45846</v>
      </c>
      <c r="D7465" t="inlineStr">
        <is>
          <t>UPPSALA LÄN</t>
        </is>
      </c>
      <c r="E7465" t="inlineStr">
        <is>
          <t>KNIVSTA</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34072-2025</t>
        </is>
      </c>
      <c r="B7466" s="1" t="n">
        <v>45845</v>
      </c>
      <c r="C7466" s="1" t="n">
        <v>45846</v>
      </c>
      <c r="D7466" t="inlineStr">
        <is>
          <t>UPPSALA LÄN</t>
        </is>
      </c>
      <c r="E7466" t="inlineStr">
        <is>
          <t>HEBY</t>
        </is>
      </c>
      <c r="G7466" t="n">
        <v>5.8</v>
      </c>
      <c r="H7466" t="n">
        <v>0</v>
      </c>
      <c r="I7466" t="n">
        <v>0</v>
      </c>
      <c r="J7466" t="n">
        <v>0</v>
      </c>
      <c r="K7466" t="n">
        <v>0</v>
      </c>
      <c r="L7466" t="n">
        <v>0</v>
      </c>
      <c r="M7466" t="n">
        <v>0</v>
      </c>
      <c r="N7466" t="n">
        <v>0</v>
      </c>
      <c r="O7466" t="n">
        <v>0</v>
      </c>
      <c r="P7466" t="n">
        <v>0</v>
      </c>
      <c r="Q7466" t="n">
        <v>0</v>
      </c>
      <c r="R7466" s="2" t="inlineStr"/>
    </row>
    <row r="7467" ht="15" customHeight="1">
      <c r="A7467" t="inlineStr">
        <is>
          <t>A 34014-2025</t>
        </is>
      </c>
      <c r="B7467" s="1" t="n">
        <v>45845</v>
      </c>
      <c r="C7467" s="1" t="n">
        <v>45846</v>
      </c>
      <c r="D7467" t="inlineStr">
        <is>
          <t>UPPSALA LÄN</t>
        </is>
      </c>
      <c r="E7467" t="inlineStr">
        <is>
          <t>TIERP</t>
        </is>
      </c>
      <c r="F7467" t="inlineStr">
        <is>
          <t>Bergvik skog öst AB</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34035-2025</t>
        </is>
      </c>
      <c r="B7468" s="1" t="n">
        <v>45845</v>
      </c>
      <c r="C7468" s="1" t="n">
        <v>45846</v>
      </c>
      <c r="D7468" t="inlineStr">
        <is>
          <t>UPPSALA LÄN</t>
        </is>
      </c>
      <c r="E7468" t="inlineStr">
        <is>
          <t>TIERP</t>
        </is>
      </c>
      <c r="F7468" t="inlineStr">
        <is>
          <t>Övriga Aktiebolag</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34044-2025</t>
        </is>
      </c>
      <c r="B7469" s="1" t="n">
        <v>45845</v>
      </c>
      <c r="C7469" s="1" t="n">
        <v>45846</v>
      </c>
      <c r="D7469" t="inlineStr">
        <is>
          <t>UPPSALA LÄN</t>
        </is>
      </c>
      <c r="E7469" t="inlineStr">
        <is>
          <t>TIERP</t>
        </is>
      </c>
      <c r="F7469" t="inlineStr">
        <is>
          <t>Övriga Aktiebolag</t>
        </is>
      </c>
      <c r="G7469" t="n">
        <v>0.4</v>
      </c>
      <c r="H7469" t="n">
        <v>0</v>
      </c>
      <c r="I7469" t="n">
        <v>0</v>
      </c>
      <c r="J7469" t="n">
        <v>0</v>
      </c>
      <c r="K7469" t="n">
        <v>0</v>
      </c>
      <c r="L7469" t="n">
        <v>0</v>
      </c>
      <c r="M7469" t="n">
        <v>0</v>
      </c>
      <c r="N7469" t="n">
        <v>0</v>
      </c>
      <c r="O7469" t="n">
        <v>0</v>
      </c>
      <c r="P7469" t="n">
        <v>0</v>
      </c>
      <c r="Q7469" t="n">
        <v>0</v>
      </c>
      <c r="R7469" s="2" t="inlineStr"/>
    </row>
    <row r="7470" ht="15" customHeight="1">
      <c r="A7470" t="inlineStr">
        <is>
          <t>A 34112-2025</t>
        </is>
      </c>
      <c r="B7470" s="1" t="n">
        <v>45845</v>
      </c>
      <c r="C7470" s="1" t="n">
        <v>45846</v>
      </c>
      <c r="D7470" t="inlineStr">
        <is>
          <t>UPPSALA LÄN</t>
        </is>
      </c>
      <c r="E7470" t="inlineStr">
        <is>
          <t>TIERP</t>
        </is>
      </c>
      <c r="F7470" t="inlineStr">
        <is>
          <t>Bergvik skog väst AB</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34114-2025</t>
        </is>
      </c>
      <c r="B7471" s="1" t="n">
        <v>45845</v>
      </c>
      <c r="C7471" s="1" t="n">
        <v>45846</v>
      </c>
      <c r="D7471" t="inlineStr">
        <is>
          <t>UPPSALA LÄN</t>
        </is>
      </c>
      <c r="E7471" t="inlineStr">
        <is>
          <t>TIERP</t>
        </is>
      </c>
      <c r="F7471" t="inlineStr">
        <is>
          <t>Bergvik skog väst AB</t>
        </is>
      </c>
      <c r="G7471" t="n">
        <v>18.6</v>
      </c>
      <c r="H7471" t="n">
        <v>0</v>
      </c>
      <c r="I7471" t="n">
        <v>0</v>
      </c>
      <c r="J7471" t="n">
        <v>0</v>
      </c>
      <c r="K7471" t="n">
        <v>0</v>
      </c>
      <c r="L7471" t="n">
        <v>0</v>
      </c>
      <c r="M7471" t="n">
        <v>0</v>
      </c>
      <c r="N7471" t="n">
        <v>0</v>
      </c>
      <c r="O7471" t="n">
        <v>0</v>
      </c>
      <c r="P7471" t="n">
        <v>0</v>
      </c>
      <c r="Q7471" t="n">
        <v>0</v>
      </c>
      <c r="R7471" s="2" t="inlineStr"/>
    </row>
    <row r="7472" ht="15" customHeight="1">
      <c r="A7472" t="inlineStr">
        <is>
          <t>A 34132-2025</t>
        </is>
      </c>
      <c r="B7472" s="1" t="n">
        <v>45845</v>
      </c>
      <c r="C7472" s="1" t="n">
        <v>45846</v>
      </c>
      <c r="D7472" t="inlineStr">
        <is>
          <t>UPPSALA LÄN</t>
        </is>
      </c>
      <c r="E7472" t="inlineStr">
        <is>
          <t>UPPSALA</t>
        </is>
      </c>
      <c r="G7472" t="n">
        <v>0.9</v>
      </c>
      <c r="H7472" t="n">
        <v>0</v>
      </c>
      <c r="I7472" t="n">
        <v>0</v>
      </c>
      <c r="J7472" t="n">
        <v>0</v>
      </c>
      <c r="K7472" t="n">
        <v>0</v>
      </c>
      <c r="L7472" t="n">
        <v>0</v>
      </c>
      <c r="M7472" t="n">
        <v>0</v>
      </c>
      <c r="N7472" t="n">
        <v>0</v>
      </c>
      <c r="O7472" t="n">
        <v>0</v>
      </c>
      <c r="P7472" t="n">
        <v>0</v>
      </c>
      <c r="Q7472" t="n">
        <v>0</v>
      </c>
      <c r="R7472" s="2" t="inlineStr"/>
    </row>
    <row r="7473">
      <c r="A7473" t="inlineStr">
        <is>
          <t>A 34016-2025</t>
        </is>
      </c>
      <c r="B7473" s="1" t="n">
        <v>45845</v>
      </c>
      <c r="C7473" s="1" t="n">
        <v>45846</v>
      </c>
      <c r="D7473" t="inlineStr">
        <is>
          <t>UPPSALA LÄN</t>
        </is>
      </c>
      <c r="E7473" t="inlineStr">
        <is>
          <t>HEBY</t>
        </is>
      </c>
      <c r="G7473" t="n">
        <v>5.7</v>
      </c>
      <c r="H7473" t="n">
        <v>0</v>
      </c>
      <c r="I7473" t="n">
        <v>0</v>
      </c>
      <c r="J7473" t="n">
        <v>0</v>
      </c>
      <c r="K7473" t="n">
        <v>0</v>
      </c>
      <c r="L7473" t="n">
        <v>0</v>
      </c>
      <c r="M7473" t="n">
        <v>0</v>
      </c>
      <c r="N7473" t="n">
        <v>0</v>
      </c>
      <c r="O7473" t="n">
        <v>0</v>
      </c>
      <c r="P7473" t="n">
        <v>0</v>
      </c>
      <c r="Q7473" t="n">
        <v>0</v>
      </c>
      <c r="R74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2025-07-08T19:53:12Z</dcterms:created>
  <dcterms:modified xmlns:dcterms="http://purl.org/dc/terms/" xmlns:xsi="http://www.w3.org/2001/XMLSchema-instance" xsi:type="dcterms:W3CDTF">2025-07-08T19:53:19Z</dcterms:modified>
</cp:coreProperties>
</file>